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artSe\Downloads\"/>
    </mc:Choice>
  </mc:AlternateContent>
  <xr:revisionPtr revIDLastSave="0" documentId="8_{0C1158D5-78C8-4104-8875-3AC6B2FF49BE}" xr6:coauthVersionLast="47" xr6:coauthVersionMax="47" xr10:uidLastSave="{00000000-0000-0000-0000-000000000000}"/>
  <bookViews>
    <workbookView xWindow="-110" yWindow="-110" windowWidth="19420" windowHeight="10300" activeTab="2" xr2:uid="{BB900FC7-7B7C-48F6-AD17-1F9A3A878792}"/>
  </bookViews>
  <sheets>
    <sheet name="Cohort venda x receita 2026" sheetId="1" r:id="rId1"/>
    <sheet name="Sheet1" sheetId="3" r:id="rId2"/>
    <sheet name="Venda x Mês 2026 KAM - Cai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G5" i="3"/>
  <c r="M7" i="3"/>
  <c r="G2" i="3"/>
  <c r="I7" i="3"/>
  <c r="G4" i="3"/>
  <c r="J5" i="3"/>
  <c r="K5" i="3"/>
  <c r="K4" i="3" s="1"/>
  <c r="L5" i="3"/>
  <c r="I5" i="3"/>
  <c r="I14" i="2"/>
  <c r="I17" i="2" s="1"/>
  <c r="G3" i="3"/>
  <c r="J4" i="3"/>
  <c r="C44" i="1"/>
  <c r="Q14" i="2"/>
  <c r="D14" i="2"/>
  <c r="L4" i="3"/>
  <c r="P20" i="2"/>
  <c r="R9" i="2"/>
  <c r="F26" i="1"/>
  <c r="Q25" i="1"/>
  <c r="C41" i="1"/>
  <c r="C45" i="1"/>
  <c r="C83" i="1" s="1"/>
  <c r="Q45" i="1"/>
  <c r="Q56" i="1"/>
  <c r="C56" i="1"/>
  <c r="C30" i="2"/>
  <c r="C29" i="2"/>
  <c r="C28" i="2"/>
  <c r="C27" i="2"/>
  <c r="C26" i="2"/>
  <c r="C25" i="2"/>
  <c r="C24" i="2"/>
  <c r="C23" i="2"/>
  <c r="B22" i="2"/>
  <c r="C22" i="2" s="1"/>
  <c r="O17" i="2"/>
  <c r="E17" i="2"/>
  <c r="O16" i="2"/>
  <c r="N16" i="2"/>
  <c r="M16" i="2"/>
  <c r="L16" i="2"/>
  <c r="K16" i="2"/>
  <c r="J16" i="2"/>
  <c r="I16" i="2"/>
  <c r="H16" i="2"/>
  <c r="G16" i="2"/>
  <c r="F16" i="2"/>
  <c r="E16" i="2"/>
  <c r="D16" i="2"/>
  <c r="Q16" i="2" s="1"/>
  <c r="I15" i="2"/>
  <c r="H15" i="2"/>
  <c r="G15" i="2"/>
  <c r="F15" i="2"/>
  <c r="E15" i="2"/>
  <c r="D15" i="2"/>
  <c r="K14" i="2"/>
  <c r="K17" i="2" s="1"/>
  <c r="H14" i="2"/>
  <c r="H17" i="2" s="1"/>
  <c r="G14" i="2"/>
  <c r="G17" i="2" s="1"/>
  <c r="F14" i="2"/>
  <c r="F17" i="2" s="1"/>
  <c r="E14" i="2"/>
  <c r="Q13" i="2"/>
  <c r="Q12" i="2"/>
  <c r="P11" i="2"/>
  <c r="Q11" i="2" s="1"/>
  <c r="T10" i="2"/>
  <c r="P10" i="2"/>
  <c r="Q10" i="2" s="1"/>
  <c r="P9" i="2"/>
  <c r="Q9" i="2" s="1"/>
  <c r="P8" i="2"/>
  <c r="Q8" i="2" s="1"/>
  <c r="R8" i="2" s="1"/>
  <c r="O7" i="2"/>
  <c r="P7" i="2" s="1"/>
  <c r="Q7" i="2" s="1"/>
  <c r="R7" i="2" s="1"/>
  <c r="N7" i="2"/>
  <c r="M7" i="2"/>
  <c r="L7" i="2"/>
  <c r="O6" i="2"/>
  <c r="O14" i="2" s="1"/>
  <c r="AB19" i="2" s="1"/>
  <c r="N6" i="2"/>
  <c r="N14" i="2" s="1"/>
  <c r="AA19" i="2" s="1"/>
  <c r="M6" i="2"/>
  <c r="L6" i="2"/>
  <c r="K6" i="2"/>
  <c r="K15" i="2" s="1"/>
  <c r="J6" i="2"/>
  <c r="J15" i="2" s="1"/>
  <c r="T5" i="2"/>
  <c r="T12" i="2" s="1"/>
  <c r="P5" i="2"/>
  <c r="Q5" i="2" s="1"/>
  <c r="T4" i="2"/>
  <c r="T11" i="2" s="1"/>
  <c r="P4" i="2"/>
  <c r="Q4" i="2" s="1"/>
  <c r="U4" i="2" s="1"/>
  <c r="T3" i="2"/>
  <c r="P3" i="2"/>
  <c r="Q3" i="2" s="1"/>
  <c r="C93" i="1"/>
  <c r="D93" i="1" s="1"/>
  <c r="B93" i="1"/>
  <c r="B91" i="1"/>
  <c r="C89" i="1"/>
  <c r="D88" i="1"/>
  <c r="C88" i="1"/>
  <c r="B88" i="1"/>
  <c r="B87" i="1"/>
  <c r="B86" i="1"/>
  <c r="H85" i="1"/>
  <c r="C85" i="1"/>
  <c r="D85" i="1" s="1"/>
  <c r="K83" i="1"/>
  <c r="J83" i="1"/>
  <c r="I83" i="1"/>
  <c r="O82" i="1"/>
  <c r="N82" i="1"/>
  <c r="M82" i="1"/>
  <c r="C82" i="1"/>
  <c r="B82" i="1"/>
  <c r="P76" i="1"/>
  <c r="O76" i="1"/>
  <c r="N76" i="1"/>
  <c r="M76" i="1"/>
  <c r="G76" i="1"/>
  <c r="F76" i="1"/>
  <c r="E76" i="1"/>
  <c r="C76" i="1"/>
  <c r="D76" i="1" s="1"/>
  <c r="B76" i="1"/>
  <c r="P75" i="1"/>
  <c r="O75" i="1"/>
  <c r="N75" i="1"/>
  <c r="M75" i="1"/>
  <c r="L75" i="1"/>
  <c r="L76" i="1" s="1"/>
  <c r="K75" i="1"/>
  <c r="K76" i="1" s="1"/>
  <c r="J75" i="1"/>
  <c r="J76" i="1" s="1"/>
  <c r="I75" i="1"/>
  <c r="I76" i="1" s="1"/>
  <c r="H75" i="1"/>
  <c r="H76" i="1" s="1"/>
  <c r="G75" i="1"/>
  <c r="F75" i="1"/>
  <c r="E75" i="1"/>
  <c r="D75" i="1"/>
  <c r="C75" i="1"/>
  <c r="B75" i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P58" i="1"/>
  <c r="O58" i="1"/>
  <c r="N58" i="1"/>
  <c r="M58" i="1"/>
  <c r="L58" i="1"/>
  <c r="K58" i="1"/>
  <c r="J58" i="1"/>
  <c r="I58" i="1"/>
  <c r="H58" i="1"/>
  <c r="G58" i="1"/>
  <c r="F58" i="1"/>
  <c r="E58" i="1"/>
  <c r="C55" i="1"/>
  <c r="B55" i="1"/>
  <c r="B54" i="1"/>
  <c r="B92" i="1" s="1"/>
  <c r="C53" i="1"/>
  <c r="B53" i="1"/>
  <c r="B52" i="1"/>
  <c r="B90" i="1" s="1"/>
  <c r="P51" i="1"/>
  <c r="P89" i="1" s="1"/>
  <c r="O51" i="1"/>
  <c r="O89" i="1" s="1"/>
  <c r="C51" i="1"/>
  <c r="D51" i="1" s="1"/>
  <c r="B51" i="1"/>
  <c r="B89" i="1" s="1"/>
  <c r="P50" i="1"/>
  <c r="P88" i="1" s="1"/>
  <c r="O50" i="1"/>
  <c r="O88" i="1" s="1"/>
  <c r="C50" i="1"/>
  <c r="D50" i="1" s="1"/>
  <c r="B50" i="1"/>
  <c r="N49" i="1"/>
  <c r="N87" i="1" s="1"/>
  <c r="B49" i="1"/>
  <c r="N48" i="1"/>
  <c r="N86" i="1" s="1"/>
  <c r="M48" i="1"/>
  <c r="M86" i="1" s="1"/>
  <c r="L48" i="1"/>
  <c r="L86" i="1" s="1"/>
  <c r="B48" i="1"/>
  <c r="M47" i="1"/>
  <c r="M85" i="1" s="1"/>
  <c r="C47" i="1"/>
  <c r="D47" i="1" s="1"/>
  <c r="B47" i="1"/>
  <c r="B85" i="1" s="1"/>
  <c r="P46" i="1"/>
  <c r="P84" i="1" s="1"/>
  <c r="O46" i="1"/>
  <c r="O84" i="1" s="1"/>
  <c r="B46" i="1"/>
  <c r="K45" i="1"/>
  <c r="J45" i="1"/>
  <c r="I45" i="1"/>
  <c r="B45" i="1"/>
  <c r="B83" i="1" s="1"/>
  <c r="O44" i="1"/>
  <c r="N44" i="1"/>
  <c r="M44" i="1"/>
  <c r="L44" i="1"/>
  <c r="L82" i="1" s="1"/>
  <c r="K44" i="1"/>
  <c r="J44" i="1"/>
  <c r="B44" i="1"/>
  <c r="C38" i="1"/>
  <c r="B38" i="1"/>
  <c r="F37" i="1"/>
  <c r="F38" i="1" s="1"/>
  <c r="B37" i="1"/>
  <c r="P36" i="1"/>
  <c r="Q36" i="1" s="1"/>
  <c r="R36" i="1" s="1"/>
  <c r="D36" i="1"/>
  <c r="P35" i="1"/>
  <c r="O35" i="1"/>
  <c r="Q35" i="1" s="1"/>
  <c r="R35" i="1" s="1"/>
  <c r="D35" i="1"/>
  <c r="P34" i="1"/>
  <c r="O34" i="1"/>
  <c r="N34" i="1"/>
  <c r="Q34" i="1" s="1"/>
  <c r="R34" i="1" s="1"/>
  <c r="D34" i="1"/>
  <c r="P33" i="1"/>
  <c r="O33" i="1"/>
  <c r="O52" i="1" s="1"/>
  <c r="O90" i="1" s="1"/>
  <c r="N33" i="1"/>
  <c r="M33" i="1"/>
  <c r="D33" i="1"/>
  <c r="C33" i="1"/>
  <c r="P32" i="1"/>
  <c r="O32" i="1"/>
  <c r="N32" i="1"/>
  <c r="N51" i="1" s="1"/>
  <c r="N89" i="1" s="1"/>
  <c r="M32" i="1"/>
  <c r="M51" i="1" s="1"/>
  <c r="M89" i="1" s="1"/>
  <c r="L32" i="1"/>
  <c r="D32" i="1"/>
  <c r="R31" i="1"/>
  <c r="P31" i="1"/>
  <c r="Q31" i="1" s="1"/>
  <c r="O31" i="1"/>
  <c r="N31" i="1"/>
  <c r="M31" i="1"/>
  <c r="L31" i="1"/>
  <c r="K31" i="1"/>
  <c r="D31" i="1"/>
  <c r="P30" i="1"/>
  <c r="P49" i="1" s="1"/>
  <c r="P87" i="1" s="1"/>
  <c r="O30" i="1"/>
  <c r="O49" i="1" s="1"/>
  <c r="O87" i="1" s="1"/>
  <c r="N30" i="1"/>
  <c r="M30" i="1"/>
  <c r="C30" i="1"/>
  <c r="L30" i="1" s="1"/>
  <c r="P29" i="1"/>
  <c r="P48" i="1" s="1"/>
  <c r="P86" i="1" s="1"/>
  <c r="O29" i="1"/>
  <c r="O48" i="1" s="1"/>
  <c r="O86" i="1" s="1"/>
  <c r="N29" i="1"/>
  <c r="M29" i="1"/>
  <c r="L29" i="1"/>
  <c r="C29" i="1"/>
  <c r="K29" i="1" s="1"/>
  <c r="K48" i="1" s="1"/>
  <c r="K86" i="1" s="1"/>
  <c r="P28" i="1"/>
  <c r="P47" i="1" s="1"/>
  <c r="P85" i="1" s="1"/>
  <c r="O28" i="1"/>
  <c r="O47" i="1" s="1"/>
  <c r="O85" i="1" s="1"/>
  <c r="N28" i="1"/>
  <c r="Q28" i="1" s="1"/>
  <c r="R28" i="1" s="1"/>
  <c r="M28" i="1"/>
  <c r="L28" i="1"/>
  <c r="L47" i="1" s="1"/>
  <c r="L85" i="1" s="1"/>
  <c r="K28" i="1"/>
  <c r="J28" i="1"/>
  <c r="I28" i="1"/>
  <c r="H28" i="1"/>
  <c r="H47" i="1" s="1"/>
  <c r="D28" i="1"/>
  <c r="P27" i="1"/>
  <c r="O27" i="1"/>
  <c r="N27" i="1"/>
  <c r="N46" i="1" s="1"/>
  <c r="N84" i="1" s="1"/>
  <c r="C27" i="1"/>
  <c r="C37" i="1" s="1"/>
  <c r="D37" i="1" s="1"/>
  <c r="P26" i="1"/>
  <c r="P45" i="1" s="1"/>
  <c r="P83" i="1" s="1"/>
  <c r="O26" i="1"/>
  <c r="O45" i="1" s="1"/>
  <c r="N26" i="1"/>
  <c r="N45" i="1" s="1"/>
  <c r="M26" i="1"/>
  <c r="M45" i="1" s="1"/>
  <c r="M83" i="1" s="1"/>
  <c r="L26" i="1"/>
  <c r="L45" i="1" s="1"/>
  <c r="L83" i="1" s="1"/>
  <c r="K26" i="1"/>
  <c r="J26" i="1"/>
  <c r="I26" i="1"/>
  <c r="H26" i="1"/>
  <c r="G26" i="1"/>
  <c r="D26" i="1"/>
  <c r="P25" i="1"/>
  <c r="P44" i="1" s="1"/>
  <c r="P82" i="1" s="1"/>
  <c r="O25" i="1"/>
  <c r="N25" i="1"/>
  <c r="M25" i="1"/>
  <c r="L25" i="1"/>
  <c r="K25" i="1"/>
  <c r="J25" i="1"/>
  <c r="I25" i="1"/>
  <c r="H25" i="1"/>
  <c r="H44" i="1" s="1"/>
  <c r="G25" i="1"/>
  <c r="G44" i="1" s="1"/>
  <c r="F25" i="1"/>
  <c r="E25" i="1"/>
  <c r="E44" i="1" s="1"/>
  <c r="D25" i="1"/>
  <c r="B19" i="1"/>
  <c r="N18" i="1"/>
  <c r="N19" i="1" s="1"/>
  <c r="B18" i="1"/>
  <c r="P17" i="1"/>
  <c r="P55" i="1" s="1"/>
  <c r="C17" i="1"/>
  <c r="D17" i="1" s="1"/>
  <c r="C16" i="1"/>
  <c r="P15" i="1"/>
  <c r="P53" i="1" s="1"/>
  <c r="P91" i="1" s="1"/>
  <c r="O15" i="1"/>
  <c r="O53" i="1" s="1"/>
  <c r="O91" i="1" s="1"/>
  <c r="C15" i="1"/>
  <c r="N15" i="1" s="1"/>
  <c r="N53" i="1" s="1"/>
  <c r="O14" i="1"/>
  <c r="N14" i="1"/>
  <c r="M14" i="1"/>
  <c r="D14" i="1"/>
  <c r="C14" i="1"/>
  <c r="O13" i="1"/>
  <c r="N13" i="1"/>
  <c r="M13" i="1"/>
  <c r="L13" i="1"/>
  <c r="Q13" i="1" s="1"/>
  <c r="R13" i="1" s="1"/>
  <c r="D13" i="1"/>
  <c r="N12" i="1"/>
  <c r="N50" i="1" s="1"/>
  <c r="N88" i="1" s="1"/>
  <c r="M12" i="1"/>
  <c r="M50" i="1" s="1"/>
  <c r="M88" i="1" s="1"/>
  <c r="L12" i="1"/>
  <c r="L50" i="1" s="1"/>
  <c r="L88" i="1" s="1"/>
  <c r="K12" i="1"/>
  <c r="K50" i="1" s="1"/>
  <c r="D12" i="1"/>
  <c r="D11" i="1"/>
  <c r="C11" i="1"/>
  <c r="L10" i="1"/>
  <c r="C10" i="1"/>
  <c r="K10" i="1" s="1"/>
  <c r="K9" i="1"/>
  <c r="J9" i="1"/>
  <c r="I9" i="1"/>
  <c r="Q9" i="1" s="1"/>
  <c r="R9" i="1" s="1"/>
  <c r="H9" i="1"/>
  <c r="D9" i="1"/>
  <c r="C9" i="1"/>
  <c r="C8" i="1"/>
  <c r="C46" i="1" s="1"/>
  <c r="I7" i="1"/>
  <c r="C7" i="1"/>
  <c r="H7" i="1" s="1"/>
  <c r="H45" i="1" s="1"/>
  <c r="H83" i="1" s="1"/>
  <c r="H6" i="1"/>
  <c r="G6" i="1"/>
  <c r="F6" i="1"/>
  <c r="E6" i="1"/>
  <c r="E18" i="1" s="1"/>
  <c r="D6" i="1"/>
  <c r="C6" i="1"/>
  <c r="I4" i="3" l="1"/>
  <c r="M4" i="3"/>
  <c r="I6" i="3"/>
  <c r="J7" i="3"/>
  <c r="G6" i="3" s="1"/>
  <c r="L7" i="3"/>
  <c r="G7" i="3" s="1"/>
  <c r="K7" i="3"/>
  <c r="D46" i="1"/>
  <c r="C84" i="1"/>
  <c r="D84" i="1" s="1"/>
  <c r="Q50" i="1"/>
  <c r="R50" i="1" s="1"/>
  <c r="G82" i="1"/>
  <c r="L51" i="1"/>
  <c r="Q32" i="1"/>
  <c r="R32" i="1" s="1"/>
  <c r="B84" i="1"/>
  <c r="B94" i="1" s="1"/>
  <c r="B57" i="1"/>
  <c r="B56" i="1"/>
  <c r="R75" i="1"/>
  <c r="U3" i="2"/>
  <c r="S3" i="2"/>
  <c r="R3" i="2"/>
  <c r="C19" i="1"/>
  <c r="D19" i="1" s="1"/>
  <c r="C18" i="1"/>
  <c r="D18" i="1" s="1"/>
  <c r="H82" i="1"/>
  <c r="E82" i="1"/>
  <c r="M52" i="1"/>
  <c r="J8" i="1"/>
  <c r="J18" i="1" s="1"/>
  <c r="J19" i="1" s="1"/>
  <c r="I8" i="1"/>
  <c r="G8" i="1"/>
  <c r="H8" i="1"/>
  <c r="H18" i="1" s="1"/>
  <c r="H19" i="1" s="1"/>
  <c r="Q53" i="1"/>
  <c r="N91" i="1"/>
  <c r="Q91" i="1" s="1"/>
  <c r="F44" i="1"/>
  <c r="Q6" i="1"/>
  <c r="R6" i="1" s="1"/>
  <c r="Q12" i="1"/>
  <c r="R12" i="1" s="1"/>
  <c r="D83" i="1"/>
  <c r="E56" i="1"/>
  <c r="D89" i="1"/>
  <c r="S4" i="2"/>
  <c r="G18" i="1"/>
  <c r="G19" i="1" s="1"/>
  <c r="K47" i="1"/>
  <c r="K85" i="1" s="1"/>
  <c r="K18" i="1"/>
  <c r="K19" i="1" s="1"/>
  <c r="Q75" i="1"/>
  <c r="Q55" i="1"/>
  <c r="P93" i="1"/>
  <c r="Q93" i="1" s="1"/>
  <c r="K82" i="1"/>
  <c r="D8" i="1"/>
  <c r="Q26" i="1"/>
  <c r="R26" i="1" s="1"/>
  <c r="E19" i="1"/>
  <c r="J37" i="1"/>
  <c r="J38" i="1" s="1"/>
  <c r="D38" i="1"/>
  <c r="K88" i="1"/>
  <c r="Q88" i="1" s="1"/>
  <c r="R4" i="2"/>
  <c r="Q15" i="1"/>
  <c r="R15" i="1" s="1"/>
  <c r="U5" i="2"/>
  <c r="S5" i="2"/>
  <c r="R5" i="2"/>
  <c r="M15" i="2"/>
  <c r="M14" i="2"/>
  <c r="L18" i="1"/>
  <c r="L19" i="1" s="1"/>
  <c r="N37" i="1"/>
  <c r="N38" i="1" s="1"/>
  <c r="I47" i="1"/>
  <c r="I85" i="1" s="1"/>
  <c r="Q85" i="1" s="1"/>
  <c r="B95" i="1"/>
  <c r="I18" i="1"/>
  <c r="I19" i="1" s="1"/>
  <c r="D16" i="1"/>
  <c r="P16" i="1"/>
  <c r="P54" i="1" s="1"/>
  <c r="P92" i="1" s="1"/>
  <c r="O16" i="1"/>
  <c r="C54" i="1"/>
  <c r="O37" i="1"/>
  <c r="O38" i="1" s="1"/>
  <c r="N83" i="1"/>
  <c r="N94" i="1" s="1"/>
  <c r="N95" i="1" s="1"/>
  <c r="J47" i="1"/>
  <c r="J85" i="1" s="1"/>
  <c r="N52" i="1"/>
  <c r="N90" i="1" s="1"/>
  <c r="Q33" i="1"/>
  <c r="R33" i="1" s="1"/>
  <c r="N47" i="1"/>
  <c r="N85" i="1" s="1"/>
  <c r="R53" i="1"/>
  <c r="C91" i="1"/>
  <c r="D91" i="1" s="1"/>
  <c r="D53" i="1"/>
  <c r="L15" i="2"/>
  <c r="Q15" i="2" s="1"/>
  <c r="L14" i="2"/>
  <c r="R55" i="1"/>
  <c r="C49" i="1"/>
  <c r="M11" i="1"/>
  <c r="L11" i="1"/>
  <c r="L49" i="1" s="1"/>
  <c r="L87" i="1" s="1"/>
  <c r="K11" i="1"/>
  <c r="J11" i="1"/>
  <c r="O83" i="1"/>
  <c r="J82" i="1"/>
  <c r="N17" i="2"/>
  <c r="L27" i="1"/>
  <c r="L46" i="1" s="1"/>
  <c r="L84" i="1" s="1"/>
  <c r="P37" i="1"/>
  <c r="P38" i="1" s="1"/>
  <c r="P14" i="2"/>
  <c r="N15" i="2"/>
  <c r="Q17" i="1"/>
  <c r="R17" i="1" s="1"/>
  <c r="R25" i="1"/>
  <c r="M27" i="1"/>
  <c r="M46" i="1" s="1"/>
  <c r="M84" i="1" s="1"/>
  <c r="E37" i="1"/>
  <c r="I44" i="1"/>
  <c r="D45" i="1"/>
  <c r="O15" i="2"/>
  <c r="P14" i="1"/>
  <c r="Q14" i="1" s="1"/>
  <c r="R14" i="1" s="1"/>
  <c r="D27" i="1"/>
  <c r="D82" i="1"/>
  <c r="P6" i="2"/>
  <c r="J14" i="2"/>
  <c r="T7" i="2"/>
  <c r="V19" i="2"/>
  <c r="G27" i="1"/>
  <c r="C52" i="1"/>
  <c r="Q6" i="2"/>
  <c r="R6" i="2" s="1"/>
  <c r="X19" i="2"/>
  <c r="D7" i="1"/>
  <c r="D10" i="1"/>
  <c r="H27" i="1"/>
  <c r="D29" i="1"/>
  <c r="D30" i="1"/>
  <c r="D44" i="1"/>
  <c r="D55" i="1"/>
  <c r="F7" i="1"/>
  <c r="I10" i="1"/>
  <c r="Q10" i="1" s="1"/>
  <c r="R10" i="1" s="1"/>
  <c r="I27" i="1"/>
  <c r="I46" i="1" s="1"/>
  <c r="I84" i="1" s="1"/>
  <c r="I29" i="1"/>
  <c r="J30" i="1"/>
  <c r="C48" i="1"/>
  <c r="D56" i="1" s="1"/>
  <c r="G7" i="1"/>
  <c r="G45" i="1" s="1"/>
  <c r="G83" i="1" s="1"/>
  <c r="J10" i="1"/>
  <c r="D15" i="1"/>
  <c r="J27" i="1"/>
  <c r="J29" i="1"/>
  <c r="J48" i="1" s="1"/>
  <c r="J86" i="1" s="1"/>
  <c r="K30" i="1"/>
  <c r="K49" i="1" s="1"/>
  <c r="K87" i="1" s="1"/>
  <c r="K27" i="1"/>
  <c r="K46" i="1" s="1"/>
  <c r="K84" i="1" s="1"/>
  <c r="I37" i="1" l="1"/>
  <c r="I38" i="1" s="1"/>
  <c r="Q47" i="1"/>
  <c r="R47" i="1" s="1"/>
  <c r="Q8" i="1"/>
  <c r="R8" i="1" s="1"/>
  <c r="J49" i="1"/>
  <c r="Q30" i="1"/>
  <c r="R30" i="1" s="1"/>
  <c r="C90" i="1"/>
  <c r="D90" i="1" s="1"/>
  <c r="D52" i="1"/>
  <c r="Q7" i="1"/>
  <c r="R7" i="1" s="1"/>
  <c r="F45" i="1"/>
  <c r="Q27" i="1"/>
  <c r="R27" i="1" s="1"/>
  <c r="G46" i="1"/>
  <c r="G37" i="1"/>
  <c r="G38" i="1" s="1"/>
  <c r="L56" i="1"/>
  <c r="L57" i="1" s="1"/>
  <c r="M37" i="1"/>
  <c r="M38" i="1" s="1"/>
  <c r="K94" i="1"/>
  <c r="K95" i="1" s="1"/>
  <c r="Y19" i="2"/>
  <c r="L17" i="2"/>
  <c r="E57" i="1"/>
  <c r="T8" i="2"/>
  <c r="J17" i="2"/>
  <c r="W19" i="2"/>
  <c r="K37" i="1"/>
  <c r="K38" i="1" s="1"/>
  <c r="D48" i="1"/>
  <c r="C86" i="1"/>
  <c r="D86" i="1" s="1"/>
  <c r="M18" i="1"/>
  <c r="M19" i="1" s="1"/>
  <c r="M49" i="1"/>
  <c r="F82" i="1"/>
  <c r="D49" i="1"/>
  <c r="C87" i="1"/>
  <c r="D87" i="1" s="1"/>
  <c r="L89" i="1"/>
  <c r="Q89" i="1" s="1"/>
  <c r="Q51" i="1"/>
  <c r="R51" i="1" s="1"/>
  <c r="I82" i="1"/>
  <c r="E38" i="1"/>
  <c r="Q11" i="1"/>
  <c r="R11" i="1" s="1"/>
  <c r="I48" i="1"/>
  <c r="I56" i="1" s="1"/>
  <c r="I57" i="1" s="1"/>
  <c r="Q29" i="1"/>
  <c r="R29" i="1" s="1"/>
  <c r="K56" i="1"/>
  <c r="K57" i="1" s="1"/>
  <c r="S7" i="2"/>
  <c r="U7" i="2"/>
  <c r="U8" i="2" s="1"/>
  <c r="R37" i="1"/>
  <c r="Z19" i="2"/>
  <c r="M17" i="2"/>
  <c r="M90" i="1"/>
  <c r="Q52" i="1"/>
  <c r="R52" i="1" s="1"/>
  <c r="H46" i="1"/>
  <c r="H37" i="1"/>
  <c r="H38" i="1" s="1"/>
  <c r="D54" i="1"/>
  <c r="C92" i="1"/>
  <c r="D92" i="1" s="1"/>
  <c r="F18" i="1"/>
  <c r="Q82" i="1"/>
  <c r="E94" i="1"/>
  <c r="P18" i="1"/>
  <c r="P19" i="1" s="1"/>
  <c r="P52" i="1"/>
  <c r="N56" i="1"/>
  <c r="N57" i="1" s="1"/>
  <c r="J46" i="1"/>
  <c r="C57" i="1"/>
  <c r="D57" i="1" s="1"/>
  <c r="Q16" i="1"/>
  <c r="R16" i="1" s="1"/>
  <c r="O54" i="1"/>
  <c r="O18" i="1"/>
  <c r="O19" i="1" s="1"/>
  <c r="L37" i="1"/>
  <c r="L38" i="1" s="1"/>
  <c r="Q44" i="1"/>
  <c r="R44" i="1" s="1"/>
  <c r="E95" i="1" l="1"/>
  <c r="P90" i="1"/>
  <c r="P94" i="1" s="1"/>
  <c r="P95" i="1" s="1"/>
  <c r="P56" i="1"/>
  <c r="P57" i="1" s="1"/>
  <c r="Q49" i="1"/>
  <c r="R49" i="1" s="1"/>
  <c r="J87" i="1"/>
  <c r="J84" i="1"/>
  <c r="J94" i="1" s="1"/>
  <c r="J95" i="1" s="1"/>
  <c r="J56" i="1"/>
  <c r="J57" i="1" s="1"/>
  <c r="Q37" i="1"/>
  <c r="D22" i="1" s="1"/>
  <c r="Q90" i="1"/>
  <c r="C94" i="1"/>
  <c r="D94" i="1" s="1"/>
  <c r="I94" i="1"/>
  <c r="I95" i="1" s="1"/>
  <c r="F19" i="1"/>
  <c r="Q18" i="1"/>
  <c r="D3" i="1" s="1"/>
  <c r="Q46" i="1"/>
  <c r="R46" i="1" s="1"/>
  <c r="G84" i="1"/>
  <c r="G56" i="1"/>
  <c r="G57" i="1" s="1"/>
  <c r="C2" i="2"/>
  <c r="Q17" i="2"/>
  <c r="Q21" i="2"/>
  <c r="C95" i="1"/>
  <c r="D95" i="1" s="1"/>
  <c r="F94" i="1"/>
  <c r="F95" i="1" s="1"/>
  <c r="L94" i="1"/>
  <c r="L95" i="1" s="1"/>
  <c r="F83" i="1"/>
  <c r="Q83" i="1" s="1"/>
  <c r="R45" i="1"/>
  <c r="R56" i="1" s="1"/>
  <c r="O92" i="1"/>
  <c r="Q54" i="1"/>
  <c r="R54" i="1" s="1"/>
  <c r="O56" i="1"/>
  <c r="O57" i="1" s="1"/>
  <c r="I86" i="1"/>
  <c r="Q86" i="1" s="1"/>
  <c r="Q48" i="1"/>
  <c r="R48" i="1" s="1"/>
  <c r="F56" i="1"/>
  <c r="H84" i="1"/>
  <c r="H94" i="1" s="1"/>
  <c r="H95" i="1" s="1"/>
  <c r="H56" i="1"/>
  <c r="H57" i="1" s="1"/>
  <c r="M87" i="1"/>
  <c r="M94" i="1" s="1"/>
  <c r="M95" i="1" s="1"/>
  <c r="M56" i="1"/>
  <c r="M57" i="1" s="1"/>
  <c r="Q20" i="2"/>
  <c r="F57" i="1" l="1"/>
  <c r="Q92" i="1"/>
  <c r="O94" i="1"/>
  <c r="O95" i="1" s="1"/>
  <c r="Q87" i="1"/>
  <c r="R18" i="1"/>
  <c r="Q84" i="1"/>
  <c r="G94" i="1"/>
  <c r="G95" i="1" s="1"/>
  <c r="Q94" i="1" l="1"/>
</calcChain>
</file>

<file path=xl/sharedStrings.xml><?xml version="1.0" encoding="utf-8"?>
<sst xmlns="http://schemas.openxmlformats.org/spreadsheetml/2006/main" count="301" uniqueCount="117">
  <si>
    <t>VENDAS E RECONHECIMENTO DE RECEITA 2026 - CORPORATE E CONSULTING</t>
  </si>
  <si>
    <t>Cohort de vendas mensais e reconhecimento de receita ao longo do ano</t>
  </si>
  <si>
    <t>Total receita</t>
  </si>
  <si>
    <t>CORPORATE - Reconhecimento: 40% no M0 + 20% no M1 + 30% no M2 + 10% no M3</t>
  </si>
  <si>
    <t>Mês Venda</t>
  </si>
  <si>
    <t>Venda 2025</t>
  </si>
  <si>
    <t>Venda 2026 (R$)</t>
  </si>
  <si>
    <t>% Crescimento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</si>
  <si>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</si>
  <si>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</si>
  <si>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</si>
  <si>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</si>
  <si>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</si>
  <si>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</si>
  <si>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</si>
  <si>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</si>
  <si>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</si>
  <si>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</si>
  <si>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</si>
  <si>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</si>
  <si>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CHECK</t>
  </si>
  <si>
    <t>Receita para 2027</t>
  </si>
  <si>
    <t>TOTAL</t>
  </si>
  <si>
    <t>Média mensal</t>
  </si>
  <si>
    <t>Meta receita  2026</t>
  </si>
  <si>
    <t>CONSULTING - Reconhecimento: 40% no M0 + 12,5% por mês nos próximos 03meses (M+1 a M+3) + 2,5% por mês nos próximos 9 meses (M+4 a M+12)</t>
  </si>
  <si>
    <t>Meta receita 2026</t>
  </si>
  <si>
    <t>Corporate + Consulting 2026 (APENAS VENDAS 2026)</t>
  </si>
  <si>
    <t>,+ 10M sem data</t>
  </si>
  <si>
    <t>Meta receita Corporate + Consulting 2026</t>
  </si>
  <si>
    <t>Programado 2026</t>
  </si>
  <si>
    <t>Corporate + Consulting (Vendas 2026 + Programado)</t>
  </si>
  <si>
    <t>CONSULTING:</t>
  </si>
  <si>
    <t>• Reconhecimento: 40% no M0 + 12,5% por mês nos próximos 03meses (M+1 a M+3) + 2,5% por mês nos próximos 9 meses (M+4 a M+12)</t>
  </si>
  <si>
    <t>• Vendas do fim do ano terão parte da receita recorrente em 2027</t>
  </si>
  <si>
    <t>• Coluna CHECK mostra quanto fica em 2026 vs 2027</t>
  </si>
  <si>
    <t xml:space="preserve">50% das vendas de consulting são de projetos anuais (receita em 12 meses), e 50% são em projetos trimestrais e semestrais (receita de 3-6 meses). Na média, vamos considerar esse reconhecimento. </t>
  </si>
  <si>
    <t>IMPORTANTE:</t>
  </si>
  <si>
    <t>• Receita de cada mês = soma de múltiplas vendas passadas (cohort)</t>
  </si>
  <si>
    <t>• Janeiro recebe: vendas de Jan (40%) + vendas de Nov/2025 (60% do M+2)</t>
  </si>
  <si>
    <t>• Gestão de pipeline deve considerar esses timings</t>
  </si>
  <si>
    <t>KAM</t>
  </si>
  <si>
    <t>Tier</t>
  </si>
  <si>
    <t>Atuação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</si>
  <si>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</si>
  <si>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</si>
  <si>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</si>
  <si>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</si>
  <si>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</si>
  <si>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</si>
  <si>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</si>
  <si>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</si>
  <si>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</si>
  <si>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</si>
  <si>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</si>
  <si>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</si>
  <si>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Férias 15d</t>
  </si>
  <si>
    <t>Total</t>
  </si>
  <si>
    <t>Crescimento YoY</t>
  </si>
  <si>
    <t>Meta ano que vem</t>
  </si>
  <si>
    <t>Ano passado + produtividade AC</t>
  </si>
  <si>
    <t>Meta ano que vem + prod. AC</t>
  </si>
  <si>
    <t>S</t>
  </si>
  <si>
    <t>Carteira</t>
  </si>
  <si>
    <t>Lobel</t>
  </si>
  <si>
    <t>Pedro Lobel</t>
  </si>
  <si>
    <t>Fernanda</t>
  </si>
  <si>
    <t>Fernanda França Bittencourt</t>
  </si>
  <si>
    <t>Kohama</t>
  </si>
  <si>
    <t>Andre Luis Kohama</t>
  </si>
  <si>
    <t>B/A</t>
  </si>
  <si>
    <t>Álvaro</t>
  </si>
  <si>
    <t>Alvaro Carnio</t>
  </si>
  <si>
    <t>Inb./Carteira</t>
  </si>
  <si>
    <t>Gustavo</t>
  </si>
  <si>
    <t>GUSTAVO MARQUES DE ALMEIDA</t>
  </si>
  <si>
    <t>Caio P.</t>
  </si>
  <si>
    <t>CAIO BATISTA PAIXAO</t>
  </si>
  <si>
    <t>C/B</t>
  </si>
  <si>
    <t>Lígia</t>
  </si>
  <si>
    <t>LIGIA TORCATTO FRANZINI</t>
  </si>
  <si>
    <t>Felipe V.</t>
  </si>
  <si>
    <t>N.A.</t>
  </si>
  <si>
    <t>FELIPE BARBOSA DOS SANTOS VASCONCELOS</t>
  </si>
  <si>
    <t>Julia C.</t>
  </si>
  <si>
    <t>Julia Camargo</t>
  </si>
  <si>
    <t>C</t>
  </si>
  <si>
    <t>Inbound</t>
  </si>
  <si>
    <t>KAM 1</t>
  </si>
  <si>
    <t>KAM 2</t>
  </si>
  <si>
    <t>Kam Carteira</t>
  </si>
  <si>
    <t>KAM Inbound</t>
  </si>
  <si>
    <t>Mix Corp/Consult</t>
  </si>
  <si>
    <t>KAM contas ativas</t>
  </si>
  <si>
    <t>Meta Receita 2026</t>
  </si>
  <si>
    <t xml:space="preserve"> </t>
  </si>
  <si>
    <t>Buffer</t>
  </si>
  <si>
    <t>Tier S</t>
  </si>
  <si>
    <t>Tier A</t>
  </si>
  <si>
    <t xml:space="preserve">Tier B </t>
  </si>
  <si>
    <t>Tier C</t>
  </si>
  <si>
    <t>Data</t>
  </si>
  <si>
    <t>Vendas B2B</t>
  </si>
  <si>
    <t>BU</t>
  </si>
  <si>
    <t>Corporate</t>
  </si>
  <si>
    <t>Consulting</t>
  </si>
  <si>
    <t>Total Vendas B2B</t>
  </si>
  <si>
    <t>Total Vendas KAM</t>
  </si>
  <si>
    <t>Seguindo padrao 2025</t>
  </si>
  <si>
    <t>B2C</t>
  </si>
  <si>
    <t>Guarda chuva/outros</t>
  </si>
  <si>
    <t>B2B</t>
  </si>
  <si>
    <t>Vendas KAM GC/OUTROS</t>
  </si>
  <si>
    <t>Venda KAM NÃO B2B</t>
  </si>
  <si>
    <t>Missoes</t>
  </si>
  <si>
    <t>Vendas KAM B2C</t>
  </si>
  <si>
    <t>Vendas KAM Missões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</si>
</sst>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"/>
    <numFmt numFmtId="165" formatCode="_-&quot;R$&quot;\ * #,##0_-;\-&quot;R$&quot;\ * #,##0_-;_-&quot;R$&quot;\ * &quot;-&quot;??_-;_-@_-"/>
    <numFmt numFmtId="166" formatCode="0.0%"/>
    <numFmt numFmtId="167" formatCode="_-* #,##0_-;\-* #,##0_-;_-* &quot;-&quot;??_-;_-@_-"/>
    <numFmt numFmtId="168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i/>
      <sz val="12"/>
      <color rgb="FFFFFFFF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sz val="11"/>
      <color rgb="FF00B0F0"/>
      <name val="Aptos Narrow"/>
      <family val="2"/>
      <scheme val="minor"/>
    </font>
    <font>
      <b/>
      <sz val="11"/>
      <color theme="5" tint="0.59999389629810485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4472C4"/>
        <bgColor rgb="FFD9E2F3"/>
      </patternFill>
    </fill>
    <fill>
      <patternFill patternType="solid">
        <fgColor rgb="FF4472C4"/>
        <bgColor indexed="64"/>
      </patternFill>
    </fill>
    <fill>
      <patternFill patternType="solid">
        <fgColor theme="9" tint="-0.249977111117893"/>
        <bgColor rgb="FF4472C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9" tint="-0.249977111117893"/>
        <bgColor rgb="FFD9E2F3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164" fontId="0" fillId="0" borderId="0" xfId="0" applyNumberFormat="1"/>
    <xf numFmtId="0" fontId="9" fillId="3" borderId="0" xfId="0" applyFont="1" applyFill="1" applyAlignment="1">
      <alignment horizontal="center" vertical="center"/>
    </xf>
    <xf numFmtId="165" fontId="0" fillId="4" borderId="0" xfId="2" applyNumberFormat="1" applyFont="1" applyFill="1"/>
    <xf numFmtId="166" fontId="0" fillId="0" borderId="0" xfId="0" applyNumberFormat="1"/>
    <xf numFmtId="164" fontId="0" fillId="5" borderId="0" xfId="0" applyNumberFormat="1" applyFill="1"/>
    <xf numFmtId="164" fontId="0" fillId="6" borderId="0" xfId="0" applyNumberFormat="1" applyFill="1"/>
    <xf numFmtId="0" fontId="10" fillId="7" borderId="0" xfId="0" applyFont="1" applyFill="1"/>
    <xf numFmtId="165" fontId="10" fillId="7" borderId="0" xfId="0" applyNumberFormat="1" applyFont="1" applyFill="1"/>
    <xf numFmtId="164" fontId="10" fillId="7" borderId="0" xfId="0" applyNumberFormat="1" applyFont="1" applyFill="1"/>
    <xf numFmtId="166" fontId="3" fillId="8" borderId="0" xfId="0" applyNumberFormat="1" applyFont="1" applyFill="1"/>
    <xf numFmtId="164" fontId="2" fillId="9" borderId="0" xfId="0" applyNumberFormat="1" applyFont="1" applyFill="1"/>
    <xf numFmtId="0" fontId="0" fillId="10" borderId="0" xfId="0" applyFill="1"/>
    <xf numFmtId="165" fontId="0" fillId="10" borderId="0" xfId="0" applyNumberFormat="1" applyFill="1"/>
    <xf numFmtId="166" fontId="0" fillId="10" borderId="0" xfId="0" applyNumberFormat="1" applyFill="1"/>
    <xf numFmtId="165" fontId="0" fillId="5" borderId="0" xfId="2" applyNumberFormat="1" applyFont="1" applyFill="1"/>
    <xf numFmtId="0" fontId="9" fillId="11" borderId="0" xfId="0" applyFont="1" applyFill="1" applyAlignment="1">
      <alignment horizontal="center" vertical="center"/>
    </xf>
    <xf numFmtId="165" fontId="0" fillId="0" borderId="0" xfId="0" applyNumberFormat="1"/>
    <xf numFmtId="164" fontId="11" fillId="12" borderId="0" xfId="0" applyNumberFormat="1" applyFont="1" applyFill="1"/>
    <xf numFmtId="164" fontId="0" fillId="13" borderId="0" xfId="0" applyNumberFormat="1" applyFill="1"/>
    <xf numFmtId="165" fontId="0" fillId="0" borderId="0" xfId="2" applyNumberFormat="1" applyFont="1" applyFill="1"/>
    <xf numFmtId="0" fontId="10" fillId="14" borderId="0" xfId="0" applyFont="1" applyFill="1"/>
    <xf numFmtId="165" fontId="10" fillId="14" borderId="0" xfId="0" applyNumberFormat="1" applyFont="1" applyFill="1"/>
    <xf numFmtId="166" fontId="3" fillId="15" borderId="0" xfId="0" applyNumberFormat="1" applyFont="1" applyFill="1"/>
    <xf numFmtId="164" fontId="10" fillId="14" borderId="0" xfId="0" applyNumberFormat="1" applyFont="1" applyFill="1"/>
    <xf numFmtId="164" fontId="12" fillId="16" borderId="0" xfId="0" applyNumberFormat="1" applyFont="1" applyFill="1"/>
    <xf numFmtId="164" fontId="2" fillId="17" borderId="0" xfId="0" applyNumberFormat="1" applyFont="1" applyFill="1"/>
    <xf numFmtId="164" fontId="0" fillId="10" borderId="0" xfId="0" applyNumberFormat="1" applyFill="1"/>
    <xf numFmtId="166" fontId="3" fillId="10" borderId="0" xfId="0" applyNumberFormat="1" applyFont="1" applyFill="1"/>
    <xf numFmtId="165" fontId="0" fillId="0" borderId="0" xfId="2" applyNumberFormat="1" applyFont="1"/>
    <xf numFmtId="0" fontId="0" fillId="0" borderId="0" xfId="0" applyAlignment="1">
      <alignment horizontal="center"/>
    </xf>
    <xf numFmtId="0" fontId="9" fillId="18" borderId="0" xfId="0" applyFont="1" applyFill="1" applyAlignment="1">
      <alignment horizontal="center" vertical="center"/>
    </xf>
    <xf numFmtId="164" fontId="11" fillId="20" borderId="0" xfId="0" applyNumberFormat="1" applyFont="1" applyFill="1"/>
    <xf numFmtId="164" fontId="0" fillId="4" borderId="0" xfId="0" applyNumberFormat="1" applyFill="1"/>
    <xf numFmtId="164" fontId="12" fillId="21" borderId="0" xfId="0" applyNumberFormat="1" applyFont="1" applyFill="1"/>
    <xf numFmtId="164" fontId="2" fillId="19" borderId="0" xfId="0" applyNumberFormat="1" applyFont="1" applyFill="1"/>
    <xf numFmtId="0" fontId="13" fillId="0" borderId="0" xfId="0" applyFont="1"/>
    <xf numFmtId="0" fontId="14" fillId="0" borderId="0" xfId="0" applyFont="1"/>
    <xf numFmtId="0" fontId="2" fillId="22" borderId="0" xfId="0" applyFont="1" applyFill="1"/>
    <xf numFmtId="0" fontId="2" fillId="22" borderId="0" xfId="0" applyFont="1" applyFill="1" applyAlignment="1">
      <alignment horizontal="center"/>
    </xf>
    <xf numFmtId="0" fontId="3" fillId="22" borderId="0" xfId="0" applyFont="1" applyFill="1"/>
    <xf numFmtId="0" fontId="15" fillId="22" borderId="0" xfId="0" applyFont="1" applyFill="1" applyAlignment="1">
      <alignment horizontal="center"/>
    </xf>
    <xf numFmtId="0" fontId="16" fillId="22" borderId="0" xfId="0" applyFont="1" applyFill="1" applyAlignment="1">
      <alignment horizontal="center"/>
    </xf>
    <xf numFmtId="165" fontId="17" fillId="22" borderId="0" xfId="0" applyNumberFormat="1" applyFont="1" applyFill="1"/>
    <xf numFmtId="167" fontId="3" fillId="5" borderId="0" xfId="1" applyNumberFormat="1" applyFont="1" applyFill="1" applyAlignment="1">
      <alignment horizontal="center"/>
    </xf>
    <xf numFmtId="167" fontId="3" fillId="10" borderId="0" xfId="1" applyNumberFormat="1" applyFont="1" applyFill="1" applyAlignment="1">
      <alignment horizontal="center"/>
    </xf>
    <xf numFmtId="9" fontId="3" fillId="10" borderId="0" xfId="3" applyFont="1" applyFill="1" applyAlignment="1">
      <alignment horizontal="center"/>
    </xf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3" fillId="10" borderId="0" xfId="0" applyFont="1" applyFill="1" applyAlignment="1">
      <alignment horizontal="center"/>
    </xf>
    <xf numFmtId="0" fontId="15" fillId="22" borderId="0" xfId="0" applyFont="1" applyFill="1"/>
    <xf numFmtId="167" fontId="2" fillId="22" borderId="0" xfId="1" applyNumberFormat="1" applyFont="1" applyFill="1" applyAlignment="1">
      <alignment horizontal="center"/>
    </xf>
    <xf numFmtId="167" fontId="18" fillId="22" borderId="0" xfId="1" applyNumberFormat="1" applyFont="1" applyFill="1" applyAlignment="1">
      <alignment horizontal="center"/>
    </xf>
    <xf numFmtId="168" fontId="0" fillId="22" borderId="0" xfId="1" applyNumberFormat="1" applyFont="1" applyFill="1" applyAlignment="1">
      <alignment horizontal="center"/>
    </xf>
    <xf numFmtId="168" fontId="2" fillId="22" borderId="0" xfId="1" applyNumberFormat="1" applyFont="1" applyFill="1" applyAlignment="1">
      <alignment horizontal="center"/>
    </xf>
    <xf numFmtId="167" fontId="2" fillId="22" borderId="0" xfId="1" applyNumberFormat="1" applyFont="1" applyFill="1"/>
    <xf numFmtId="167" fontId="0" fillId="22" borderId="0" xfId="1" applyNumberFormat="1" applyFont="1" applyFill="1"/>
    <xf numFmtId="167" fontId="0" fillId="0" borderId="0" xfId="1" applyNumberFormat="1" applyFont="1"/>
    <xf numFmtId="9" fontId="0" fillId="0" borderId="0" xfId="3" applyFont="1"/>
    <xf numFmtId="165" fontId="0" fillId="5" borderId="0" xfId="2" applyNumberFormat="1" applyFont="1" applyFill="1" applyAlignment="1">
      <alignment horizontal="center"/>
    </xf>
    <xf numFmtId="0" fontId="2" fillId="0" borderId="1" xfId="0" applyFont="1" applyBorder="1"/>
    <xf numFmtId="0" fontId="4" fillId="0" borderId="0" xfId="0" applyFont="1"/>
    <xf numFmtId="9" fontId="0" fillId="0" borderId="0" xfId="0" applyNumberFormat="1" applyAlignment="1">
      <alignment horizontal="right"/>
    </xf>
    <xf numFmtId="0" fontId="7" fillId="18" borderId="0" xfId="0" applyFont="1" applyFill="1" applyAlignment="1">
      <alignment horizontal="center"/>
    </xf>
    <xf numFmtId="0" fontId="8" fillId="19" borderId="0" xfId="0" applyFont="1" applyFill="1"/>
    <xf numFmtId="0" fontId="0" fillId="5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7" fillId="11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7" fontId="0" fillId="23" borderId="2" xfId="0" applyNumberFormat="1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17" fontId="0" fillId="23" borderId="1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23" borderId="4" xfId="1" applyFont="1" applyFill="1" applyBorder="1" applyAlignment="1">
      <alignment horizontal="center"/>
    </xf>
    <xf numFmtId="43" fontId="0" fillId="23" borderId="5" xfId="1" applyFont="1" applyFill="1" applyBorder="1" applyAlignment="1">
      <alignment horizontal="center"/>
    </xf>
    <xf numFmtId="43" fontId="0" fillId="0" borderId="9" xfId="1" applyFont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9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0" fontId="0" fillId="24" borderId="0" xfId="0" applyFill="1" applyBorder="1"/>
    <xf numFmtId="0" fontId="0" fillId="0" borderId="0" xfId="0" applyBorder="1"/>
    <xf numFmtId="0" fontId="0" fillId="0" borderId="0" xfId="0" applyAlignment="1">
      <alignment horizontal="left" indent="1"/>
    </xf>
    <xf numFmtId="43" fontId="0" fillId="0" borderId="0" xfId="0" applyNumberFormat="1" applyAlignment="1">
      <alignment horizontal="left" indent="1"/>
    </xf>
    <xf numFmtId="0" fontId="0" fillId="0" borderId="6" xfId="0" applyBorder="1"/>
    <xf numFmtId="43" fontId="0" fillId="0" borderId="6" xfId="0" applyNumberFormat="1" applyBorder="1"/>
    <xf numFmtId="0" fontId="3" fillId="24" borderId="6" xfId="0" applyFont="1" applyFill="1" applyBorder="1"/>
    <xf numFmtId="44" fontId="3" fillId="24" borderId="6" xfId="2" applyFont="1" applyFill="1" applyBorder="1"/>
    <xf numFmtId="43" fontId="0" fillId="0" borderId="0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numFmt numFmtId="22" formatCode="mmm/yy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21</xdr:row>
      <xdr:rowOff>53340</xdr:rowOff>
    </xdr:from>
    <xdr:to>
      <xdr:col>8</xdr:col>
      <xdr:colOff>510540</xdr:colOff>
      <xdr:row>39</xdr:row>
      <xdr:rowOff>60960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2FCEA05-3009-4480-86A7-F10CA6645052}"/>
            </a:ext>
          </a:extLst>
        </xdr:cNvPr>
        <xdr:cNvSpPr/>
      </xdr:nvSpPr>
      <xdr:spPr>
        <a:xfrm>
          <a:off x="3078480" y="3893820"/>
          <a:ext cx="5128260" cy="329946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Premissas: </a:t>
          </a:r>
          <a:br>
            <a:rPr lang="pt-BR" sz="1100"/>
          </a:br>
          <a:r>
            <a:rPr lang="pt-BR" sz="1100"/>
            <a:t>Tier A</a:t>
          </a:r>
          <a:r>
            <a:rPr lang="pt-BR" sz="1100" baseline="0"/>
            <a:t> = 2M/mês | Tier B = 1M/mês | Tier C = 600k/mês</a:t>
          </a:r>
          <a:br>
            <a:rPr lang="pt-BR" sz="1100"/>
          </a:br>
          <a:r>
            <a:rPr lang="pt-BR" sz="1100"/>
            <a:t>Nos primeiros 12 meses, KAM  Tier C tem média histórica de 600-700k, vamos puxar para</a:t>
          </a:r>
          <a:r>
            <a:rPr lang="pt-BR" sz="1100" baseline="0"/>
            <a:t> 9 meses, após o 9º mês, mudança para Tier B com faturamento 1M/mês. Após 12º mês de atuação, com carteira madura e definida, mudança para Tier A com 2M/mês. </a:t>
          </a:r>
          <a:br>
            <a:rPr lang="pt-BR" sz="1100" baseline="0"/>
          </a:br>
          <a:r>
            <a:rPr lang="pt-BR" sz="1100" baseline="0"/>
            <a:t>KAMs outlier com rampagem e passagem de Tier mais rápida: Caio Paixão, Gustavo Almeida. </a:t>
          </a:r>
          <a:br>
            <a:rPr lang="pt-BR" sz="1100" baseline="0"/>
          </a:br>
          <a:r>
            <a:rPr lang="pt-BR" sz="1100" baseline="0"/>
            <a:t>Tier S = Resultado Tier A + 15% </a:t>
          </a:r>
          <a:br>
            <a:rPr lang="pt-BR" sz="1100" baseline="0"/>
          </a:br>
          <a:endParaRPr lang="pt-BR" sz="1100"/>
        </a:p>
        <a:p>
          <a:pPr algn="l"/>
          <a:r>
            <a:rPr lang="pt-BR" sz="1100"/>
            <a:t>Mix de produtos em</a:t>
          </a:r>
          <a:r>
            <a:rPr lang="pt-BR" sz="1100" baseline="0"/>
            <a:t> 2025 foi de: </a:t>
          </a:r>
        </a:p>
        <a:p>
          <a:pPr algn="l"/>
          <a:r>
            <a:rPr lang="pt-BR" sz="1100" baseline="0"/>
            <a:t>- 40% Corporate</a:t>
          </a:r>
        </a:p>
        <a:p>
          <a:pPr algn="l"/>
          <a:r>
            <a:rPr lang="pt-BR" sz="1100" baseline="0"/>
            <a:t>- 20% Consulting</a:t>
          </a:r>
        </a:p>
        <a:p>
          <a:pPr algn="l"/>
          <a:r>
            <a:rPr lang="pt-BR" sz="1100" baseline="0"/>
            <a:t>- 16% Missões</a:t>
          </a:r>
        </a:p>
        <a:p>
          <a:pPr algn="l"/>
          <a:r>
            <a:rPr lang="pt-BR" sz="1100" baseline="0"/>
            <a:t>- 8% Guarda-chuva</a:t>
          </a:r>
        </a:p>
        <a:p>
          <a:pPr algn="l"/>
          <a:r>
            <a:rPr lang="pt-BR" sz="1100" baseline="0"/>
            <a:t>- 8% B2C</a:t>
          </a:r>
        </a:p>
        <a:p>
          <a:pPr algn="l"/>
          <a:r>
            <a:rPr lang="pt-BR" sz="1100" baseline="0"/>
            <a:t>- 8% Outros</a:t>
          </a:r>
          <a:br>
            <a:rPr lang="pt-BR" sz="1100" baseline="0"/>
          </a:br>
          <a:br>
            <a:rPr lang="pt-BR" sz="1100" baseline="0"/>
          </a:b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9BD44-6755-40FA-B2C9-65CA08485C27}" name="Table1" displayName="Table1" ref="B2:D26" totalsRowShown="0" headerRowDxfId="10" dataDxfId="15" headerRowBorderDxfId="11">
  <autoFilter ref="B2:D26" xr:uid="{5699BD44-6755-40FA-B2C9-65CA08485C27}"/>
  <tableColumns count="3">
    <tableColumn id="1" xr3:uid="{C04B7899-D2AE-4381-86DE-8540D1D22B8B}" name="Data" dataDxfId="14"/>
    <tableColumn id="2" xr3:uid="{C862CCE5-07FD-4BCE-89CF-C5061C6C18AF}" name="BU" dataDxfId="13"/>
    <tableColumn id="3" xr3:uid="{14A6E0A6-7C9C-483C-A45C-38800924707C}" name="Vendas B2B" dataDxfId="12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E492-A8AC-4D13-902F-8B1929657980}">
  <dimension ref="A1:R110"/>
  <sheetViews>
    <sheetView zoomScale="75" zoomScaleNormal="75" workbookViewId="0">
      <pane xSplit="4" ySplit="5" topLeftCell="E23" activePane="bottomRight" state="frozen"/>
      <selection activeCell="C57" sqref="C57"/>
      <selection pane="topRight" activeCell="C57" sqref="C57"/>
      <selection pane="bottomLeft" activeCell="C57" sqref="C57"/>
      <selection pane="bottomRight" activeCell="C31" sqref="C31"/>
    </sheetView>
  </sheetViews>
  <sheetFormatPr defaultRowHeight="14.5" x14ac:dyDescent="0.35"/>
  <cols>
    <col min="1" max="1" width="11.90625" customWidth="1"/>
    <col min="2" max="3" width="15.54296875" bestFit="1" customWidth="1"/>
    <col min="4" max="4" width="13.90625" bestFit="1" customWidth="1"/>
    <col min="5" max="7" width="16.08984375" bestFit="1" customWidth="1"/>
    <col min="8" max="16" width="17.6328125" bestFit="1" customWidth="1"/>
    <col min="17" max="17" width="16.6328125" customWidth="1"/>
    <col min="18" max="18" width="16.54296875" bestFit="1" customWidth="1"/>
  </cols>
  <sheetData>
    <row r="1" spans="1:18" ht="25.25" customHeight="1" x14ac:dyDescent="0.35">
      <c r="A1" s="67" t="s">
        <v>0</v>
      </c>
      <c r="B1" s="6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8" x14ac:dyDescent="0.35">
      <c r="A2" s="69" t="s">
        <v>1</v>
      </c>
      <c r="B2" s="69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8" x14ac:dyDescent="0.35">
      <c r="C3" t="s">
        <v>2</v>
      </c>
      <c r="D3" s="1">
        <f>Q18</f>
        <v>61134160</v>
      </c>
    </row>
    <row r="4" spans="1:18" ht="20" customHeight="1" x14ac:dyDescent="0.35">
      <c r="A4" s="70" t="s">
        <v>3</v>
      </c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8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</row>
    <row r="6" spans="1:18" x14ac:dyDescent="0.35">
      <c r="A6" t="s">
        <v>8</v>
      </c>
      <c r="B6" s="3">
        <v>2302461</v>
      </c>
      <c r="C6" s="1">
        <f>7854600/2</f>
        <v>3927300</v>
      </c>
      <c r="D6" s="4">
        <f>(C6-B6)/B6</f>
        <v>0.70569664372165264</v>
      </c>
      <c r="E6" s="1">
        <f>C6*40%</f>
        <v>1570920</v>
      </c>
      <c r="F6" s="1">
        <f>C6*20%</f>
        <v>785460</v>
      </c>
      <c r="G6" s="1">
        <f>C6*30%</f>
        <v>1178190</v>
      </c>
      <c r="H6" s="1">
        <f>C6*10%</f>
        <v>392730</v>
      </c>
      <c r="I6" s="5"/>
      <c r="J6" s="5"/>
      <c r="K6" s="5"/>
      <c r="L6" s="5"/>
      <c r="M6" s="5"/>
      <c r="N6" s="5"/>
      <c r="O6" s="5"/>
      <c r="P6" s="5"/>
      <c r="Q6" s="6">
        <f>SUM(E6:P6)</f>
        <v>3927300</v>
      </c>
      <c r="R6" s="6">
        <f>C6-Q6</f>
        <v>0</v>
      </c>
    </row>
    <row r="7" spans="1:18" x14ac:dyDescent="0.35">
      <c r="A7" t="s">
        <v>9</v>
      </c>
      <c r="B7" s="3">
        <v>5552625.3900000006</v>
      </c>
      <c r="C7" s="1">
        <f>8268000-3000000</f>
        <v>5268000</v>
      </c>
      <c r="D7" s="4">
        <f t="shared" ref="D7:D18" si="0">(C7-B7)/B7</f>
        <v>-5.1259606043763846E-2</v>
      </c>
      <c r="E7" s="5"/>
      <c r="F7" s="1">
        <f>C7*40%</f>
        <v>2107200</v>
      </c>
      <c r="G7" s="1">
        <f>C7*20%</f>
        <v>1053600</v>
      </c>
      <c r="H7" s="1">
        <f>C7*30%</f>
        <v>1580400</v>
      </c>
      <c r="I7" s="1">
        <f>C7*10%</f>
        <v>526800</v>
      </c>
      <c r="J7" s="5"/>
      <c r="K7" s="5"/>
      <c r="L7" s="5"/>
      <c r="M7" s="5"/>
      <c r="N7" s="5"/>
      <c r="O7" s="5"/>
      <c r="P7" s="5"/>
      <c r="Q7" s="6">
        <f t="shared" ref="Q7:R18" si="1">SUM(E7:P7)</f>
        <v>5268000</v>
      </c>
      <c r="R7" s="6">
        <f t="shared" ref="R7:R17" si="2">C7-Q7</f>
        <v>0</v>
      </c>
    </row>
    <row r="8" spans="1:18" x14ac:dyDescent="0.35">
      <c r="A8" t="s">
        <v>10</v>
      </c>
      <c r="B8" s="3">
        <v>2918836</v>
      </c>
      <c r="C8" s="1">
        <f>9094800-1400000-2000000</f>
        <v>5694800</v>
      </c>
      <c r="D8" s="4">
        <f t="shared" si="0"/>
        <v>0.95105172061739685</v>
      </c>
      <c r="E8" s="5"/>
      <c r="F8" s="5"/>
      <c r="G8" s="1">
        <f>C8*40%</f>
        <v>2277920</v>
      </c>
      <c r="H8" s="1">
        <f>C8*20%</f>
        <v>1138960</v>
      </c>
      <c r="I8" s="1">
        <f>C8*30%</f>
        <v>1708440</v>
      </c>
      <c r="J8" s="1">
        <f>C8*10%</f>
        <v>569480</v>
      </c>
      <c r="K8" s="5"/>
      <c r="L8" s="5"/>
      <c r="M8" s="5"/>
      <c r="N8" s="5"/>
      <c r="O8" s="5"/>
      <c r="P8" s="5"/>
      <c r="Q8" s="6">
        <f t="shared" si="1"/>
        <v>5694800</v>
      </c>
      <c r="R8" s="6">
        <f t="shared" si="2"/>
        <v>0</v>
      </c>
    </row>
    <row r="9" spans="1:18" x14ac:dyDescent="0.35">
      <c r="A9" t="s">
        <v>11</v>
      </c>
      <c r="B9" s="3">
        <v>4842301.62</v>
      </c>
      <c r="C9" s="1">
        <f>6201000-1000000</f>
        <v>5201000</v>
      </c>
      <c r="D9" s="4">
        <f t="shared" si="0"/>
        <v>7.407600933375974E-2</v>
      </c>
      <c r="E9" s="5"/>
      <c r="F9" s="5"/>
      <c r="G9" s="5"/>
      <c r="H9" s="1">
        <f>C9*40%</f>
        <v>2080400</v>
      </c>
      <c r="I9" s="1">
        <f>C9*20%</f>
        <v>1040200</v>
      </c>
      <c r="J9" s="1">
        <f>C9*30%</f>
        <v>1560300</v>
      </c>
      <c r="K9" s="1">
        <f>C9*10%</f>
        <v>520100</v>
      </c>
      <c r="L9" s="5"/>
      <c r="M9" s="5"/>
      <c r="N9" s="5"/>
      <c r="O9" s="5"/>
      <c r="P9" s="5"/>
      <c r="Q9" s="6">
        <f t="shared" si="1"/>
        <v>5201000</v>
      </c>
      <c r="R9" s="6">
        <f t="shared" si="2"/>
        <v>0</v>
      </c>
    </row>
    <row r="10" spans="1:18" x14ac:dyDescent="0.35">
      <c r="A10" t="s">
        <v>12</v>
      </c>
      <c r="B10" s="3">
        <v>2221421.04</v>
      </c>
      <c r="C10" s="1">
        <f>5787600+1300000-1000000</f>
        <v>6087600</v>
      </c>
      <c r="D10" s="4">
        <f t="shared" si="0"/>
        <v>1.7404080047787789</v>
      </c>
      <c r="E10" s="5"/>
      <c r="F10" s="5"/>
      <c r="G10" s="5"/>
      <c r="H10" s="5"/>
      <c r="I10" s="1">
        <f>C10*40%</f>
        <v>2435040</v>
      </c>
      <c r="J10" s="1">
        <f>C10*20%</f>
        <v>1217520</v>
      </c>
      <c r="K10" s="1">
        <f>C10*30%</f>
        <v>1826280</v>
      </c>
      <c r="L10" s="1">
        <f>C10*10%</f>
        <v>608760</v>
      </c>
      <c r="M10" s="5"/>
      <c r="N10" s="5"/>
      <c r="O10" s="5"/>
      <c r="P10" s="5"/>
      <c r="Q10" s="6">
        <f t="shared" si="1"/>
        <v>6087600</v>
      </c>
      <c r="R10" s="6">
        <f t="shared" si="2"/>
        <v>0</v>
      </c>
    </row>
    <row r="11" spans="1:18" x14ac:dyDescent="0.35">
      <c r="A11" t="s">
        <v>13</v>
      </c>
      <c r="B11" s="3">
        <v>7816841.6699999999</v>
      </c>
      <c r="C11" s="1">
        <f>11575200-2000000-2000000-1000000</f>
        <v>6575200</v>
      </c>
      <c r="D11" s="4">
        <f t="shared" si="0"/>
        <v>-0.15884185997591019</v>
      </c>
      <c r="E11" s="5"/>
      <c r="F11" s="5"/>
      <c r="G11" s="5"/>
      <c r="H11" s="5"/>
      <c r="I11" s="5"/>
      <c r="J11" s="1">
        <f>C11*40%</f>
        <v>2630080</v>
      </c>
      <c r="K11" s="1">
        <f>C11*20%</f>
        <v>1315040</v>
      </c>
      <c r="L11" s="1">
        <f>C11*30%</f>
        <v>1972560</v>
      </c>
      <c r="M11" s="1">
        <f>C11*10%</f>
        <v>657520</v>
      </c>
      <c r="N11" s="5"/>
      <c r="O11" s="5"/>
      <c r="P11" s="5"/>
      <c r="Q11" s="6">
        <f t="shared" si="1"/>
        <v>6575200</v>
      </c>
      <c r="R11" s="6">
        <f t="shared" si="2"/>
        <v>0</v>
      </c>
    </row>
    <row r="12" spans="1:18" x14ac:dyDescent="0.35">
      <c r="A12" t="s">
        <v>14</v>
      </c>
      <c r="B12" s="3">
        <v>3282767.74</v>
      </c>
      <c r="C12" s="1">
        <v>5374200</v>
      </c>
      <c r="D12" s="4">
        <f t="shared" si="0"/>
        <v>0.63709419174443316</v>
      </c>
      <c r="E12" s="5"/>
      <c r="F12" s="5"/>
      <c r="G12" s="5"/>
      <c r="H12" s="5"/>
      <c r="I12" s="5"/>
      <c r="J12" s="5"/>
      <c r="K12" s="1">
        <f>C12*40%</f>
        <v>2149680</v>
      </c>
      <c r="L12" s="1">
        <f>C12*20%</f>
        <v>1074840</v>
      </c>
      <c r="M12" s="1">
        <f>C12*30%</f>
        <v>1612260</v>
      </c>
      <c r="N12" s="1">
        <f>C12*10%</f>
        <v>537420</v>
      </c>
      <c r="O12" s="5"/>
      <c r="P12" s="5"/>
      <c r="Q12" s="6">
        <f t="shared" si="1"/>
        <v>5374200</v>
      </c>
      <c r="R12" s="6">
        <f t="shared" si="2"/>
        <v>0</v>
      </c>
    </row>
    <row r="13" spans="1:18" x14ac:dyDescent="0.35">
      <c r="A13" t="s">
        <v>15</v>
      </c>
      <c r="B13" s="3">
        <v>2984369.42</v>
      </c>
      <c r="C13" s="1">
        <v>6614400</v>
      </c>
      <c r="D13" s="4">
        <f t="shared" si="0"/>
        <v>1.2163475994871975</v>
      </c>
      <c r="E13" s="5"/>
      <c r="F13" s="5"/>
      <c r="G13" s="5"/>
      <c r="H13" s="5"/>
      <c r="I13" s="5"/>
      <c r="J13" s="5"/>
      <c r="K13" s="5"/>
      <c r="L13" s="1">
        <f>C13*40%</f>
        <v>2645760</v>
      </c>
      <c r="M13" s="1">
        <f>C13*20%</f>
        <v>1322880</v>
      </c>
      <c r="N13" s="1">
        <f>C13*30%</f>
        <v>1984320</v>
      </c>
      <c r="O13" s="1">
        <f>C13*10%</f>
        <v>661440</v>
      </c>
      <c r="P13" s="5"/>
      <c r="Q13" s="6">
        <f t="shared" si="1"/>
        <v>6614400</v>
      </c>
      <c r="R13" s="6">
        <f t="shared" si="2"/>
        <v>0</v>
      </c>
    </row>
    <row r="14" spans="1:18" x14ac:dyDescent="0.35">
      <c r="A14" t="s">
        <v>16</v>
      </c>
      <c r="B14" s="3">
        <v>2487018.69</v>
      </c>
      <c r="C14" s="1">
        <f>8681400-1500000-1000000</f>
        <v>6181400</v>
      </c>
      <c r="D14" s="4">
        <f t="shared" si="0"/>
        <v>1.4854658410307324</v>
      </c>
      <c r="E14" s="5"/>
      <c r="F14" s="5"/>
      <c r="G14" s="5"/>
      <c r="H14" s="5"/>
      <c r="I14" s="5"/>
      <c r="J14" s="5"/>
      <c r="K14" s="5"/>
      <c r="L14" s="5"/>
      <c r="M14" s="1">
        <f>C14*40%</f>
        <v>2472560</v>
      </c>
      <c r="N14" s="1">
        <f>C14*20%</f>
        <v>1236280</v>
      </c>
      <c r="O14" s="1">
        <f>C14*30%</f>
        <v>1854420</v>
      </c>
      <c r="P14" s="1">
        <f>C14*10%</f>
        <v>618140</v>
      </c>
      <c r="Q14" s="6">
        <f t="shared" si="1"/>
        <v>6181400</v>
      </c>
      <c r="R14" s="6">
        <f t="shared" si="2"/>
        <v>0</v>
      </c>
    </row>
    <row r="15" spans="1:18" x14ac:dyDescent="0.35">
      <c r="A15" t="s">
        <v>17</v>
      </c>
      <c r="B15" s="3">
        <v>1675000</v>
      </c>
      <c r="C15" s="1">
        <f>7854600-1300000</f>
        <v>6554600</v>
      </c>
      <c r="D15" s="4">
        <f t="shared" si="0"/>
        <v>2.9131940298507462</v>
      </c>
      <c r="E15" s="5"/>
      <c r="F15" s="5"/>
      <c r="G15" s="5"/>
      <c r="H15" s="5"/>
      <c r="I15" s="5"/>
      <c r="J15" s="5"/>
      <c r="K15" s="5"/>
      <c r="L15" s="5"/>
      <c r="M15" s="5"/>
      <c r="N15" s="1">
        <f>C15*40%</f>
        <v>2621840</v>
      </c>
      <c r="O15" s="1">
        <f>C15*20%</f>
        <v>1310920</v>
      </c>
      <c r="P15" s="1">
        <f>C15*30%</f>
        <v>1966380</v>
      </c>
      <c r="Q15" s="6">
        <f t="shared" si="1"/>
        <v>5899140</v>
      </c>
      <c r="R15" s="6">
        <f t="shared" si="2"/>
        <v>655460</v>
      </c>
    </row>
    <row r="16" spans="1:18" x14ac:dyDescent="0.35">
      <c r="A16" t="s">
        <v>18</v>
      </c>
      <c r="B16" s="3">
        <v>2244473</v>
      </c>
      <c r="C16" s="1">
        <f>3307200+1500000</f>
        <v>4807200</v>
      </c>
      <c r="D16" s="4">
        <f t="shared" si="0"/>
        <v>1.1417945326141148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1">
        <f>C16*40%</f>
        <v>1922880</v>
      </c>
      <c r="P16" s="1">
        <f>C16*20%</f>
        <v>961440</v>
      </c>
      <c r="Q16" s="6">
        <f t="shared" si="1"/>
        <v>2884320</v>
      </c>
      <c r="R16" s="6">
        <f t="shared" si="2"/>
        <v>1922880</v>
      </c>
    </row>
    <row r="17" spans="1:18" x14ac:dyDescent="0.35">
      <c r="A17" t="s">
        <v>19</v>
      </c>
      <c r="B17" s="3">
        <v>894800</v>
      </c>
      <c r="C17" s="1">
        <f>2067000+1500000</f>
        <v>3567000</v>
      </c>
      <c r="D17" s="4">
        <f t="shared" si="0"/>
        <v>2.9863656683057664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>
        <f>C17*40%</f>
        <v>1426800</v>
      </c>
      <c r="Q17" s="6">
        <f t="shared" si="1"/>
        <v>1426800</v>
      </c>
      <c r="R17" s="6">
        <f t="shared" si="2"/>
        <v>2140200</v>
      </c>
    </row>
    <row r="18" spans="1:18" x14ac:dyDescent="0.35">
      <c r="A18" s="7" t="s">
        <v>22</v>
      </c>
      <c r="B18" s="8">
        <f>SUM(B6:B17)</f>
        <v>39222915.57</v>
      </c>
      <c r="C18" s="9">
        <f>SUM(C6:C17)</f>
        <v>65852700</v>
      </c>
      <c r="D18" s="10">
        <f t="shared" si="0"/>
        <v>0.67893434343182868</v>
      </c>
      <c r="E18" s="9">
        <f>SUM(E6:E17)</f>
        <v>1570920</v>
      </c>
      <c r="F18" s="9">
        <f t="shared" ref="F18:P18" si="3">SUM(F6:F17)</f>
        <v>2892660</v>
      </c>
      <c r="G18" s="9">
        <f t="shared" si="3"/>
        <v>4509710</v>
      </c>
      <c r="H18" s="9">
        <f t="shared" si="3"/>
        <v>5192490</v>
      </c>
      <c r="I18" s="9">
        <f t="shared" si="3"/>
        <v>5710480</v>
      </c>
      <c r="J18" s="9">
        <f t="shared" si="3"/>
        <v>5977380</v>
      </c>
      <c r="K18" s="9">
        <f t="shared" si="3"/>
        <v>5811100</v>
      </c>
      <c r="L18" s="9">
        <f t="shared" si="3"/>
        <v>6301920</v>
      </c>
      <c r="M18" s="9">
        <f t="shared" si="3"/>
        <v>6065220</v>
      </c>
      <c r="N18" s="9">
        <f t="shared" si="3"/>
        <v>6379860</v>
      </c>
      <c r="O18" s="9">
        <f t="shared" si="3"/>
        <v>5749660</v>
      </c>
      <c r="P18" s="9">
        <f t="shared" si="3"/>
        <v>4972760</v>
      </c>
      <c r="Q18" s="11">
        <f t="shared" si="1"/>
        <v>61134160</v>
      </c>
      <c r="R18" s="11">
        <f t="shared" si="1"/>
        <v>120697400</v>
      </c>
    </row>
    <row r="19" spans="1:18" x14ac:dyDescent="0.35">
      <c r="A19" s="12" t="s">
        <v>23</v>
      </c>
      <c r="B19" s="13">
        <f>AVERAGE(B6:B17)</f>
        <v>3268576.2974999999</v>
      </c>
      <c r="C19" s="13">
        <f>AVERAGE(C6:C17)</f>
        <v>5487725</v>
      </c>
      <c r="D19" s="14">
        <f>(C19-B19)/B19</f>
        <v>0.67893434343182879</v>
      </c>
      <c r="E19" s="1">
        <f>E18-E20</f>
        <v>570920</v>
      </c>
      <c r="F19" s="1">
        <f>F18-F20</f>
        <v>-107340</v>
      </c>
      <c r="G19" s="1">
        <f t="shared" ref="G19:P19" si="4">G18-G20</f>
        <v>-490290</v>
      </c>
      <c r="H19" s="1">
        <f t="shared" si="4"/>
        <v>-1807510</v>
      </c>
      <c r="I19" s="1">
        <f t="shared" si="4"/>
        <v>-289520</v>
      </c>
      <c r="J19" s="1">
        <f t="shared" si="4"/>
        <v>-1022620</v>
      </c>
      <c r="K19" s="1">
        <f t="shared" si="4"/>
        <v>1311100</v>
      </c>
      <c r="L19" s="1">
        <f t="shared" si="4"/>
        <v>-198080</v>
      </c>
      <c r="M19" s="1">
        <f t="shared" si="4"/>
        <v>-934780</v>
      </c>
      <c r="N19" s="1">
        <f t="shared" si="4"/>
        <v>-620140</v>
      </c>
      <c r="O19" s="1">
        <f t="shared" si="4"/>
        <v>-250340</v>
      </c>
      <c r="P19" s="1">
        <f t="shared" si="4"/>
        <v>972760</v>
      </c>
    </row>
    <row r="20" spans="1:18" x14ac:dyDescent="0.35">
      <c r="A20" s="66" t="s">
        <v>24</v>
      </c>
      <c r="B20" s="66"/>
      <c r="C20" s="66"/>
      <c r="D20" s="66"/>
      <c r="E20" s="15">
        <v>1000000</v>
      </c>
      <c r="F20" s="15">
        <v>3000000</v>
      </c>
      <c r="G20" s="15">
        <v>5000000</v>
      </c>
      <c r="H20" s="15">
        <v>7000000</v>
      </c>
      <c r="I20" s="15">
        <v>6000000</v>
      </c>
      <c r="J20" s="15">
        <v>7000000</v>
      </c>
      <c r="K20" s="15">
        <v>4500000</v>
      </c>
      <c r="L20" s="15">
        <v>6500000</v>
      </c>
      <c r="M20" s="15">
        <v>7000000</v>
      </c>
      <c r="N20" s="15">
        <v>7000000</v>
      </c>
      <c r="O20" s="15">
        <v>6000000</v>
      </c>
      <c r="P20" s="15">
        <v>4000000</v>
      </c>
    </row>
    <row r="22" spans="1:18" x14ac:dyDescent="0.35">
      <c r="C22" t="s">
        <v>2</v>
      </c>
      <c r="D22" s="1">
        <f>Q37</f>
        <v>24209875</v>
      </c>
    </row>
    <row r="23" spans="1:18" ht="20" customHeight="1" x14ac:dyDescent="0.35">
      <c r="A23" s="72" t="s">
        <v>25</v>
      </c>
      <c r="B23" s="72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</row>
    <row r="24" spans="1:18" x14ac:dyDescent="0.35">
      <c r="A24" s="16" t="s">
        <v>4</v>
      </c>
      <c r="B24" s="16" t="s">
        <v>5</v>
      </c>
      <c r="C24" s="16" t="s">
        <v>6</v>
      </c>
      <c r="D24" s="16" t="s">
        <v>7</v>
      </c>
      <c r="E24" s="16" t="s">
        <v>8</v>
      </c>
      <c r="F24" s="16" t="s">
        <v>9</v>
      </c>
      <c r="G24" s="16" t="s">
        <v>10</v>
      </c>
      <c r="H24" s="16" t="s">
        <v>11</v>
      </c>
      <c r="I24" s="16" t="s">
        <v>12</v>
      </c>
      <c r="J24" s="16" t="s">
        <v>13</v>
      </c>
      <c r="K24" s="16" t="s">
        <v>14</v>
      </c>
      <c r="L24" s="16" t="s">
        <v>15</v>
      </c>
      <c r="M24" s="16" t="s">
        <v>16</v>
      </c>
      <c r="N24" s="16" t="s">
        <v>17</v>
      </c>
      <c r="O24" s="16" t="s">
        <v>18</v>
      </c>
      <c r="P24" s="16" t="s">
        <v>19</v>
      </c>
      <c r="Q24" s="16" t="s">
        <v>20</v>
      </c>
      <c r="R24" s="16" t="s">
        <v>21</v>
      </c>
    </row>
    <row r="25" spans="1:18" x14ac:dyDescent="0.35">
      <c r="A25" t="s">
        <v>8</v>
      </c>
      <c r="B25" s="17">
        <v>3124400</v>
      </c>
      <c r="C25" s="1">
        <v>2755000</v>
      </c>
      <c r="D25" s="4">
        <f>(C25-B25)/B25</f>
        <v>-0.11823070029445654</v>
      </c>
      <c r="E25" s="1">
        <f>C25*40%</f>
        <v>1102000</v>
      </c>
      <c r="F25" s="1">
        <f>$C25*12.5%</f>
        <v>344375</v>
      </c>
      <c r="G25" s="1">
        <f>$C25*12.5%</f>
        <v>344375</v>
      </c>
      <c r="H25" s="1">
        <f>$C25*12.5%</f>
        <v>344375</v>
      </c>
      <c r="I25" s="1">
        <f t="shared" ref="I25:P27" si="5">$C25*2.5%</f>
        <v>68875</v>
      </c>
      <c r="J25" s="1">
        <f t="shared" si="5"/>
        <v>68875</v>
      </c>
      <c r="K25" s="1">
        <f t="shared" si="5"/>
        <v>68875</v>
      </c>
      <c r="L25" s="1">
        <f t="shared" si="5"/>
        <v>68875</v>
      </c>
      <c r="M25" s="1">
        <f t="shared" si="5"/>
        <v>68875</v>
      </c>
      <c r="N25" s="1">
        <f t="shared" si="5"/>
        <v>68875</v>
      </c>
      <c r="O25" s="1">
        <f t="shared" si="5"/>
        <v>68875</v>
      </c>
      <c r="P25" s="1">
        <f t="shared" si="5"/>
        <v>68875</v>
      </c>
      <c r="Q25" s="18">
        <f>SUM(E25:P25)</f>
        <v>2686125</v>
      </c>
      <c r="R25" s="19">
        <f>C25-Q25</f>
        <v>68875</v>
      </c>
    </row>
    <row r="26" spans="1:18" x14ac:dyDescent="0.35">
      <c r="A26" t="s">
        <v>9</v>
      </c>
      <c r="B26" s="17">
        <v>3054000</v>
      </c>
      <c r="C26" s="1">
        <v>2900000</v>
      </c>
      <c r="D26" s="4">
        <f t="shared" ref="D26:D38" si="6">(C26-B26)/B26</f>
        <v>-5.04256712508186E-2</v>
      </c>
      <c r="E26" s="5"/>
      <c r="F26" s="1">
        <f>$C26*40%</f>
        <v>1160000</v>
      </c>
      <c r="G26" s="1">
        <f>$C26*12.5%</f>
        <v>362500</v>
      </c>
      <c r="H26" s="1">
        <f>$C26*12.5%</f>
        <v>362500</v>
      </c>
      <c r="I26" s="1">
        <f>$C26*12.5%</f>
        <v>362500</v>
      </c>
      <c r="J26" s="1">
        <f t="shared" si="5"/>
        <v>72500</v>
      </c>
      <c r="K26" s="1">
        <f t="shared" si="5"/>
        <v>72500</v>
      </c>
      <c r="L26" s="1">
        <f t="shared" si="5"/>
        <v>72500</v>
      </c>
      <c r="M26" s="1">
        <f t="shared" si="5"/>
        <v>72500</v>
      </c>
      <c r="N26" s="1">
        <f t="shared" si="5"/>
        <v>72500</v>
      </c>
      <c r="O26" s="1">
        <f t="shared" si="5"/>
        <v>72500</v>
      </c>
      <c r="P26" s="1">
        <f t="shared" si="5"/>
        <v>72500</v>
      </c>
      <c r="Q26" s="18">
        <f t="shared" ref="Q26:Q36" si="7">SUM(E26:P26)</f>
        <v>2755000</v>
      </c>
      <c r="R26" s="19">
        <f t="shared" ref="R26:R36" si="8">C26-Q26</f>
        <v>145000</v>
      </c>
    </row>
    <row r="27" spans="1:18" x14ac:dyDescent="0.35">
      <c r="A27" t="s">
        <v>10</v>
      </c>
      <c r="B27" s="17">
        <v>188600</v>
      </c>
      <c r="C27" s="1">
        <f>3190000-500000</f>
        <v>2690000</v>
      </c>
      <c r="D27" s="4">
        <f t="shared" si="6"/>
        <v>13.262990455991517</v>
      </c>
      <c r="E27" s="5"/>
      <c r="F27" s="5"/>
      <c r="G27" s="1">
        <f>$C27*40%</f>
        <v>1076000</v>
      </c>
      <c r="H27" s="1">
        <f>$C27*12.5%</f>
        <v>336250</v>
      </c>
      <c r="I27" s="1">
        <f>$C27*12.5%</f>
        <v>336250</v>
      </c>
      <c r="J27" s="1">
        <f>$C27*12.5%</f>
        <v>336250</v>
      </c>
      <c r="K27" s="1">
        <f t="shared" si="5"/>
        <v>67250</v>
      </c>
      <c r="L27" s="1">
        <f t="shared" si="5"/>
        <v>67250</v>
      </c>
      <c r="M27" s="1">
        <f t="shared" si="5"/>
        <v>67250</v>
      </c>
      <c r="N27" s="1">
        <f t="shared" si="5"/>
        <v>67250</v>
      </c>
      <c r="O27" s="1">
        <f t="shared" si="5"/>
        <v>67250</v>
      </c>
      <c r="P27" s="1">
        <f t="shared" si="5"/>
        <v>67250</v>
      </c>
      <c r="Q27" s="18">
        <f t="shared" si="7"/>
        <v>2488250</v>
      </c>
      <c r="R27" s="19">
        <f t="shared" si="8"/>
        <v>201750</v>
      </c>
    </row>
    <row r="28" spans="1:18" x14ac:dyDescent="0.35">
      <c r="A28" t="s">
        <v>11</v>
      </c>
      <c r="B28" s="17">
        <v>646560.04</v>
      </c>
      <c r="C28" s="1">
        <v>2175000</v>
      </c>
      <c r="D28" s="4">
        <f t="shared" si="6"/>
        <v>2.3639567332370244</v>
      </c>
      <c r="E28" s="5"/>
      <c r="F28" s="5"/>
      <c r="G28" s="5"/>
      <c r="H28" s="1">
        <f>$C28*40%</f>
        <v>870000</v>
      </c>
      <c r="I28" s="1">
        <f>$C28*12.5%</f>
        <v>271875</v>
      </c>
      <c r="J28" s="1">
        <f>$C28*12.5%</f>
        <v>271875</v>
      </c>
      <c r="K28" s="1">
        <f>$C28*12.5%</f>
        <v>271875</v>
      </c>
      <c r="L28" s="1">
        <f>$C28*2.5%</f>
        <v>54375</v>
      </c>
      <c r="M28" s="1">
        <f>$C28*2.5%</f>
        <v>54375</v>
      </c>
      <c r="N28" s="1">
        <f>$C28*2.5%</f>
        <v>54375</v>
      </c>
      <c r="O28" s="1">
        <f>$C28*2.5%</f>
        <v>54375</v>
      </c>
      <c r="P28" s="1">
        <f>$C28*2.5%</f>
        <v>54375</v>
      </c>
      <c r="Q28" s="18">
        <f t="shared" si="7"/>
        <v>1957500</v>
      </c>
      <c r="R28" s="19">
        <f t="shared" si="8"/>
        <v>217500</v>
      </c>
    </row>
    <row r="29" spans="1:18" x14ac:dyDescent="0.35">
      <c r="A29" t="s">
        <v>12</v>
      </c>
      <c r="B29" s="17">
        <v>2294424.91</v>
      </c>
      <c r="C29" s="1">
        <f>2030000+500000</f>
        <v>2530000</v>
      </c>
      <c r="D29" s="4">
        <f t="shared" si="6"/>
        <v>0.10267282619416812</v>
      </c>
      <c r="E29" s="5"/>
      <c r="F29" s="5"/>
      <c r="G29" s="5"/>
      <c r="H29" s="5"/>
      <c r="I29" s="1">
        <f>$C29*40%</f>
        <v>1012000</v>
      </c>
      <c r="J29" s="1">
        <f>$C29*12.5%</f>
        <v>316250</v>
      </c>
      <c r="K29" s="1">
        <f>$C29*12.5%</f>
        <v>316250</v>
      </c>
      <c r="L29" s="1">
        <f>$C29*12.5%</f>
        <v>316250</v>
      </c>
      <c r="M29" s="1">
        <f>$C29*2.5%</f>
        <v>63250</v>
      </c>
      <c r="N29" s="1">
        <f>$C29*2.5%</f>
        <v>63250</v>
      </c>
      <c r="O29" s="1">
        <f>$C29*2.5%</f>
        <v>63250</v>
      </c>
      <c r="P29" s="1">
        <f>$C29*2.5%</f>
        <v>63250</v>
      </c>
      <c r="Q29" s="18">
        <f t="shared" si="7"/>
        <v>2213750</v>
      </c>
      <c r="R29" s="19">
        <f t="shared" si="8"/>
        <v>316250</v>
      </c>
    </row>
    <row r="30" spans="1:18" x14ac:dyDescent="0.35">
      <c r="A30" t="s">
        <v>13</v>
      </c>
      <c r="B30" s="17">
        <v>425000</v>
      </c>
      <c r="C30" s="1">
        <f>4060000-500000-500000</f>
        <v>3060000</v>
      </c>
      <c r="D30" s="4">
        <f t="shared" si="6"/>
        <v>6.2</v>
      </c>
      <c r="E30" s="5"/>
      <c r="F30" s="5"/>
      <c r="G30" s="5"/>
      <c r="H30" s="5"/>
      <c r="I30" s="5"/>
      <c r="J30" s="1">
        <f>$C30*40%</f>
        <v>1224000</v>
      </c>
      <c r="K30" s="1">
        <f>$C30*12.5%</f>
        <v>382500</v>
      </c>
      <c r="L30" s="1">
        <f>$C30*12.5%</f>
        <v>382500</v>
      </c>
      <c r="M30" s="1">
        <f>$C30*12.5%</f>
        <v>382500</v>
      </c>
      <c r="N30" s="1">
        <f>$C30*2.5%</f>
        <v>76500</v>
      </c>
      <c r="O30" s="1">
        <f>$C30*2.5%</f>
        <v>76500</v>
      </c>
      <c r="P30" s="1">
        <f>$C30*2.5%</f>
        <v>76500</v>
      </c>
      <c r="Q30" s="18">
        <f t="shared" si="7"/>
        <v>2601000</v>
      </c>
      <c r="R30" s="19">
        <f t="shared" si="8"/>
        <v>459000</v>
      </c>
    </row>
    <row r="31" spans="1:18" x14ac:dyDescent="0.35">
      <c r="A31" t="s">
        <v>14</v>
      </c>
      <c r="B31" s="17">
        <v>527000</v>
      </c>
      <c r="C31" s="1">
        <v>1885000</v>
      </c>
      <c r="D31" s="4">
        <f t="shared" si="6"/>
        <v>2.5768500948766602</v>
      </c>
      <c r="E31" s="5"/>
      <c r="F31" s="5"/>
      <c r="G31" s="5"/>
      <c r="H31" s="5"/>
      <c r="I31" s="5"/>
      <c r="J31" s="5"/>
      <c r="K31" s="1">
        <f>$C31*40%</f>
        <v>754000</v>
      </c>
      <c r="L31" s="1">
        <f>$C31*12.5%</f>
        <v>235625</v>
      </c>
      <c r="M31" s="1">
        <f>$C31*12.5%</f>
        <v>235625</v>
      </c>
      <c r="N31" s="1">
        <f>$C31*12.5%</f>
        <v>235625</v>
      </c>
      <c r="O31" s="1">
        <f>$C31*2.5%</f>
        <v>47125</v>
      </c>
      <c r="P31" s="1">
        <f>$C31*2.5%</f>
        <v>47125</v>
      </c>
      <c r="Q31" s="18">
        <f t="shared" si="7"/>
        <v>1555125</v>
      </c>
      <c r="R31" s="19">
        <f t="shared" si="8"/>
        <v>329875</v>
      </c>
    </row>
    <row r="32" spans="1:18" x14ac:dyDescent="0.35">
      <c r="A32" t="s">
        <v>15</v>
      </c>
      <c r="B32" s="17">
        <v>1900500</v>
      </c>
      <c r="C32" s="1">
        <v>2320000</v>
      </c>
      <c r="D32" s="4">
        <f t="shared" si="6"/>
        <v>0.22073138647724283</v>
      </c>
      <c r="E32" s="5"/>
      <c r="F32" s="5"/>
      <c r="G32" s="5"/>
      <c r="H32" s="5"/>
      <c r="I32" s="5"/>
      <c r="J32" s="5"/>
      <c r="K32" s="5"/>
      <c r="L32" s="1">
        <f>$C32*40%</f>
        <v>928000</v>
      </c>
      <c r="M32" s="1">
        <f>$C32*12.5%</f>
        <v>290000</v>
      </c>
      <c r="N32" s="1">
        <f>$C32*12.5%</f>
        <v>290000</v>
      </c>
      <c r="O32" s="1">
        <f>$C32*12.5%</f>
        <v>290000</v>
      </c>
      <c r="P32" s="1">
        <f>$C32*2.5%</f>
        <v>58000</v>
      </c>
      <c r="Q32" s="18">
        <f t="shared" si="7"/>
        <v>1856000</v>
      </c>
      <c r="R32" s="19">
        <f t="shared" si="8"/>
        <v>464000</v>
      </c>
    </row>
    <row r="33" spans="1:18" x14ac:dyDescent="0.35">
      <c r="A33" t="s">
        <v>16</v>
      </c>
      <c r="B33" s="17">
        <v>3252786.3</v>
      </c>
      <c r="C33" s="1">
        <f>3045000-500000</f>
        <v>2545000</v>
      </c>
      <c r="D33" s="4">
        <f t="shared" si="6"/>
        <v>-0.2175938517694814</v>
      </c>
      <c r="E33" s="5"/>
      <c r="F33" s="5"/>
      <c r="G33" s="5"/>
      <c r="H33" s="5"/>
      <c r="I33" s="5"/>
      <c r="J33" s="5"/>
      <c r="K33" s="5"/>
      <c r="L33" s="5"/>
      <c r="M33" s="1">
        <f>$C33*40%</f>
        <v>1018000</v>
      </c>
      <c r="N33" s="1">
        <f>$C33*12.5%</f>
        <v>318125</v>
      </c>
      <c r="O33" s="1">
        <f>$C33*12.5%</f>
        <v>318125</v>
      </c>
      <c r="P33" s="1">
        <f>$C33*12.5%</f>
        <v>318125</v>
      </c>
      <c r="Q33" s="18">
        <f t="shared" si="7"/>
        <v>1972375</v>
      </c>
      <c r="R33" s="19">
        <f t="shared" si="8"/>
        <v>572625</v>
      </c>
    </row>
    <row r="34" spans="1:18" x14ac:dyDescent="0.35">
      <c r="A34" t="s">
        <v>17</v>
      </c>
      <c r="B34" s="17">
        <v>2663259.12</v>
      </c>
      <c r="C34" s="1">
        <v>2755000</v>
      </c>
      <c r="D34" s="4">
        <f t="shared" si="6"/>
        <v>3.4446847214776415E-2</v>
      </c>
      <c r="E34" s="5"/>
      <c r="F34" s="5"/>
      <c r="G34" s="5"/>
      <c r="H34" s="5"/>
      <c r="I34" s="5"/>
      <c r="J34" s="5"/>
      <c r="K34" s="5"/>
      <c r="L34" s="5"/>
      <c r="M34" s="5"/>
      <c r="N34" s="1">
        <f>$C34*40%</f>
        <v>1102000</v>
      </c>
      <c r="O34" s="1">
        <f>$C34*12.5%</f>
        <v>344375</v>
      </c>
      <c r="P34" s="1">
        <f>$C34*12.5%</f>
        <v>344375</v>
      </c>
      <c r="Q34" s="18">
        <f t="shared" si="7"/>
        <v>1790750</v>
      </c>
      <c r="R34" s="19">
        <f t="shared" si="8"/>
        <v>964250</v>
      </c>
    </row>
    <row r="35" spans="1:18" x14ac:dyDescent="0.35">
      <c r="A35" t="s">
        <v>18</v>
      </c>
      <c r="B35" s="20">
        <v>865000</v>
      </c>
      <c r="C35" s="1">
        <v>2160000</v>
      </c>
      <c r="D35" s="4">
        <f t="shared" si="6"/>
        <v>1.4971098265895955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1">
        <f>$C35*40%</f>
        <v>864000</v>
      </c>
      <c r="P35" s="1">
        <f>$C35*12.5%</f>
        <v>270000</v>
      </c>
      <c r="Q35" s="18">
        <f t="shared" si="7"/>
        <v>1134000</v>
      </c>
      <c r="R35" s="19">
        <f t="shared" si="8"/>
        <v>1026000</v>
      </c>
    </row>
    <row r="36" spans="1:18" x14ac:dyDescent="0.35">
      <c r="A36" t="s">
        <v>19</v>
      </c>
      <c r="B36" s="20">
        <v>3162299</v>
      </c>
      <c r="C36" s="1">
        <v>3000000</v>
      </c>
      <c r="D36" s="4">
        <f t="shared" si="6"/>
        <v>-5.1323103855770755E-2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1">
        <f>$C36*40%</f>
        <v>1200000</v>
      </c>
      <c r="Q36" s="18">
        <f t="shared" si="7"/>
        <v>1200000</v>
      </c>
      <c r="R36" s="19">
        <f t="shared" si="8"/>
        <v>1800000</v>
      </c>
    </row>
    <row r="37" spans="1:18" x14ac:dyDescent="0.35">
      <c r="A37" s="21" t="s">
        <v>22</v>
      </c>
      <c r="B37" s="22">
        <f>SUM(B25:B36)</f>
        <v>22103829.370000001</v>
      </c>
      <c r="C37" s="22">
        <f>SUM(C25:C36)</f>
        <v>30775000</v>
      </c>
      <c r="D37" s="23">
        <f t="shared" si="6"/>
        <v>0.39229268760863578</v>
      </c>
      <c r="E37" s="24">
        <f>SUM(E25:E36)</f>
        <v>1102000</v>
      </c>
      <c r="F37" s="24">
        <f t="shared" ref="F37:P37" si="9">SUM(F25:F36)</f>
        <v>1504375</v>
      </c>
      <c r="G37" s="24">
        <f t="shared" si="9"/>
        <v>1782875</v>
      </c>
      <c r="H37" s="24">
        <f t="shared" si="9"/>
        <v>1913125</v>
      </c>
      <c r="I37" s="24">
        <f t="shared" si="9"/>
        <v>2051500</v>
      </c>
      <c r="J37" s="24">
        <f t="shared" si="9"/>
        <v>2289750</v>
      </c>
      <c r="K37" s="24">
        <f t="shared" si="9"/>
        <v>1933250</v>
      </c>
      <c r="L37" s="24">
        <f t="shared" si="9"/>
        <v>2125375</v>
      </c>
      <c r="M37" s="24">
        <f t="shared" si="9"/>
        <v>2252375</v>
      </c>
      <c r="N37" s="24">
        <f t="shared" si="9"/>
        <v>2348500</v>
      </c>
      <c r="O37" s="24">
        <f t="shared" si="9"/>
        <v>2266375</v>
      </c>
      <c r="P37" s="24">
        <f t="shared" si="9"/>
        <v>2640375</v>
      </c>
      <c r="Q37" s="25">
        <f>SUM(E37:P37)</f>
        <v>24209875</v>
      </c>
      <c r="R37" s="26">
        <f>SUM(R25:R36)</f>
        <v>6565125</v>
      </c>
    </row>
    <row r="38" spans="1:18" x14ac:dyDescent="0.35">
      <c r="A38" s="12" t="s">
        <v>23</v>
      </c>
      <c r="B38" s="13">
        <f>AVERAGE(B25:B34)</f>
        <v>1807653.037</v>
      </c>
      <c r="C38" s="27">
        <f>AVERAGE(C25:C36)</f>
        <v>2564583.3333333335</v>
      </c>
      <c r="D38" s="28">
        <f t="shared" si="6"/>
        <v>0.41873649469233487</v>
      </c>
      <c r="E38" s="29">
        <f>E37-E39</f>
        <v>-98000</v>
      </c>
      <c r="F38" s="29">
        <f t="shared" ref="F38:P38" si="10">F37-F39</f>
        <v>-95625</v>
      </c>
      <c r="G38" s="29">
        <f t="shared" si="10"/>
        <v>-217125</v>
      </c>
      <c r="H38" s="29">
        <f t="shared" si="10"/>
        <v>-86875</v>
      </c>
      <c r="I38" s="29">
        <f t="shared" si="10"/>
        <v>-248500</v>
      </c>
      <c r="J38" s="29">
        <f t="shared" si="10"/>
        <v>-110250</v>
      </c>
      <c r="K38" s="29">
        <f t="shared" si="10"/>
        <v>-66750</v>
      </c>
      <c r="L38" s="29">
        <f t="shared" si="10"/>
        <v>-374625</v>
      </c>
      <c r="M38" s="29">
        <f t="shared" si="10"/>
        <v>-247625</v>
      </c>
      <c r="N38" s="29">
        <f t="shared" si="10"/>
        <v>-151500</v>
      </c>
      <c r="O38" s="29">
        <f t="shared" si="10"/>
        <v>-233625</v>
      </c>
      <c r="P38" s="29">
        <f t="shared" si="10"/>
        <v>1140375</v>
      </c>
    </row>
    <row r="39" spans="1:18" x14ac:dyDescent="0.35">
      <c r="A39" s="66" t="s">
        <v>26</v>
      </c>
      <c r="B39" s="66"/>
      <c r="C39" s="66"/>
      <c r="D39" s="66"/>
      <c r="E39" s="15">
        <v>1200000</v>
      </c>
      <c r="F39" s="15">
        <v>1600000</v>
      </c>
      <c r="G39" s="15">
        <v>2000000</v>
      </c>
      <c r="H39" s="15">
        <v>2000000</v>
      </c>
      <c r="I39" s="15">
        <v>2300000</v>
      </c>
      <c r="J39" s="15">
        <v>2400000</v>
      </c>
      <c r="K39" s="15">
        <v>2000000</v>
      </c>
      <c r="L39" s="15">
        <v>2500000</v>
      </c>
      <c r="M39" s="15">
        <v>2500000</v>
      </c>
      <c r="N39" s="15">
        <v>2500000</v>
      </c>
      <c r="O39" s="15">
        <v>2500000</v>
      </c>
      <c r="P39" s="15">
        <v>1500000</v>
      </c>
    </row>
    <row r="40" spans="1:18" x14ac:dyDescent="0.35">
      <c r="A40" s="30"/>
      <c r="B40" s="30"/>
      <c r="C40" s="30"/>
      <c r="D40" s="3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8" x14ac:dyDescent="0.35">
      <c r="A41" s="30"/>
      <c r="B41" s="30"/>
      <c r="C41" s="73">
        <f>C37+C18</f>
        <v>96627700</v>
      </c>
      <c r="D41" s="3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8" ht="15.5" x14ac:dyDescent="0.35">
      <c r="A42" s="64" t="s">
        <v>27</v>
      </c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 spans="1:18" x14ac:dyDescent="0.35">
      <c r="A43" s="31" t="s">
        <v>4</v>
      </c>
      <c r="B43" s="31" t="s">
        <v>5</v>
      </c>
      <c r="C43" s="31" t="s">
        <v>6</v>
      </c>
      <c r="D43" s="31" t="s">
        <v>7</v>
      </c>
      <c r="E43" s="31" t="s">
        <v>8</v>
      </c>
      <c r="F43" s="31" t="s">
        <v>9</v>
      </c>
      <c r="G43" s="31" t="s">
        <v>10</v>
      </c>
      <c r="H43" s="31" t="s">
        <v>11</v>
      </c>
      <c r="I43" s="31" t="s">
        <v>12</v>
      </c>
      <c r="J43" s="31" t="s">
        <v>13</v>
      </c>
      <c r="K43" s="31" t="s">
        <v>14</v>
      </c>
      <c r="L43" s="31" t="s">
        <v>15</v>
      </c>
      <c r="M43" s="31" t="s">
        <v>16</v>
      </c>
      <c r="N43" s="31" t="s">
        <v>17</v>
      </c>
      <c r="O43" s="31" t="s">
        <v>18</v>
      </c>
      <c r="P43" s="31" t="s">
        <v>19</v>
      </c>
      <c r="Q43" s="31" t="s">
        <v>20</v>
      </c>
      <c r="R43" s="31" t="s">
        <v>21</v>
      </c>
    </row>
    <row r="44" spans="1:18" x14ac:dyDescent="0.35">
      <c r="A44" t="s">
        <v>8</v>
      </c>
      <c r="B44" s="17">
        <f>SUM(B25+B6)</f>
        <v>5426861</v>
      </c>
      <c r="C44" s="1">
        <f>SUM(C6+C25)</f>
        <v>6682300</v>
      </c>
      <c r="D44" s="4">
        <f>(C44-B44)/B44</f>
        <v>0.23133796867102363</v>
      </c>
      <c r="E44" s="1">
        <f>SUM($E25+$E6)</f>
        <v>2672920</v>
      </c>
      <c r="F44" s="1">
        <f>SUM(F6+F25)</f>
        <v>1129835</v>
      </c>
      <c r="G44" s="1">
        <f t="shared" ref="G44:L51" si="11">SUM(G25+G6)</f>
        <v>1522565</v>
      </c>
      <c r="H44" s="1">
        <f t="shared" si="11"/>
        <v>737105</v>
      </c>
      <c r="I44" s="1">
        <f t="shared" si="11"/>
        <v>68875</v>
      </c>
      <c r="J44" s="1">
        <f t="shared" si="11"/>
        <v>68875</v>
      </c>
      <c r="K44" s="1">
        <f t="shared" si="11"/>
        <v>68875</v>
      </c>
      <c r="L44" s="1">
        <f t="shared" si="11"/>
        <v>68875</v>
      </c>
      <c r="M44" s="1">
        <f>SUM(M6+M25)</f>
        <v>68875</v>
      </c>
      <c r="N44" s="1">
        <f>SUM(N25+N6)</f>
        <v>68875</v>
      </c>
      <c r="O44" s="1">
        <f>SUM(O25+O6)</f>
        <v>68875</v>
      </c>
      <c r="P44" s="1">
        <f>SUM(P6+P25)</f>
        <v>68875</v>
      </c>
      <c r="Q44" s="32">
        <f>SUM(E44:P44)</f>
        <v>6613425</v>
      </c>
      <c r="R44" s="33">
        <f>C44-Q44</f>
        <v>68875</v>
      </c>
    </row>
    <row r="45" spans="1:18" x14ac:dyDescent="0.35">
      <c r="A45" t="s">
        <v>9</v>
      </c>
      <c r="B45" s="17">
        <f t="shared" ref="B45:B55" si="12">SUM(B26+B7)</f>
        <v>8606625.3900000006</v>
      </c>
      <c r="C45" s="1">
        <f>SUM(C7+C26)</f>
        <v>8168000</v>
      </c>
      <c r="D45" s="4">
        <f t="shared" ref="D45:D55" si="13">(C45-B45)/B45</f>
        <v>-5.0963690194955794E-2</v>
      </c>
      <c r="E45" s="5"/>
      <c r="F45" s="1">
        <f>SUM(F7+F26)</f>
        <v>3267200</v>
      </c>
      <c r="G45" s="1">
        <f t="shared" si="11"/>
        <v>1416100</v>
      </c>
      <c r="H45" s="1">
        <f t="shared" si="11"/>
        <v>1942900</v>
      </c>
      <c r="I45" s="1">
        <f t="shared" si="11"/>
        <v>889300</v>
      </c>
      <c r="J45" s="1">
        <f t="shared" si="11"/>
        <v>72500</v>
      </c>
      <c r="K45" s="1">
        <f t="shared" si="11"/>
        <v>72500</v>
      </c>
      <c r="L45" s="1">
        <f t="shared" si="11"/>
        <v>72500</v>
      </c>
      <c r="M45" s="1">
        <f t="shared" ref="M45:M52" si="14">SUM(M7+M26)</f>
        <v>72500</v>
      </c>
      <c r="N45" s="1">
        <f t="shared" ref="N45:O54" si="15">SUM(N26+N7)</f>
        <v>72500</v>
      </c>
      <c r="O45" s="1">
        <f t="shared" si="15"/>
        <v>72500</v>
      </c>
      <c r="P45" s="1">
        <f t="shared" ref="P45:P55" si="16">SUM(P7+P26)</f>
        <v>72500</v>
      </c>
      <c r="Q45" s="32">
        <f>SUM(E45:P45)</f>
        <v>8023000</v>
      </c>
      <c r="R45" s="33">
        <f t="shared" ref="R45:R55" si="17">C45-Q45</f>
        <v>145000</v>
      </c>
    </row>
    <row r="46" spans="1:18" x14ac:dyDescent="0.35">
      <c r="A46" t="s">
        <v>10</v>
      </c>
      <c r="B46" s="17">
        <f t="shared" si="12"/>
        <v>3107436</v>
      </c>
      <c r="C46" s="1">
        <f t="shared" ref="C45:C55" si="18">SUM(C8+C27)</f>
        <v>8384800</v>
      </c>
      <c r="D46" s="4">
        <f t="shared" si="13"/>
        <v>1.6983017510256044</v>
      </c>
      <c r="E46" s="5"/>
      <c r="F46" s="5"/>
      <c r="G46" s="1">
        <f t="shared" si="11"/>
        <v>3353920</v>
      </c>
      <c r="H46" s="1">
        <f t="shared" si="11"/>
        <v>1475210</v>
      </c>
      <c r="I46" s="1">
        <f t="shared" si="11"/>
        <v>2044690</v>
      </c>
      <c r="J46" s="1">
        <f t="shared" si="11"/>
        <v>905730</v>
      </c>
      <c r="K46" s="1">
        <f t="shared" si="11"/>
        <v>67250</v>
      </c>
      <c r="L46" s="1">
        <f t="shared" si="11"/>
        <v>67250</v>
      </c>
      <c r="M46" s="1">
        <f t="shared" si="14"/>
        <v>67250</v>
      </c>
      <c r="N46" s="1">
        <f t="shared" si="15"/>
        <v>67250</v>
      </c>
      <c r="O46" s="1">
        <f t="shared" si="15"/>
        <v>67250</v>
      </c>
      <c r="P46" s="1">
        <f t="shared" si="16"/>
        <v>67250</v>
      </c>
      <c r="Q46" s="32">
        <f t="shared" ref="Q45:Q55" si="19">SUM(E46:P46)</f>
        <v>8183050</v>
      </c>
      <c r="R46" s="33">
        <f t="shared" si="17"/>
        <v>201750</v>
      </c>
    </row>
    <row r="47" spans="1:18" x14ac:dyDescent="0.35">
      <c r="A47" t="s">
        <v>11</v>
      </c>
      <c r="B47" s="17">
        <f t="shared" si="12"/>
        <v>5488861.6600000001</v>
      </c>
      <c r="C47" s="1">
        <f t="shared" si="18"/>
        <v>7376000</v>
      </c>
      <c r="D47" s="4">
        <f t="shared" si="13"/>
        <v>0.3438123343046689</v>
      </c>
      <c r="E47" s="5"/>
      <c r="F47" s="5"/>
      <c r="G47" s="5"/>
      <c r="H47" s="1">
        <f t="shared" si="11"/>
        <v>2950400</v>
      </c>
      <c r="I47" s="1">
        <f t="shared" si="11"/>
        <v>1312075</v>
      </c>
      <c r="J47" s="1">
        <f t="shared" si="11"/>
        <v>1832175</v>
      </c>
      <c r="K47" s="1">
        <f t="shared" si="11"/>
        <v>791975</v>
      </c>
      <c r="L47" s="1">
        <f t="shared" si="11"/>
        <v>54375</v>
      </c>
      <c r="M47" s="1">
        <f t="shared" si="14"/>
        <v>54375</v>
      </c>
      <c r="N47" s="1">
        <f t="shared" si="15"/>
        <v>54375</v>
      </c>
      <c r="O47" s="1">
        <f t="shared" si="15"/>
        <v>54375</v>
      </c>
      <c r="P47" s="1">
        <f t="shared" si="16"/>
        <v>54375</v>
      </c>
      <c r="Q47" s="32">
        <f t="shared" si="19"/>
        <v>7158500</v>
      </c>
      <c r="R47" s="33">
        <f t="shared" si="17"/>
        <v>217500</v>
      </c>
    </row>
    <row r="48" spans="1:18" x14ac:dyDescent="0.35">
      <c r="A48" t="s">
        <v>12</v>
      </c>
      <c r="B48" s="17">
        <f t="shared" si="12"/>
        <v>4515845.95</v>
      </c>
      <c r="C48" s="1">
        <f t="shared" si="18"/>
        <v>8617600</v>
      </c>
      <c r="D48" s="4">
        <f t="shared" si="13"/>
        <v>0.90830247431270317</v>
      </c>
      <c r="E48" s="5"/>
      <c r="F48" s="5"/>
      <c r="G48" s="5"/>
      <c r="H48" s="5"/>
      <c r="I48" s="1">
        <f t="shared" si="11"/>
        <v>3447040</v>
      </c>
      <c r="J48" s="1">
        <f t="shared" si="11"/>
        <v>1533770</v>
      </c>
      <c r="K48" s="1">
        <f t="shared" si="11"/>
        <v>2142530</v>
      </c>
      <c r="L48" s="1">
        <f t="shared" si="11"/>
        <v>925010</v>
      </c>
      <c r="M48" s="1">
        <f t="shared" si="14"/>
        <v>63250</v>
      </c>
      <c r="N48" s="1">
        <f t="shared" si="15"/>
        <v>63250</v>
      </c>
      <c r="O48" s="1">
        <f t="shared" si="15"/>
        <v>63250</v>
      </c>
      <c r="P48" s="1">
        <f t="shared" si="16"/>
        <v>63250</v>
      </c>
      <c r="Q48" s="32">
        <f t="shared" si="19"/>
        <v>8301350</v>
      </c>
      <c r="R48" s="33">
        <f t="shared" si="17"/>
        <v>316250</v>
      </c>
    </row>
    <row r="49" spans="1:18" x14ac:dyDescent="0.35">
      <c r="A49" t="s">
        <v>13</v>
      </c>
      <c r="B49" s="17">
        <f t="shared" si="12"/>
        <v>8241841.6699999999</v>
      </c>
      <c r="C49" s="1">
        <f t="shared" si="18"/>
        <v>9635200</v>
      </c>
      <c r="D49" s="4">
        <f t="shared" si="13"/>
        <v>0.16905909938451902</v>
      </c>
      <c r="E49" s="5"/>
      <c r="F49" s="5"/>
      <c r="G49" s="5"/>
      <c r="H49" s="5"/>
      <c r="I49" s="5"/>
      <c r="J49" s="1">
        <f t="shared" si="11"/>
        <v>3854080</v>
      </c>
      <c r="K49" s="1">
        <f t="shared" si="11"/>
        <v>1697540</v>
      </c>
      <c r="L49" s="1">
        <f t="shared" si="11"/>
        <v>2355060</v>
      </c>
      <c r="M49" s="1">
        <f t="shared" si="14"/>
        <v>1040020</v>
      </c>
      <c r="N49" s="1">
        <f t="shared" si="15"/>
        <v>76500</v>
      </c>
      <c r="O49" s="1">
        <f t="shared" si="15"/>
        <v>76500</v>
      </c>
      <c r="P49" s="1">
        <f t="shared" si="16"/>
        <v>76500</v>
      </c>
      <c r="Q49" s="32">
        <f t="shared" si="19"/>
        <v>9176200</v>
      </c>
      <c r="R49" s="33">
        <f t="shared" si="17"/>
        <v>459000</v>
      </c>
    </row>
    <row r="50" spans="1:18" x14ac:dyDescent="0.35">
      <c r="A50" t="s">
        <v>14</v>
      </c>
      <c r="B50" s="17">
        <f t="shared" si="12"/>
        <v>3809767.74</v>
      </c>
      <c r="C50" s="1">
        <f t="shared" si="18"/>
        <v>7259200</v>
      </c>
      <c r="D50" s="4">
        <f t="shared" si="13"/>
        <v>0.90541799275144252</v>
      </c>
      <c r="E50" s="5"/>
      <c r="F50" s="5"/>
      <c r="G50" s="5"/>
      <c r="H50" s="5"/>
      <c r="I50" s="5"/>
      <c r="J50" s="5"/>
      <c r="K50" s="1">
        <f t="shared" si="11"/>
        <v>2903680</v>
      </c>
      <c r="L50" s="1">
        <f t="shared" si="11"/>
        <v>1310465</v>
      </c>
      <c r="M50" s="1">
        <f t="shared" si="14"/>
        <v>1847885</v>
      </c>
      <c r="N50" s="1">
        <f t="shared" si="15"/>
        <v>773045</v>
      </c>
      <c r="O50" s="1">
        <f t="shared" si="15"/>
        <v>47125</v>
      </c>
      <c r="P50" s="1">
        <f t="shared" si="16"/>
        <v>47125</v>
      </c>
      <c r="Q50" s="32">
        <f t="shared" si="19"/>
        <v>6929325</v>
      </c>
      <c r="R50" s="33">
        <f t="shared" si="17"/>
        <v>329875</v>
      </c>
    </row>
    <row r="51" spans="1:18" x14ac:dyDescent="0.35">
      <c r="A51" t="s">
        <v>15</v>
      </c>
      <c r="B51" s="17">
        <f t="shared" si="12"/>
        <v>4884869.42</v>
      </c>
      <c r="C51" s="1">
        <f t="shared" si="18"/>
        <v>8934400</v>
      </c>
      <c r="D51" s="4">
        <f t="shared" si="13"/>
        <v>0.82899464280869151</v>
      </c>
      <c r="E51" s="5"/>
      <c r="F51" s="5"/>
      <c r="G51" s="5"/>
      <c r="H51" s="5"/>
      <c r="I51" s="5"/>
      <c r="J51" s="5"/>
      <c r="K51" s="5"/>
      <c r="L51" s="1">
        <f t="shared" si="11"/>
        <v>3573760</v>
      </c>
      <c r="M51" s="1">
        <f t="shared" si="14"/>
        <v>1612880</v>
      </c>
      <c r="N51" s="1">
        <f t="shared" si="15"/>
        <v>2274320</v>
      </c>
      <c r="O51" s="1">
        <f t="shared" si="15"/>
        <v>951440</v>
      </c>
      <c r="P51" s="1">
        <f t="shared" si="16"/>
        <v>58000</v>
      </c>
      <c r="Q51" s="32">
        <f t="shared" si="19"/>
        <v>8470400</v>
      </c>
      <c r="R51" s="33">
        <f t="shared" si="17"/>
        <v>464000</v>
      </c>
    </row>
    <row r="52" spans="1:18" x14ac:dyDescent="0.35">
      <c r="A52" t="s">
        <v>16</v>
      </c>
      <c r="B52" s="17">
        <f t="shared" si="12"/>
        <v>5739804.9900000002</v>
      </c>
      <c r="C52" s="1">
        <f t="shared" si="18"/>
        <v>8726400</v>
      </c>
      <c r="D52" s="4">
        <f t="shared" si="13"/>
        <v>0.52033039714821383</v>
      </c>
      <c r="E52" s="5"/>
      <c r="F52" s="5"/>
      <c r="G52" s="5"/>
      <c r="H52" s="5"/>
      <c r="I52" s="5"/>
      <c r="J52" s="5"/>
      <c r="K52" s="5"/>
      <c r="L52" s="5"/>
      <c r="M52" s="1">
        <f t="shared" si="14"/>
        <v>3490560</v>
      </c>
      <c r="N52" s="1">
        <f t="shared" si="15"/>
        <v>1554405</v>
      </c>
      <c r="O52" s="1">
        <f t="shared" si="15"/>
        <v>2172545</v>
      </c>
      <c r="P52" s="1">
        <f t="shared" si="16"/>
        <v>936265</v>
      </c>
      <c r="Q52" s="32">
        <f t="shared" si="19"/>
        <v>8153775</v>
      </c>
      <c r="R52" s="33">
        <f t="shared" si="17"/>
        <v>572625</v>
      </c>
    </row>
    <row r="53" spans="1:18" x14ac:dyDescent="0.35">
      <c r="A53" t="s">
        <v>17</v>
      </c>
      <c r="B53" s="17">
        <f t="shared" si="12"/>
        <v>4338259.12</v>
      </c>
      <c r="C53" s="1">
        <f t="shared" si="18"/>
        <v>9309600</v>
      </c>
      <c r="D53" s="4">
        <f t="shared" si="13"/>
        <v>1.1459299093227053</v>
      </c>
      <c r="E53" s="5"/>
      <c r="F53" s="5"/>
      <c r="G53" s="5"/>
      <c r="H53" s="5"/>
      <c r="I53" s="5"/>
      <c r="J53" s="5"/>
      <c r="K53" s="5"/>
      <c r="L53" s="5"/>
      <c r="M53" s="5"/>
      <c r="N53" s="1">
        <f t="shared" si="15"/>
        <v>3723840</v>
      </c>
      <c r="O53" s="1">
        <f t="shared" si="15"/>
        <v>1655295</v>
      </c>
      <c r="P53" s="1">
        <f t="shared" si="16"/>
        <v>2310755</v>
      </c>
      <c r="Q53" s="32">
        <f t="shared" si="19"/>
        <v>7689890</v>
      </c>
      <c r="R53" s="33">
        <f t="shared" si="17"/>
        <v>1619710</v>
      </c>
    </row>
    <row r="54" spans="1:18" x14ac:dyDescent="0.35">
      <c r="A54" t="s">
        <v>18</v>
      </c>
      <c r="B54" s="17">
        <f t="shared" si="12"/>
        <v>3109473</v>
      </c>
      <c r="C54" s="1">
        <f t="shared" si="18"/>
        <v>6967200</v>
      </c>
      <c r="D54" s="4">
        <f t="shared" si="13"/>
        <v>1.2406369182173314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1">
        <f t="shared" si="15"/>
        <v>2786880</v>
      </c>
      <c r="P54" s="1">
        <f t="shared" si="16"/>
        <v>1231440</v>
      </c>
      <c r="Q54" s="32">
        <f t="shared" si="19"/>
        <v>4018320</v>
      </c>
      <c r="R54" s="33">
        <f t="shared" si="17"/>
        <v>2948880</v>
      </c>
    </row>
    <row r="55" spans="1:18" x14ac:dyDescent="0.35">
      <c r="A55" t="s">
        <v>19</v>
      </c>
      <c r="B55" s="17">
        <f t="shared" si="12"/>
        <v>4057099</v>
      </c>
      <c r="C55" s="1">
        <f t="shared" si="18"/>
        <v>6567000</v>
      </c>
      <c r="D55" s="4">
        <f t="shared" si="13"/>
        <v>0.61864425787982991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">
        <f t="shared" si="16"/>
        <v>2626800</v>
      </c>
      <c r="Q55" s="32">
        <f t="shared" si="19"/>
        <v>2626800</v>
      </c>
      <c r="R55" s="33">
        <f t="shared" si="17"/>
        <v>3940200</v>
      </c>
    </row>
    <row r="56" spans="1:18" x14ac:dyDescent="0.35">
      <c r="A56" s="21" t="s">
        <v>22</v>
      </c>
      <c r="B56" s="22">
        <f>SUM(B44:B55)</f>
        <v>61326744.940000005</v>
      </c>
      <c r="C56" s="22">
        <f>SUM(C44:C55)</f>
        <v>96627700</v>
      </c>
      <c r="D56" s="23">
        <f>(C56-B56)/B56</f>
        <v>0.57562088277369439</v>
      </c>
      <c r="E56" s="24">
        <f>SUM(E44:E55)</f>
        <v>2672920</v>
      </c>
      <c r="F56" s="24">
        <f t="shared" ref="F56:P56" si="20">SUM(F44:F55)</f>
        <v>4397035</v>
      </c>
      <c r="G56" s="24">
        <f t="shared" si="20"/>
        <v>6292585</v>
      </c>
      <c r="H56" s="24">
        <f t="shared" si="20"/>
        <v>7105615</v>
      </c>
      <c r="I56" s="24">
        <f t="shared" si="20"/>
        <v>7761980</v>
      </c>
      <c r="J56" s="24">
        <f t="shared" si="20"/>
        <v>8267130</v>
      </c>
      <c r="K56" s="24">
        <f t="shared" si="20"/>
        <v>7744350</v>
      </c>
      <c r="L56" s="24">
        <f t="shared" si="20"/>
        <v>8427295</v>
      </c>
      <c r="M56" s="24">
        <f t="shared" si="20"/>
        <v>8317595</v>
      </c>
      <c r="N56" s="24">
        <f t="shared" si="20"/>
        <v>8728360</v>
      </c>
      <c r="O56" s="24">
        <f t="shared" si="20"/>
        <v>8016035</v>
      </c>
      <c r="P56" s="24">
        <f t="shared" si="20"/>
        <v>7613135</v>
      </c>
      <c r="Q56" s="34">
        <f>SUM(E56:P56)</f>
        <v>85344035</v>
      </c>
      <c r="R56" s="35">
        <f>SUM(R44:R55)</f>
        <v>11283665</v>
      </c>
    </row>
    <row r="57" spans="1:18" x14ac:dyDescent="0.35">
      <c r="A57" s="12" t="s">
        <v>23</v>
      </c>
      <c r="B57" s="13">
        <f>AVERAGE(B44:B55)</f>
        <v>5110562.0783333341</v>
      </c>
      <c r="C57" s="27">
        <f>AVERAGE(C44:C55)</f>
        <v>8052308.333333333</v>
      </c>
      <c r="D57" s="28">
        <f>(C57-B57)/B57</f>
        <v>0.57562088277369416</v>
      </c>
      <c r="E57" s="29">
        <f>E56-E58</f>
        <v>472920</v>
      </c>
      <c r="F57" s="29">
        <f t="shared" ref="F57:P57" si="21">F56-F58</f>
        <v>-202965</v>
      </c>
      <c r="G57" s="29">
        <f t="shared" si="21"/>
        <v>-707415</v>
      </c>
      <c r="H57" s="29">
        <f t="shared" si="21"/>
        <v>-1894385</v>
      </c>
      <c r="I57" s="29">
        <f t="shared" si="21"/>
        <v>-538020</v>
      </c>
      <c r="J57" s="29">
        <f t="shared" si="21"/>
        <v>-1132870</v>
      </c>
      <c r="K57" s="29">
        <f t="shared" si="21"/>
        <v>1244350</v>
      </c>
      <c r="L57" s="29">
        <f t="shared" si="21"/>
        <v>-572705</v>
      </c>
      <c r="M57" s="29">
        <f t="shared" si="21"/>
        <v>-1182405</v>
      </c>
      <c r="N57" s="29">
        <f t="shared" si="21"/>
        <v>-771640</v>
      </c>
      <c r="O57" s="29">
        <f t="shared" si="21"/>
        <v>-483965</v>
      </c>
      <c r="P57" s="29">
        <f t="shared" si="21"/>
        <v>2113135</v>
      </c>
      <c r="Q57" t="s">
        <v>28</v>
      </c>
    </row>
    <row r="58" spans="1:18" x14ac:dyDescent="0.35">
      <c r="A58" s="66" t="s">
        <v>29</v>
      </c>
      <c r="B58" s="66"/>
      <c r="C58" s="66"/>
      <c r="D58" s="66"/>
      <c r="E58" s="15">
        <f>SUM(E39+E20)</f>
        <v>2200000</v>
      </c>
      <c r="F58" s="15">
        <f t="shared" ref="F58:P58" si="22">SUM(F39+F20)</f>
        <v>4600000</v>
      </c>
      <c r="G58" s="15">
        <f t="shared" si="22"/>
        <v>7000000</v>
      </c>
      <c r="H58" s="15">
        <f t="shared" si="22"/>
        <v>9000000</v>
      </c>
      <c r="I58" s="15">
        <f t="shared" si="22"/>
        <v>8300000</v>
      </c>
      <c r="J58" s="15">
        <f t="shared" si="22"/>
        <v>9400000</v>
      </c>
      <c r="K58" s="15">
        <f t="shared" si="22"/>
        <v>6500000</v>
      </c>
      <c r="L58" s="15">
        <f t="shared" si="22"/>
        <v>9000000</v>
      </c>
      <c r="M58" s="15">
        <f t="shared" si="22"/>
        <v>9500000</v>
      </c>
      <c r="N58" s="15">
        <f t="shared" si="22"/>
        <v>9500000</v>
      </c>
      <c r="O58" s="15">
        <f t="shared" si="22"/>
        <v>8500000</v>
      </c>
      <c r="P58" s="15">
        <f t="shared" si="22"/>
        <v>5500000</v>
      </c>
    </row>
    <row r="59" spans="1:18" x14ac:dyDescent="0.35">
      <c r="A59" s="30"/>
      <c r="B59" s="30"/>
      <c r="C59" s="30"/>
      <c r="D59" s="3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8" x14ac:dyDescent="0.35">
      <c r="A60" s="30"/>
      <c r="B60" s="30"/>
      <c r="C60" s="30"/>
      <c r="D60" s="3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8" ht="15.5" x14ac:dyDescent="0.35">
      <c r="A61" s="64" t="s">
        <v>30</v>
      </c>
      <c r="B61" s="6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</row>
    <row r="62" spans="1:18" x14ac:dyDescent="0.35">
      <c r="A62" s="31" t="s">
        <v>4</v>
      </c>
      <c r="B62" s="31" t="s">
        <v>5</v>
      </c>
      <c r="C62" s="31" t="s">
        <v>6</v>
      </c>
      <c r="D62" s="31" t="s">
        <v>7</v>
      </c>
      <c r="E62" s="31" t="s">
        <v>8</v>
      </c>
      <c r="F62" s="31" t="s">
        <v>9</v>
      </c>
      <c r="G62" s="31" t="s">
        <v>10</v>
      </c>
      <c r="H62" s="31" t="s">
        <v>11</v>
      </c>
      <c r="I62" s="31" t="s">
        <v>12</v>
      </c>
      <c r="J62" s="31" t="s">
        <v>13</v>
      </c>
      <c r="K62" s="31" t="s">
        <v>14</v>
      </c>
      <c r="L62" s="31" t="s">
        <v>15</v>
      </c>
      <c r="M62" s="31" t="s">
        <v>16</v>
      </c>
      <c r="N62" s="31" t="s">
        <v>17</v>
      </c>
      <c r="O62" s="31" t="s">
        <v>18</v>
      </c>
      <c r="P62" s="31" t="s">
        <v>19</v>
      </c>
      <c r="Q62" s="31" t="s">
        <v>20</v>
      </c>
      <c r="R62" s="31" t="s">
        <v>21</v>
      </c>
    </row>
    <row r="63" spans="1:18" x14ac:dyDescent="0.35">
      <c r="A63" t="s">
        <v>8</v>
      </c>
      <c r="B63" s="17"/>
      <c r="C63" s="1"/>
      <c r="D63" s="4"/>
      <c r="E63" s="1">
        <v>1404000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2">
        <f>SUM(E63:P63)</f>
        <v>1404000</v>
      </c>
      <c r="R63" s="33">
        <f>C63-Q63</f>
        <v>-1404000</v>
      </c>
    </row>
    <row r="64" spans="1:18" x14ac:dyDescent="0.35">
      <c r="A64" t="s">
        <v>9</v>
      </c>
      <c r="B64" s="17"/>
      <c r="C64" s="1"/>
      <c r="D64" s="4"/>
      <c r="E64" s="5"/>
      <c r="F64" s="1">
        <v>1199000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32">
        <f t="shared" ref="Q64:Q74" si="23">SUM(E64:P64)</f>
        <v>1199000</v>
      </c>
      <c r="R64" s="33">
        <f t="shared" ref="R64:R74" si="24">C64-Q64</f>
        <v>-1199000</v>
      </c>
    </row>
    <row r="65" spans="1:18" x14ac:dyDescent="0.35">
      <c r="A65" t="s">
        <v>10</v>
      </c>
      <c r="B65" s="17"/>
      <c r="C65" s="1"/>
      <c r="D65" s="4"/>
      <c r="E65" s="5"/>
      <c r="F65" s="5"/>
      <c r="G65" s="1">
        <v>1273000</v>
      </c>
      <c r="H65" s="1"/>
      <c r="I65" s="1"/>
      <c r="J65" s="1"/>
      <c r="K65" s="1"/>
      <c r="L65" s="1"/>
      <c r="M65" s="1"/>
      <c r="N65" s="1"/>
      <c r="O65" s="1"/>
      <c r="P65" s="1"/>
      <c r="Q65" s="32">
        <f t="shared" si="23"/>
        <v>1273000</v>
      </c>
      <c r="R65" s="33">
        <f t="shared" si="24"/>
        <v>-1273000</v>
      </c>
    </row>
    <row r="66" spans="1:18" x14ac:dyDescent="0.35">
      <c r="A66" t="s">
        <v>11</v>
      </c>
      <c r="B66" s="17"/>
      <c r="C66" s="1"/>
      <c r="D66" s="4"/>
      <c r="E66" s="5"/>
      <c r="F66" s="5"/>
      <c r="G66" s="5"/>
      <c r="H66" s="1">
        <v>503000</v>
      </c>
      <c r="I66" s="1"/>
      <c r="J66" s="1"/>
      <c r="K66" s="1"/>
      <c r="L66" s="1"/>
      <c r="M66" s="1"/>
      <c r="N66" s="1"/>
      <c r="O66" s="1"/>
      <c r="P66" s="1"/>
      <c r="Q66" s="32">
        <f t="shared" si="23"/>
        <v>503000</v>
      </c>
      <c r="R66" s="33">
        <f t="shared" si="24"/>
        <v>-503000</v>
      </c>
    </row>
    <row r="67" spans="1:18" x14ac:dyDescent="0.35">
      <c r="A67" t="s">
        <v>12</v>
      </c>
      <c r="B67" s="17"/>
      <c r="C67" s="1"/>
      <c r="D67" s="4"/>
      <c r="E67" s="5"/>
      <c r="F67" s="5"/>
      <c r="G67" s="5"/>
      <c r="H67" s="5"/>
      <c r="I67" s="1">
        <v>811000</v>
      </c>
      <c r="J67" s="1"/>
      <c r="K67" s="1"/>
      <c r="L67" s="1"/>
      <c r="M67" s="1"/>
      <c r="N67" s="1"/>
      <c r="O67" s="1"/>
      <c r="P67" s="1"/>
      <c r="Q67" s="32">
        <f t="shared" si="23"/>
        <v>811000</v>
      </c>
      <c r="R67" s="33">
        <f t="shared" si="24"/>
        <v>-811000</v>
      </c>
    </row>
    <row r="68" spans="1:18" x14ac:dyDescent="0.35">
      <c r="A68" t="s">
        <v>13</v>
      </c>
      <c r="B68" s="17"/>
      <c r="C68" s="1"/>
      <c r="D68" s="4"/>
      <c r="E68" s="5"/>
      <c r="F68" s="5"/>
      <c r="G68" s="5"/>
      <c r="H68" s="5"/>
      <c r="I68" s="5"/>
      <c r="J68" s="1">
        <v>370000</v>
      </c>
      <c r="K68" s="1"/>
      <c r="L68" s="1"/>
      <c r="M68" s="1"/>
      <c r="N68" s="1"/>
      <c r="O68" s="1"/>
      <c r="P68" s="1"/>
      <c r="Q68" s="32">
        <f t="shared" si="23"/>
        <v>370000</v>
      </c>
      <c r="R68" s="33">
        <f t="shared" si="24"/>
        <v>-370000</v>
      </c>
    </row>
    <row r="69" spans="1:18" x14ac:dyDescent="0.35">
      <c r="A69" t="s">
        <v>14</v>
      </c>
      <c r="B69" s="17"/>
      <c r="C69" s="1"/>
      <c r="D69" s="4"/>
      <c r="E69" s="5"/>
      <c r="F69" s="5"/>
      <c r="G69" s="5"/>
      <c r="H69" s="5"/>
      <c r="I69" s="5"/>
      <c r="J69" s="5"/>
      <c r="K69" s="1">
        <v>275000</v>
      </c>
      <c r="L69" s="1"/>
      <c r="M69" s="1"/>
      <c r="N69" s="1"/>
      <c r="O69" s="1"/>
      <c r="P69" s="1"/>
      <c r="Q69" s="32">
        <f t="shared" si="23"/>
        <v>275000</v>
      </c>
      <c r="R69" s="33">
        <f t="shared" si="24"/>
        <v>-275000</v>
      </c>
    </row>
    <row r="70" spans="1:18" x14ac:dyDescent="0.35">
      <c r="A70" t="s">
        <v>15</v>
      </c>
      <c r="B70" s="17"/>
      <c r="C70" s="1"/>
      <c r="D70" s="4"/>
      <c r="E70" s="5"/>
      <c r="F70" s="5"/>
      <c r="G70" s="5"/>
      <c r="H70" s="5"/>
      <c r="I70" s="5"/>
      <c r="J70" s="5"/>
      <c r="K70" s="5"/>
      <c r="L70" s="1">
        <v>255000</v>
      </c>
      <c r="M70" s="1"/>
      <c r="N70" s="1"/>
      <c r="O70" s="1"/>
      <c r="P70" s="1"/>
      <c r="Q70" s="32">
        <f t="shared" si="23"/>
        <v>255000</v>
      </c>
      <c r="R70" s="33">
        <f t="shared" si="24"/>
        <v>-255000</v>
      </c>
    </row>
    <row r="71" spans="1:18" x14ac:dyDescent="0.35">
      <c r="A71" t="s">
        <v>16</v>
      </c>
      <c r="B71" s="17"/>
      <c r="C71" s="1"/>
      <c r="D71" s="4"/>
      <c r="E71" s="5"/>
      <c r="F71" s="5"/>
      <c r="G71" s="5"/>
      <c r="H71" s="5"/>
      <c r="I71" s="5"/>
      <c r="J71" s="5"/>
      <c r="K71" s="5"/>
      <c r="L71" s="5"/>
      <c r="M71" s="1">
        <v>435000</v>
      </c>
      <c r="N71" s="1"/>
      <c r="O71" s="1"/>
      <c r="P71" s="1"/>
      <c r="Q71" s="32">
        <f t="shared" si="23"/>
        <v>435000</v>
      </c>
      <c r="R71" s="33">
        <f t="shared" si="24"/>
        <v>-435000</v>
      </c>
    </row>
    <row r="72" spans="1:18" x14ac:dyDescent="0.35">
      <c r="A72" t="s">
        <v>17</v>
      </c>
      <c r="B72" s="17"/>
      <c r="C72" s="1"/>
      <c r="D72" s="4"/>
      <c r="E72" s="5"/>
      <c r="F72" s="5"/>
      <c r="G72" s="5"/>
      <c r="H72" s="5"/>
      <c r="I72" s="5"/>
      <c r="J72" s="5"/>
      <c r="K72" s="5"/>
      <c r="L72" s="5"/>
      <c r="M72" s="5"/>
      <c r="N72" s="1">
        <v>457000</v>
      </c>
      <c r="O72" s="1"/>
      <c r="P72" s="1"/>
      <c r="Q72" s="32">
        <f t="shared" si="23"/>
        <v>457000</v>
      </c>
      <c r="R72" s="33">
        <f t="shared" si="24"/>
        <v>-457000</v>
      </c>
    </row>
    <row r="73" spans="1:18" x14ac:dyDescent="0.35">
      <c r="A73" t="s">
        <v>18</v>
      </c>
      <c r="B73" s="17"/>
      <c r="C73" s="1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1">
        <v>107000</v>
      </c>
      <c r="P73" s="1"/>
      <c r="Q73" s="32">
        <f t="shared" si="23"/>
        <v>107000</v>
      </c>
      <c r="R73" s="33">
        <f t="shared" si="24"/>
        <v>-107000</v>
      </c>
    </row>
    <row r="74" spans="1:18" x14ac:dyDescent="0.35">
      <c r="A74" t="s">
        <v>19</v>
      </c>
      <c r="B74" s="17"/>
      <c r="C74" s="1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">
        <v>107000</v>
      </c>
      <c r="Q74" s="32">
        <f t="shared" si="23"/>
        <v>107000</v>
      </c>
      <c r="R74" s="33">
        <f t="shared" si="24"/>
        <v>-107000</v>
      </c>
    </row>
    <row r="75" spans="1:18" x14ac:dyDescent="0.35">
      <c r="A75" s="21" t="s">
        <v>22</v>
      </c>
      <c r="B75" s="22">
        <f>SUM(B63:B74)</f>
        <v>0</v>
      </c>
      <c r="C75" s="22">
        <f>SUM(C63:C74)</f>
        <v>0</v>
      </c>
      <c r="D75" s="23" t="e">
        <f>(C75-B75)/B75</f>
        <v>#DIV/0!</v>
      </c>
      <c r="E75" s="24">
        <f>SUM(E63:E74)</f>
        <v>1404000</v>
      </c>
      <c r="F75" s="24">
        <f t="shared" ref="F75:P75" si="25">SUM(F63:F74)</f>
        <v>1199000</v>
      </c>
      <c r="G75" s="24">
        <f t="shared" si="25"/>
        <v>1273000</v>
      </c>
      <c r="H75" s="24">
        <f t="shared" si="25"/>
        <v>503000</v>
      </c>
      <c r="I75" s="24">
        <f t="shared" si="25"/>
        <v>811000</v>
      </c>
      <c r="J75" s="24">
        <f t="shared" si="25"/>
        <v>370000</v>
      </c>
      <c r="K75" s="24">
        <f t="shared" si="25"/>
        <v>275000</v>
      </c>
      <c r="L75" s="24">
        <f t="shared" si="25"/>
        <v>255000</v>
      </c>
      <c r="M75" s="24">
        <f t="shared" si="25"/>
        <v>435000</v>
      </c>
      <c r="N75" s="24">
        <f t="shared" si="25"/>
        <v>457000</v>
      </c>
      <c r="O75" s="24">
        <f t="shared" si="25"/>
        <v>107000</v>
      </c>
      <c r="P75" s="24">
        <f t="shared" si="25"/>
        <v>107000</v>
      </c>
      <c r="Q75" s="34">
        <f>SUM(E75:P75)</f>
        <v>7196000</v>
      </c>
      <c r="R75" s="35">
        <f>SUM(R63:R74)</f>
        <v>-7196000</v>
      </c>
    </row>
    <row r="76" spans="1:18" x14ac:dyDescent="0.35">
      <c r="A76" s="12" t="s">
        <v>23</v>
      </c>
      <c r="B76" s="13" t="e">
        <f>AVERAGE(B63:B74)</f>
        <v>#DIV/0!</v>
      </c>
      <c r="C76" s="27" t="e">
        <f>AVERAGE(C63:C74)</f>
        <v>#DIV/0!</v>
      </c>
      <c r="D76" s="28" t="e">
        <f>(C76-B76)/B76</f>
        <v>#DIV/0!</v>
      </c>
      <c r="E76" s="29">
        <f>E75-E77</f>
        <v>-796000</v>
      </c>
      <c r="F76" s="29">
        <f t="shared" ref="F76:P76" si="26">F75-F77</f>
        <v>-3401000</v>
      </c>
      <c r="G76" s="29">
        <f t="shared" si="26"/>
        <v>-5727000</v>
      </c>
      <c r="H76" s="29">
        <f t="shared" si="26"/>
        <v>-8497000</v>
      </c>
      <c r="I76" s="29">
        <f t="shared" si="26"/>
        <v>-7489000</v>
      </c>
      <c r="J76" s="29">
        <f t="shared" si="26"/>
        <v>-9030000</v>
      </c>
      <c r="K76" s="29">
        <f t="shared" si="26"/>
        <v>-6225000</v>
      </c>
      <c r="L76" s="29">
        <f t="shared" si="26"/>
        <v>-8745000</v>
      </c>
      <c r="M76" s="29">
        <f t="shared" si="26"/>
        <v>-9065000</v>
      </c>
      <c r="N76" s="29">
        <f t="shared" si="26"/>
        <v>-9043000</v>
      </c>
      <c r="O76" s="29">
        <f t="shared" si="26"/>
        <v>-8393000</v>
      </c>
      <c r="P76" s="29">
        <f t="shared" si="26"/>
        <v>-5393000</v>
      </c>
      <c r="Q76" t="s">
        <v>28</v>
      </c>
    </row>
    <row r="77" spans="1:18" x14ac:dyDescent="0.35">
      <c r="A77" s="66" t="s">
        <v>29</v>
      </c>
      <c r="B77" s="66"/>
      <c r="C77" s="66"/>
      <c r="D77" s="66"/>
      <c r="E77" s="15">
        <v>2200000</v>
      </c>
      <c r="F77" s="15">
        <v>4600000</v>
      </c>
      <c r="G77" s="15">
        <v>7000000</v>
      </c>
      <c r="H77" s="15">
        <v>9000000</v>
      </c>
      <c r="I77" s="15">
        <v>8300000</v>
      </c>
      <c r="J77" s="15">
        <v>9400000</v>
      </c>
      <c r="K77" s="15">
        <v>6500000</v>
      </c>
      <c r="L77" s="15">
        <v>9000000</v>
      </c>
      <c r="M77" s="15">
        <v>9500000</v>
      </c>
      <c r="N77" s="15">
        <v>9500000</v>
      </c>
      <c r="O77" s="15">
        <v>8500000</v>
      </c>
      <c r="P77" s="15">
        <v>5500000</v>
      </c>
    </row>
    <row r="78" spans="1:18" x14ac:dyDescent="0.35">
      <c r="A78" s="36"/>
      <c r="B78" s="36"/>
    </row>
    <row r="79" spans="1:18" x14ac:dyDescent="0.35">
      <c r="A79" s="36"/>
      <c r="B79" s="36"/>
    </row>
    <row r="80" spans="1:18" ht="15.5" x14ac:dyDescent="0.35">
      <c r="A80" s="64" t="s">
        <v>31</v>
      </c>
      <c r="B80" s="6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</row>
    <row r="81" spans="1:18" x14ac:dyDescent="0.35">
      <c r="A81" s="31" t="s">
        <v>4</v>
      </c>
      <c r="B81" s="31" t="s">
        <v>5</v>
      </c>
      <c r="C81" s="31" t="s">
        <v>6</v>
      </c>
      <c r="D81" s="31" t="s">
        <v>7</v>
      </c>
      <c r="E81" s="31" t="s">
        <v>8</v>
      </c>
      <c r="F81" s="31" t="s">
        <v>9</v>
      </c>
      <c r="G81" s="31" t="s">
        <v>10</v>
      </c>
      <c r="H81" s="31" t="s">
        <v>11</v>
      </c>
      <c r="I81" s="31" t="s">
        <v>12</v>
      </c>
      <c r="J81" s="31" t="s">
        <v>13</v>
      </c>
      <c r="K81" s="31" t="s">
        <v>14</v>
      </c>
      <c r="L81" s="31" t="s">
        <v>15</v>
      </c>
      <c r="M81" s="31" t="s">
        <v>16</v>
      </c>
      <c r="N81" s="31" t="s">
        <v>17</v>
      </c>
      <c r="O81" s="31" t="s">
        <v>18</v>
      </c>
      <c r="P81" s="31" t="s">
        <v>19</v>
      </c>
      <c r="Q81" s="31" t="s">
        <v>20</v>
      </c>
      <c r="R81" s="31"/>
    </row>
    <row r="82" spans="1:18" x14ac:dyDescent="0.35">
      <c r="A82" t="s">
        <v>8</v>
      </c>
      <c r="B82" s="17">
        <f>SUM(B63+B44)</f>
        <v>5426861</v>
      </c>
      <c r="C82" s="1">
        <f>SUM(C44+C63)</f>
        <v>6682300</v>
      </c>
      <c r="D82" s="4">
        <f>(C82-B82)/B82</f>
        <v>0.23133796867102363</v>
      </c>
      <c r="E82" s="1">
        <f>SUM($E63+$E44)</f>
        <v>4076920</v>
      </c>
      <c r="F82" s="1">
        <f>SUM(F44+F63)</f>
        <v>1129835</v>
      </c>
      <c r="G82" s="1">
        <f t="shared" ref="G82:L89" si="27">SUM(G63+G44)</f>
        <v>1522565</v>
      </c>
      <c r="H82" s="1">
        <f t="shared" si="27"/>
        <v>737105</v>
      </c>
      <c r="I82" s="1">
        <f t="shared" si="27"/>
        <v>68875</v>
      </c>
      <c r="J82" s="1">
        <f t="shared" si="27"/>
        <v>68875</v>
      </c>
      <c r="K82" s="1">
        <f t="shared" si="27"/>
        <v>68875</v>
      </c>
      <c r="L82" s="1">
        <f t="shared" si="27"/>
        <v>68875</v>
      </c>
      <c r="M82" s="1">
        <f>SUM(M44+M63)</f>
        <v>68875</v>
      </c>
      <c r="N82" s="1">
        <f>SUM(N63+N44)</f>
        <v>68875</v>
      </c>
      <c r="O82" s="1">
        <f>SUM(O63+O44)</f>
        <v>68875</v>
      </c>
      <c r="P82" s="1">
        <f>SUM(P44+P63)</f>
        <v>68875</v>
      </c>
      <c r="Q82" s="32">
        <f>SUM(E82:P82)</f>
        <v>8017425</v>
      </c>
      <c r="R82" s="33"/>
    </row>
    <row r="83" spans="1:18" x14ac:dyDescent="0.35">
      <c r="A83" t="s">
        <v>9</v>
      </c>
      <c r="B83" s="17">
        <f t="shared" ref="B83:B93" si="28">SUM(B64+B45)</f>
        <v>8606625.3900000006</v>
      </c>
      <c r="C83" s="1">
        <f t="shared" ref="C83:C93" si="29">SUM(C45+C64)</f>
        <v>8168000</v>
      </c>
      <c r="D83" s="4">
        <f t="shared" ref="D83:D93" si="30">(C83-B83)/B83</f>
        <v>-5.0963690194955794E-2</v>
      </c>
      <c r="E83" s="5"/>
      <c r="F83" s="1">
        <f>SUM(F45+F64)</f>
        <v>4466200</v>
      </c>
      <c r="G83" s="1">
        <f t="shared" si="27"/>
        <v>1416100</v>
      </c>
      <c r="H83" s="1">
        <f t="shared" si="27"/>
        <v>1942900</v>
      </c>
      <c r="I83" s="1">
        <f t="shared" si="27"/>
        <v>889300</v>
      </c>
      <c r="J83" s="1">
        <f t="shared" si="27"/>
        <v>72500</v>
      </c>
      <c r="K83" s="1">
        <f t="shared" si="27"/>
        <v>72500</v>
      </c>
      <c r="L83" s="1">
        <f t="shared" si="27"/>
        <v>72500</v>
      </c>
      <c r="M83" s="1">
        <f t="shared" ref="M83:M90" si="31">SUM(M45+M64)</f>
        <v>72500</v>
      </c>
      <c r="N83" s="1">
        <f t="shared" ref="N83:O92" si="32">SUM(N64+N45)</f>
        <v>72500</v>
      </c>
      <c r="O83" s="1">
        <f t="shared" si="32"/>
        <v>72500</v>
      </c>
      <c r="P83" s="1">
        <f t="shared" ref="P83:P93" si="33">SUM(P45+P64)</f>
        <v>72500</v>
      </c>
      <c r="Q83" s="32">
        <f t="shared" ref="Q83:Q93" si="34">SUM(E83:P83)</f>
        <v>9222000</v>
      </c>
      <c r="R83" s="33"/>
    </row>
    <row r="84" spans="1:18" x14ac:dyDescent="0.35">
      <c r="A84" t="s">
        <v>10</v>
      </c>
      <c r="B84" s="17">
        <f t="shared" si="28"/>
        <v>3107436</v>
      </c>
      <c r="C84" s="1">
        <f t="shared" si="29"/>
        <v>8384800</v>
      </c>
      <c r="D84" s="4">
        <f t="shared" si="30"/>
        <v>1.6983017510256044</v>
      </c>
      <c r="E84" s="5"/>
      <c r="F84" s="5"/>
      <c r="G84" s="1">
        <f t="shared" si="27"/>
        <v>4626920</v>
      </c>
      <c r="H84" s="1">
        <f t="shared" si="27"/>
        <v>1475210</v>
      </c>
      <c r="I84" s="1">
        <f t="shared" si="27"/>
        <v>2044690</v>
      </c>
      <c r="J84" s="1">
        <f t="shared" si="27"/>
        <v>905730</v>
      </c>
      <c r="K84" s="1">
        <f t="shared" si="27"/>
        <v>67250</v>
      </c>
      <c r="L84" s="1">
        <f t="shared" si="27"/>
        <v>67250</v>
      </c>
      <c r="M84" s="1">
        <f t="shared" si="31"/>
        <v>67250</v>
      </c>
      <c r="N84" s="1">
        <f t="shared" si="32"/>
        <v>67250</v>
      </c>
      <c r="O84" s="1">
        <f t="shared" si="32"/>
        <v>67250</v>
      </c>
      <c r="P84" s="1">
        <f t="shared" si="33"/>
        <v>67250</v>
      </c>
      <c r="Q84" s="32">
        <f t="shared" si="34"/>
        <v>9456050</v>
      </c>
      <c r="R84" s="33"/>
    </row>
    <row r="85" spans="1:18" x14ac:dyDescent="0.35">
      <c r="A85" t="s">
        <v>11</v>
      </c>
      <c r="B85" s="17">
        <f t="shared" si="28"/>
        <v>5488861.6600000001</v>
      </c>
      <c r="C85" s="1">
        <f t="shared" si="29"/>
        <v>7376000</v>
      </c>
      <c r="D85" s="4">
        <f t="shared" si="30"/>
        <v>0.3438123343046689</v>
      </c>
      <c r="E85" s="5"/>
      <c r="F85" s="5"/>
      <c r="G85" s="5"/>
      <c r="H85" s="1">
        <f t="shared" si="27"/>
        <v>3453400</v>
      </c>
      <c r="I85" s="1">
        <f t="shared" si="27"/>
        <v>1312075</v>
      </c>
      <c r="J85" s="1">
        <f t="shared" si="27"/>
        <v>1832175</v>
      </c>
      <c r="K85" s="1">
        <f t="shared" si="27"/>
        <v>791975</v>
      </c>
      <c r="L85" s="1">
        <f t="shared" si="27"/>
        <v>54375</v>
      </c>
      <c r="M85" s="1">
        <f t="shared" si="31"/>
        <v>54375</v>
      </c>
      <c r="N85" s="1">
        <f t="shared" si="32"/>
        <v>54375</v>
      </c>
      <c r="O85" s="1">
        <f t="shared" si="32"/>
        <v>54375</v>
      </c>
      <c r="P85" s="1">
        <f t="shared" si="33"/>
        <v>54375</v>
      </c>
      <c r="Q85" s="32">
        <f t="shared" si="34"/>
        <v>7661500</v>
      </c>
      <c r="R85" s="33"/>
    </row>
    <row r="86" spans="1:18" x14ac:dyDescent="0.35">
      <c r="A86" t="s">
        <v>12</v>
      </c>
      <c r="B86" s="17">
        <f t="shared" si="28"/>
        <v>4515845.95</v>
      </c>
      <c r="C86" s="1">
        <f t="shared" si="29"/>
        <v>8617600</v>
      </c>
      <c r="D86" s="4">
        <f t="shared" si="30"/>
        <v>0.90830247431270317</v>
      </c>
      <c r="E86" s="5"/>
      <c r="F86" s="5"/>
      <c r="G86" s="5"/>
      <c r="H86" s="5"/>
      <c r="I86" s="1">
        <f t="shared" si="27"/>
        <v>4258040</v>
      </c>
      <c r="J86" s="1">
        <f t="shared" si="27"/>
        <v>1533770</v>
      </c>
      <c r="K86" s="1">
        <f t="shared" si="27"/>
        <v>2142530</v>
      </c>
      <c r="L86" s="1">
        <f t="shared" si="27"/>
        <v>925010</v>
      </c>
      <c r="M86" s="1">
        <f t="shared" si="31"/>
        <v>63250</v>
      </c>
      <c r="N86" s="1">
        <f t="shared" si="32"/>
        <v>63250</v>
      </c>
      <c r="O86" s="1">
        <f t="shared" si="32"/>
        <v>63250</v>
      </c>
      <c r="P86" s="1">
        <f t="shared" si="33"/>
        <v>63250</v>
      </c>
      <c r="Q86" s="32">
        <f t="shared" si="34"/>
        <v>9112350</v>
      </c>
      <c r="R86" s="33"/>
    </row>
    <row r="87" spans="1:18" x14ac:dyDescent="0.35">
      <c r="A87" t="s">
        <v>13</v>
      </c>
      <c r="B87" s="17">
        <f t="shared" si="28"/>
        <v>8241841.6699999999</v>
      </c>
      <c r="C87" s="1">
        <f t="shared" si="29"/>
        <v>9635200</v>
      </c>
      <c r="D87" s="4">
        <f t="shared" si="30"/>
        <v>0.16905909938451902</v>
      </c>
      <c r="E87" s="5"/>
      <c r="F87" s="5"/>
      <c r="G87" s="5"/>
      <c r="H87" s="5"/>
      <c r="I87" s="5"/>
      <c r="J87" s="1">
        <f t="shared" si="27"/>
        <v>4224080</v>
      </c>
      <c r="K87" s="1">
        <f t="shared" si="27"/>
        <v>1697540</v>
      </c>
      <c r="L87" s="1">
        <f t="shared" si="27"/>
        <v>2355060</v>
      </c>
      <c r="M87" s="1">
        <f t="shared" si="31"/>
        <v>1040020</v>
      </c>
      <c r="N87" s="1">
        <f t="shared" si="32"/>
        <v>76500</v>
      </c>
      <c r="O87" s="1">
        <f t="shared" si="32"/>
        <v>76500</v>
      </c>
      <c r="P87" s="1">
        <f t="shared" si="33"/>
        <v>76500</v>
      </c>
      <c r="Q87" s="32">
        <f t="shared" si="34"/>
        <v>9546200</v>
      </c>
      <c r="R87" s="33"/>
    </row>
    <row r="88" spans="1:18" x14ac:dyDescent="0.35">
      <c r="A88" t="s">
        <v>14</v>
      </c>
      <c r="B88" s="17">
        <f t="shared" si="28"/>
        <v>3809767.74</v>
      </c>
      <c r="C88" s="1">
        <f t="shared" si="29"/>
        <v>7259200</v>
      </c>
      <c r="D88" s="4">
        <f t="shared" si="30"/>
        <v>0.90541799275144252</v>
      </c>
      <c r="E88" s="5"/>
      <c r="F88" s="5"/>
      <c r="G88" s="5"/>
      <c r="H88" s="5"/>
      <c r="I88" s="5"/>
      <c r="J88" s="5"/>
      <c r="K88" s="1">
        <f t="shared" si="27"/>
        <v>3178680</v>
      </c>
      <c r="L88" s="1">
        <f t="shared" si="27"/>
        <v>1310465</v>
      </c>
      <c r="M88" s="1">
        <f t="shared" si="31"/>
        <v>1847885</v>
      </c>
      <c r="N88" s="1">
        <f t="shared" si="32"/>
        <v>773045</v>
      </c>
      <c r="O88" s="1">
        <f t="shared" si="32"/>
        <v>47125</v>
      </c>
      <c r="P88" s="1">
        <f t="shared" si="33"/>
        <v>47125</v>
      </c>
      <c r="Q88" s="32">
        <f t="shared" si="34"/>
        <v>7204325</v>
      </c>
      <c r="R88" s="33"/>
    </row>
    <row r="89" spans="1:18" x14ac:dyDescent="0.35">
      <c r="A89" t="s">
        <v>15</v>
      </c>
      <c r="B89" s="17">
        <f t="shared" si="28"/>
        <v>4884869.42</v>
      </c>
      <c r="C89" s="1">
        <f t="shared" si="29"/>
        <v>8934400</v>
      </c>
      <c r="D89" s="4">
        <f t="shared" si="30"/>
        <v>0.82899464280869151</v>
      </c>
      <c r="E89" s="5"/>
      <c r="F89" s="5"/>
      <c r="G89" s="5"/>
      <c r="H89" s="5"/>
      <c r="I89" s="5"/>
      <c r="J89" s="5"/>
      <c r="K89" s="5"/>
      <c r="L89" s="1">
        <f t="shared" si="27"/>
        <v>3828760</v>
      </c>
      <c r="M89" s="1">
        <f t="shared" si="31"/>
        <v>1612880</v>
      </c>
      <c r="N89" s="1">
        <f t="shared" si="32"/>
        <v>2274320</v>
      </c>
      <c r="O89" s="1">
        <f t="shared" si="32"/>
        <v>951440</v>
      </c>
      <c r="P89" s="1">
        <f t="shared" si="33"/>
        <v>58000</v>
      </c>
      <c r="Q89" s="32">
        <f t="shared" si="34"/>
        <v>8725400</v>
      </c>
      <c r="R89" s="33"/>
    </row>
    <row r="90" spans="1:18" x14ac:dyDescent="0.35">
      <c r="A90" t="s">
        <v>16</v>
      </c>
      <c r="B90" s="17">
        <f t="shared" si="28"/>
        <v>5739804.9900000002</v>
      </c>
      <c r="C90" s="1">
        <f t="shared" si="29"/>
        <v>8726400</v>
      </c>
      <c r="D90" s="4">
        <f t="shared" si="30"/>
        <v>0.52033039714821383</v>
      </c>
      <c r="E90" s="5"/>
      <c r="F90" s="5"/>
      <c r="G90" s="5"/>
      <c r="H90" s="5"/>
      <c r="I90" s="5"/>
      <c r="J90" s="5"/>
      <c r="K90" s="5"/>
      <c r="L90" s="5"/>
      <c r="M90" s="1">
        <f t="shared" si="31"/>
        <v>3925560</v>
      </c>
      <c r="N90" s="1">
        <f t="shared" si="32"/>
        <v>1554405</v>
      </c>
      <c r="O90" s="1">
        <f t="shared" si="32"/>
        <v>2172545</v>
      </c>
      <c r="P90" s="1">
        <f t="shared" si="33"/>
        <v>936265</v>
      </c>
      <c r="Q90" s="32">
        <f t="shared" si="34"/>
        <v>8588775</v>
      </c>
      <c r="R90" s="33"/>
    </row>
    <row r="91" spans="1:18" x14ac:dyDescent="0.35">
      <c r="A91" t="s">
        <v>17</v>
      </c>
      <c r="B91" s="17">
        <f t="shared" si="28"/>
        <v>4338259.12</v>
      </c>
      <c r="C91" s="1">
        <f t="shared" si="29"/>
        <v>9309600</v>
      </c>
      <c r="D91" s="4">
        <f t="shared" si="30"/>
        <v>1.1459299093227053</v>
      </c>
      <c r="E91" s="5"/>
      <c r="F91" s="5"/>
      <c r="G91" s="5"/>
      <c r="H91" s="5"/>
      <c r="I91" s="5"/>
      <c r="J91" s="5"/>
      <c r="K91" s="5"/>
      <c r="L91" s="5"/>
      <c r="M91" s="5"/>
      <c r="N91" s="1">
        <f t="shared" si="32"/>
        <v>4180840</v>
      </c>
      <c r="O91" s="1">
        <f t="shared" si="32"/>
        <v>1655295</v>
      </c>
      <c r="P91" s="1">
        <f t="shared" si="33"/>
        <v>2310755</v>
      </c>
      <c r="Q91" s="32">
        <f t="shared" si="34"/>
        <v>8146890</v>
      </c>
      <c r="R91" s="33"/>
    </row>
    <row r="92" spans="1:18" x14ac:dyDescent="0.35">
      <c r="A92" t="s">
        <v>18</v>
      </c>
      <c r="B92" s="17">
        <f t="shared" si="28"/>
        <v>3109473</v>
      </c>
      <c r="C92" s="1">
        <f t="shared" si="29"/>
        <v>6967200</v>
      </c>
      <c r="D92" s="4">
        <f t="shared" si="30"/>
        <v>1.2406369182173314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1">
        <f t="shared" si="32"/>
        <v>2893880</v>
      </c>
      <c r="P92" s="1">
        <f t="shared" si="33"/>
        <v>1231440</v>
      </c>
      <c r="Q92" s="32">
        <f t="shared" si="34"/>
        <v>4125320</v>
      </c>
      <c r="R92" s="33"/>
    </row>
    <row r="93" spans="1:18" x14ac:dyDescent="0.35">
      <c r="A93" t="s">
        <v>19</v>
      </c>
      <c r="B93" s="17">
        <f t="shared" si="28"/>
        <v>4057099</v>
      </c>
      <c r="C93" s="1">
        <f t="shared" si="29"/>
        <v>6567000</v>
      </c>
      <c r="D93" s="4">
        <f t="shared" si="30"/>
        <v>0.61864425787982991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1">
        <f t="shared" si="33"/>
        <v>2733800</v>
      </c>
      <c r="Q93" s="32">
        <f t="shared" si="34"/>
        <v>2733800</v>
      </c>
      <c r="R93" s="33"/>
    </row>
    <row r="94" spans="1:18" x14ac:dyDescent="0.35">
      <c r="A94" s="21" t="s">
        <v>22</v>
      </c>
      <c r="B94" s="22">
        <f>SUM(B82:B93)</f>
        <v>61326744.940000005</v>
      </c>
      <c r="C94" s="22">
        <f>SUM(C82:C93)</f>
        <v>96627700</v>
      </c>
      <c r="D94" s="23">
        <f>(C94-B94)/B94</f>
        <v>0.57562088277369439</v>
      </c>
      <c r="E94" s="24">
        <f>SUM(E82:E93)</f>
        <v>4076920</v>
      </c>
      <c r="F94" s="24">
        <f t="shared" ref="F94:P94" si="35">SUM(F82:F93)</f>
        <v>5596035</v>
      </c>
      <c r="G94" s="24">
        <f t="shared" si="35"/>
        <v>7565585</v>
      </c>
      <c r="H94" s="24">
        <f t="shared" si="35"/>
        <v>7608615</v>
      </c>
      <c r="I94" s="24">
        <f t="shared" si="35"/>
        <v>8572980</v>
      </c>
      <c r="J94" s="24">
        <f t="shared" si="35"/>
        <v>8637130</v>
      </c>
      <c r="K94" s="24">
        <f t="shared" si="35"/>
        <v>8019350</v>
      </c>
      <c r="L94" s="24">
        <f t="shared" si="35"/>
        <v>8682295</v>
      </c>
      <c r="M94" s="24">
        <f t="shared" si="35"/>
        <v>8752595</v>
      </c>
      <c r="N94" s="24">
        <f t="shared" si="35"/>
        <v>9185360</v>
      </c>
      <c r="O94" s="24">
        <f t="shared" si="35"/>
        <v>8123035</v>
      </c>
      <c r="P94" s="24">
        <f t="shared" si="35"/>
        <v>7720135</v>
      </c>
      <c r="Q94" s="34">
        <f>SUM(E94:P94)</f>
        <v>92540035</v>
      </c>
      <c r="R94" s="35"/>
    </row>
    <row r="95" spans="1:18" x14ac:dyDescent="0.35">
      <c r="A95" s="12" t="s">
        <v>23</v>
      </c>
      <c r="B95" s="13">
        <f>AVERAGE(B82:B93)</f>
        <v>5110562.0783333341</v>
      </c>
      <c r="C95" s="27">
        <f>AVERAGE(C82:C93)</f>
        <v>8052308.333333333</v>
      </c>
      <c r="D95" s="28">
        <f>(C95-B95)/B95</f>
        <v>0.57562088277369416</v>
      </c>
      <c r="E95" s="29">
        <f>E94-E96</f>
        <v>1876920</v>
      </c>
      <c r="F95" s="29">
        <f t="shared" ref="F95:P95" si="36">F94-F96</f>
        <v>996035</v>
      </c>
      <c r="G95" s="29">
        <f t="shared" si="36"/>
        <v>565585</v>
      </c>
      <c r="H95" s="29">
        <f t="shared" si="36"/>
        <v>-1391385</v>
      </c>
      <c r="I95" s="29">
        <f t="shared" si="36"/>
        <v>272980</v>
      </c>
      <c r="J95" s="29">
        <f t="shared" si="36"/>
        <v>-762870</v>
      </c>
      <c r="K95" s="29">
        <f t="shared" si="36"/>
        <v>1519350</v>
      </c>
      <c r="L95" s="29">
        <f t="shared" si="36"/>
        <v>-317705</v>
      </c>
      <c r="M95" s="29">
        <f t="shared" si="36"/>
        <v>-747405</v>
      </c>
      <c r="N95" s="29">
        <f t="shared" si="36"/>
        <v>-314640</v>
      </c>
      <c r="O95" s="29">
        <f t="shared" si="36"/>
        <v>-376965</v>
      </c>
      <c r="P95" s="29">
        <f t="shared" si="36"/>
        <v>2220135</v>
      </c>
      <c r="Q95" t="s">
        <v>28</v>
      </c>
    </row>
    <row r="96" spans="1:18" x14ac:dyDescent="0.35">
      <c r="A96" s="66" t="s">
        <v>29</v>
      </c>
      <c r="B96" s="66"/>
      <c r="C96" s="66"/>
      <c r="D96" s="66"/>
      <c r="E96" s="15">
        <v>2200000</v>
      </c>
      <c r="F96" s="15">
        <v>4600000</v>
      </c>
      <c r="G96" s="15">
        <v>7000000</v>
      </c>
      <c r="H96" s="15">
        <v>9000000</v>
      </c>
      <c r="I96" s="15">
        <v>8300000</v>
      </c>
      <c r="J96" s="15">
        <v>9400000</v>
      </c>
      <c r="K96" s="15">
        <v>6500000</v>
      </c>
      <c r="L96" s="15">
        <v>9000000</v>
      </c>
      <c r="M96" s="15">
        <v>9500000</v>
      </c>
      <c r="N96" s="15">
        <v>9500000</v>
      </c>
      <c r="O96" s="15">
        <v>8500000</v>
      </c>
      <c r="P96" s="15">
        <v>5500000</v>
      </c>
    </row>
    <row r="97" spans="1:2" x14ac:dyDescent="0.35">
      <c r="A97" s="36"/>
      <c r="B97" s="36"/>
    </row>
    <row r="98" spans="1:2" x14ac:dyDescent="0.35">
      <c r="A98" s="37"/>
      <c r="B98" s="37"/>
    </row>
    <row r="99" spans="1:2" x14ac:dyDescent="0.35">
      <c r="A99" s="37" t="s">
        <v>32</v>
      </c>
      <c r="B99" s="37"/>
    </row>
    <row r="100" spans="1:2" x14ac:dyDescent="0.35">
      <c r="A100" s="36" t="s">
        <v>33</v>
      </c>
      <c r="B100" s="36"/>
    </row>
    <row r="101" spans="1:2" x14ac:dyDescent="0.35">
      <c r="A101" s="36" t="s">
        <v>34</v>
      </c>
      <c r="B101" s="36"/>
    </row>
    <row r="102" spans="1:2" x14ac:dyDescent="0.35">
      <c r="A102" s="36" t="s">
        <v>35</v>
      </c>
      <c r="B102" s="36"/>
    </row>
    <row r="103" spans="1:2" x14ac:dyDescent="0.35">
      <c r="A103" s="36" t="s">
        <v>36</v>
      </c>
      <c r="B103" s="36"/>
    </row>
    <row r="104" spans="1:2" x14ac:dyDescent="0.35">
      <c r="A104" s="36"/>
      <c r="B104" s="36"/>
    </row>
    <row r="105" spans="1:2" x14ac:dyDescent="0.35">
      <c r="A105" s="36"/>
      <c r="B105" s="36"/>
    </row>
    <row r="106" spans="1:2" x14ac:dyDescent="0.35">
      <c r="A106" s="37"/>
      <c r="B106" s="37"/>
    </row>
    <row r="107" spans="1:2" x14ac:dyDescent="0.35">
      <c r="A107" s="37" t="s">
        <v>37</v>
      </c>
      <c r="B107" s="37"/>
    </row>
    <row r="108" spans="1:2" x14ac:dyDescent="0.35">
      <c r="A108" s="36" t="s">
        <v>38</v>
      </c>
      <c r="B108" s="36"/>
    </row>
    <row r="109" spans="1:2" x14ac:dyDescent="0.35">
      <c r="A109" s="36" t="s">
        <v>39</v>
      </c>
      <c r="B109" s="36"/>
    </row>
    <row r="110" spans="1:2" x14ac:dyDescent="0.35">
      <c r="A110" s="36" t="s">
        <v>40</v>
      </c>
      <c r="B110" s="36"/>
    </row>
  </sheetData>
  <mergeCells count="12">
    <mergeCell ref="A96:D96"/>
    <mergeCell ref="A1:P1"/>
    <mergeCell ref="A2:P2"/>
    <mergeCell ref="A4:P4"/>
    <mergeCell ref="A20:D20"/>
    <mergeCell ref="A23:P23"/>
    <mergeCell ref="A39:D39"/>
    <mergeCell ref="A42:P42"/>
    <mergeCell ref="A58:D58"/>
    <mergeCell ref="A61:P61"/>
    <mergeCell ref="A77:D77"/>
    <mergeCell ref="A80:P80"/>
  </mergeCells>
  <conditionalFormatting sqref="D19:P19">
    <cfRule type="cellIs" dxfId="9" priority="9" operator="lessThan">
      <formula>0</formula>
    </cfRule>
  </conditionalFormatting>
  <conditionalFormatting sqref="E19:P19">
    <cfRule type="cellIs" dxfId="8" priority="10" operator="greaterThan">
      <formula>0</formula>
    </cfRule>
  </conditionalFormatting>
  <conditionalFormatting sqref="E38:P38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E57:P57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E76:P76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E95:P9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7DEC-814C-457F-992A-9033F4AE9D1B}">
  <dimension ref="B1:M34"/>
  <sheetViews>
    <sheetView showGridLines="0" topLeftCell="D1" workbookViewId="0">
      <selection activeCell="K10" sqref="K10"/>
    </sheetView>
  </sheetViews>
  <sheetFormatPr defaultRowHeight="14.5" x14ac:dyDescent="0.35"/>
  <cols>
    <col min="1" max="1" width="2.54296875" customWidth="1"/>
    <col min="3" max="3" width="21.54296875" bestFit="1" customWidth="1"/>
    <col min="4" max="4" width="17.36328125" bestFit="1" customWidth="1"/>
    <col min="6" max="6" width="22.6328125" bestFit="1" customWidth="1"/>
    <col min="7" max="7" width="18.7265625" bestFit="1" customWidth="1"/>
    <col min="8" max="8" width="17.90625" bestFit="1" customWidth="1"/>
    <col min="9" max="9" width="14.81640625" bestFit="1" customWidth="1"/>
    <col min="10" max="10" width="18.7265625" bestFit="1" customWidth="1"/>
    <col min="11" max="11" width="14.81640625" bestFit="1" customWidth="1"/>
    <col min="12" max="12" width="17.90625" bestFit="1" customWidth="1"/>
  </cols>
  <sheetData>
    <row r="1" spans="2:13" ht="8.5" customHeight="1" x14ac:dyDescent="0.35"/>
    <row r="2" spans="2:13" x14ac:dyDescent="0.35">
      <c r="B2" s="78" t="s">
        <v>101</v>
      </c>
      <c r="C2" s="79" t="s">
        <v>103</v>
      </c>
      <c r="D2" s="82" t="s">
        <v>102</v>
      </c>
      <c r="F2" s="94" t="s">
        <v>107</v>
      </c>
      <c r="G2" s="95">
        <f>SUM('Venda x Mês 2026 KAM - Caio'!D14:P14)*1000</f>
        <v>155425000</v>
      </c>
      <c r="J2" t="s">
        <v>108</v>
      </c>
    </row>
    <row r="3" spans="2:13" x14ac:dyDescent="0.35">
      <c r="B3" s="74">
        <v>46023</v>
      </c>
      <c r="C3" s="75" t="s">
        <v>104</v>
      </c>
      <c r="D3" s="80">
        <v>3927300</v>
      </c>
      <c r="F3" s="89" t="s">
        <v>106</v>
      </c>
      <c r="G3" s="96">
        <f>SUM(D3:D26)</f>
        <v>96627700</v>
      </c>
      <c r="I3" t="s">
        <v>111</v>
      </c>
      <c r="J3" t="s">
        <v>114</v>
      </c>
      <c r="K3" t="s">
        <v>109</v>
      </c>
      <c r="L3" t="s">
        <v>110</v>
      </c>
    </row>
    <row r="4" spans="2:13" x14ac:dyDescent="0.35">
      <c r="B4" s="76">
        <v>46054</v>
      </c>
      <c r="C4" s="77" t="s">
        <v>104</v>
      </c>
      <c r="D4" s="81">
        <v>5268000</v>
      </c>
      <c r="F4" s="92" t="s">
        <v>113</v>
      </c>
      <c r="G4" s="93">
        <f>G2-G3</f>
        <v>58797300</v>
      </c>
      <c r="I4" s="84">
        <f>G2*60%</f>
        <v>93255000</v>
      </c>
      <c r="J4" s="84">
        <f>J5*J6</f>
        <v>24868000</v>
      </c>
      <c r="K4" s="84">
        <f>K5*8%</f>
        <v>12434000</v>
      </c>
      <c r="L4" s="84">
        <f>L5*16%</f>
        <v>24868000</v>
      </c>
      <c r="M4" s="84" t="b">
        <f>SUM(I4:L4)=L5</f>
        <v>1</v>
      </c>
    </row>
    <row r="5" spans="2:13" x14ac:dyDescent="0.35">
      <c r="B5" s="76">
        <v>46082</v>
      </c>
      <c r="C5" s="77" t="s">
        <v>104</v>
      </c>
      <c r="D5" s="81">
        <v>5694800</v>
      </c>
      <c r="F5" s="90" t="s">
        <v>115</v>
      </c>
      <c r="G5" s="91">
        <f>G2*K7</f>
        <v>11759460</v>
      </c>
      <c r="I5" s="83">
        <f>$G$2</f>
        <v>155425000</v>
      </c>
      <c r="J5" s="83">
        <f t="shared" ref="J5:L5" si="0">$G$2</f>
        <v>155425000</v>
      </c>
      <c r="K5" s="83">
        <f t="shared" si="0"/>
        <v>155425000</v>
      </c>
      <c r="L5" s="83">
        <f t="shared" si="0"/>
        <v>155425000</v>
      </c>
    </row>
    <row r="6" spans="2:13" x14ac:dyDescent="0.35">
      <c r="B6" s="76">
        <v>46113</v>
      </c>
      <c r="C6" s="77" t="s">
        <v>104</v>
      </c>
      <c r="D6" s="81">
        <v>5201000</v>
      </c>
      <c r="F6" s="90" t="s">
        <v>116</v>
      </c>
      <c r="G6" s="91">
        <f>G2*J7</f>
        <v>23518920</v>
      </c>
      <c r="I6" s="59">
        <f>I4/I5</f>
        <v>0.6</v>
      </c>
      <c r="J6" s="85">
        <v>0.16</v>
      </c>
      <c r="K6" s="59">
        <v>0.08</v>
      </c>
      <c r="L6" s="59">
        <v>0.16</v>
      </c>
      <c r="M6" s="59">
        <v>0.4</v>
      </c>
    </row>
    <row r="7" spans="2:13" x14ac:dyDescent="0.35">
      <c r="B7" s="76">
        <v>46143</v>
      </c>
      <c r="C7" s="77" t="s">
        <v>104</v>
      </c>
      <c r="D7" s="81">
        <v>6087600</v>
      </c>
      <c r="F7" s="90" t="s">
        <v>112</v>
      </c>
      <c r="G7" s="91">
        <f>G2*L7</f>
        <v>23518920</v>
      </c>
      <c r="I7" s="59">
        <f>G3/G2</f>
        <v>0.62169985523564419</v>
      </c>
      <c r="J7" s="86">
        <f>2/5*M7</f>
        <v>0.15132005790574232</v>
      </c>
      <c r="K7" s="87">
        <f>1/5*M7</f>
        <v>7.5660028952871161E-2</v>
      </c>
      <c r="L7" s="86">
        <f>2/5*M7</f>
        <v>0.15132005790574232</v>
      </c>
      <c r="M7" s="59">
        <f>1-I7</f>
        <v>0.37830014476435581</v>
      </c>
    </row>
    <row r="8" spans="2:13" x14ac:dyDescent="0.35">
      <c r="B8" s="76">
        <v>46174</v>
      </c>
      <c r="C8" s="77" t="s">
        <v>104</v>
      </c>
      <c r="D8" s="81">
        <v>6575200</v>
      </c>
      <c r="I8" s="59"/>
      <c r="J8" s="59"/>
    </row>
    <row r="9" spans="2:13" x14ac:dyDescent="0.35">
      <c r="B9" s="76">
        <v>46204</v>
      </c>
      <c r="C9" s="77" t="s">
        <v>104</v>
      </c>
      <c r="D9" s="81">
        <v>5374200</v>
      </c>
      <c r="I9" s="59"/>
      <c r="J9" s="85"/>
    </row>
    <row r="10" spans="2:13" x14ac:dyDescent="0.35">
      <c r="B10" s="76">
        <v>46235</v>
      </c>
      <c r="C10" s="77" t="s">
        <v>104</v>
      </c>
      <c r="D10" s="81">
        <v>6614400</v>
      </c>
      <c r="I10" s="47"/>
      <c r="J10" s="84"/>
    </row>
    <row r="11" spans="2:13" x14ac:dyDescent="0.35">
      <c r="B11" s="76">
        <v>46266</v>
      </c>
      <c r="C11" s="77" t="s">
        <v>104</v>
      </c>
      <c r="D11" s="81">
        <v>6181400</v>
      </c>
    </row>
    <row r="12" spans="2:13" x14ac:dyDescent="0.35">
      <c r="B12" s="76">
        <v>46296</v>
      </c>
      <c r="C12" s="77" t="s">
        <v>104</v>
      </c>
      <c r="D12" s="81">
        <v>6554600</v>
      </c>
    </row>
    <row r="13" spans="2:13" x14ac:dyDescent="0.35">
      <c r="B13" s="76">
        <v>46327</v>
      </c>
      <c r="C13" s="77" t="s">
        <v>104</v>
      </c>
      <c r="D13" s="81">
        <v>4807200</v>
      </c>
    </row>
    <row r="14" spans="2:13" x14ac:dyDescent="0.35">
      <c r="B14" s="76">
        <v>46357</v>
      </c>
      <c r="C14" s="77" t="s">
        <v>104</v>
      </c>
      <c r="D14" s="81">
        <v>3567000</v>
      </c>
    </row>
    <row r="15" spans="2:13" x14ac:dyDescent="0.35">
      <c r="B15" s="76">
        <v>46023</v>
      </c>
      <c r="C15" s="77" t="s">
        <v>105</v>
      </c>
      <c r="D15" s="81">
        <v>2755000</v>
      </c>
    </row>
    <row r="16" spans="2:13" x14ac:dyDescent="0.35">
      <c r="B16" s="76">
        <v>46054</v>
      </c>
      <c r="C16" s="77" t="s">
        <v>105</v>
      </c>
      <c r="D16" s="81">
        <v>2900000</v>
      </c>
    </row>
    <row r="17" spans="2:4" x14ac:dyDescent="0.35">
      <c r="B17" s="76">
        <v>46082</v>
      </c>
      <c r="C17" s="77" t="s">
        <v>105</v>
      </c>
      <c r="D17" s="81">
        <v>2690000</v>
      </c>
    </row>
    <row r="18" spans="2:4" x14ac:dyDescent="0.35">
      <c r="B18" s="76">
        <v>46113</v>
      </c>
      <c r="C18" s="77" t="s">
        <v>105</v>
      </c>
      <c r="D18" s="81">
        <v>2175000</v>
      </c>
    </row>
    <row r="19" spans="2:4" x14ac:dyDescent="0.35">
      <c r="B19" s="76">
        <v>46143</v>
      </c>
      <c r="C19" s="77" t="s">
        <v>105</v>
      </c>
      <c r="D19" s="81">
        <v>2530000</v>
      </c>
    </row>
    <row r="20" spans="2:4" x14ac:dyDescent="0.35">
      <c r="B20" s="76">
        <v>46174</v>
      </c>
      <c r="C20" s="77" t="s">
        <v>105</v>
      </c>
      <c r="D20" s="81">
        <v>3060000</v>
      </c>
    </row>
    <row r="21" spans="2:4" x14ac:dyDescent="0.35">
      <c r="B21" s="76">
        <v>46204</v>
      </c>
      <c r="C21" s="77" t="s">
        <v>105</v>
      </c>
      <c r="D21" s="81">
        <v>1885000</v>
      </c>
    </row>
    <row r="22" spans="2:4" x14ac:dyDescent="0.35">
      <c r="B22" s="76">
        <v>46235</v>
      </c>
      <c r="C22" s="77" t="s">
        <v>105</v>
      </c>
      <c r="D22" s="81">
        <v>2320000</v>
      </c>
    </row>
    <row r="23" spans="2:4" x14ac:dyDescent="0.35">
      <c r="B23" s="76">
        <v>46266</v>
      </c>
      <c r="C23" s="77" t="s">
        <v>105</v>
      </c>
      <c r="D23" s="81">
        <v>2545000</v>
      </c>
    </row>
    <row r="24" spans="2:4" x14ac:dyDescent="0.35">
      <c r="B24" s="76">
        <v>46296</v>
      </c>
      <c r="C24" s="77" t="s">
        <v>105</v>
      </c>
      <c r="D24" s="81">
        <v>2755000</v>
      </c>
    </row>
    <row r="25" spans="2:4" x14ac:dyDescent="0.35">
      <c r="B25" s="76">
        <v>46327</v>
      </c>
      <c r="C25" s="77" t="s">
        <v>105</v>
      </c>
      <c r="D25" s="81">
        <v>2160000</v>
      </c>
    </row>
    <row r="26" spans="2:4" x14ac:dyDescent="0.35">
      <c r="B26" s="76">
        <v>46357</v>
      </c>
      <c r="C26" s="77" t="s">
        <v>105</v>
      </c>
      <c r="D26" s="81">
        <v>3000000</v>
      </c>
    </row>
    <row r="27" spans="2:4" x14ac:dyDescent="0.35">
      <c r="B27" s="88"/>
    </row>
    <row r="28" spans="2:4" x14ac:dyDescent="0.35">
      <c r="B28" s="89"/>
    </row>
    <row r="34" spans="6:7" x14ac:dyDescent="0.35">
      <c r="F34" s="84"/>
      <c r="G34" s="84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CDFC-AED8-4662-AB2D-0EC75A10ED6F}">
  <dimension ref="A1:AF37"/>
  <sheetViews>
    <sheetView tabSelected="1" topLeftCell="A5" workbookViewId="0">
      <pane xSplit="3" topLeftCell="D1" activePane="topRight" state="frozen"/>
      <selection activeCell="C57" sqref="C57"/>
      <selection pane="topRight" activeCell="F17" sqref="F17"/>
    </sheetView>
  </sheetViews>
  <sheetFormatPr defaultRowHeight="14.5" x14ac:dyDescent="0.35"/>
  <cols>
    <col min="2" max="2" width="13.90625" customWidth="1"/>
    <col min="3" max="3" width="20.90625" customWidth="1"/>
    <col min="4" max="5" width="13.08984375" bestFit="1" customWidth="1"/>
    <col min="6" max="9" width="14.08984375" bestFit="1" customWidth="1"/>
    <col min="10" max="10" width="13.08984375" bestFit="1" customWidth="1"/>
    <col min="11" max="14" width="14.08984375" bestFit="1" customWidth="1"/>
    <col min="15" max="15" width="13.08984375" bestFit="1" customWidth="1"/>
    <col min="16" max="16" width="14.7265625" bestFit="1" customWidth="1"/>
    <col min="17" max="17" width="11.36328125" bestFit="1" customWidth="1"/>
    <col min="18" max="18" width="15.08984375" bestFit="1" customWidth="1"/>
    <col min="19" max="21" width="28" hidden="1" customWidth="1"/>
    <col min="22" max="22" width="39.36328125" hidden="1" customWidth="1"/>
    <col min="23" max="25" width="16.54296875" hidden="1" customWidth="1"/>
    <col min="26" max="26" width="15.54296875" hidden="1" customWidth="1"/>
    <col min="27" max="29" width="12.90625" bestFit="1" customWidth="1"/>
    <col min="30" max="30" width="11.90625" bestFit="1" customWidth="1"/>
    <col min="31" max="32" width="9.36328125" bestFit="1" customWidth="1"/>
  </cols>
  <sheetData>
    <row r="1" spans="1:26" x14ac:dyDescent="0.35">
      <c r="A1" s="38"/>
      <c r="B1" s="38"/>
      <c r="C1" s="39" t="s">
        <v>41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26" x14ac:dyDescent="0.35">
      <c r="A2" s="41" t="s">
        <v>42</v>
      </c>
      <c r="B2" s="42" t="s">
        <v>43</v>
      </c>
      <c r="C2" s="43">
        <f>Q14</f>
        <v>155425</v>
      </c>
      <c r="D2" s="39" t="s">
        <v>44</v>
      </c>
      <c r="E2" s="39" t="s">
        <v>45</v>
      </c>
      <c r="F2" s="39" t="s">
        <v>46</v>
      </c>
      <c r="G2" s="39" t="s">
        <v>47</v>
      </c>
      <c r="H2" s="39" t="s">
        <v>48</v>
      </c>
      <c r="I2" s="39" t="s">
        <v>49</v>
      </c>
      <c r="J2" s="39" t="s">
        <v>50</v>
      </c>
      <c r="K2" s="39" t="s">
        <v>51</v>
      </c>
      <c r="L2" s="39" t="s">
        <v>52</v>
      </c>
      <c r="M2" s="39" t="s">
        <v>53</v>
      </c>
      <c r="N2" s="39" t="s">
        <v>54</v>
      </c>
      <c r="O2" s="39" t="s">
        <v>55</v>
      </c>
      <c r="P2" s="39" t="s">
        <v>56</v>
      </c>
      <c r="Q2" s="39" t="s">
        <v>57</v>
      </c>
      <c r="R2" s="39" t="s">
        <v>58</v>
      </c>
      <c r="S2" s="39" t="s">
        <v>59</v>
      </c>
      <c r="T2" s="39" t="s">
        <v>60</v>
      </c>
      <c r="U2" s="39" t="s">
        <v>61</v>
      </c>
    </row>
    <row r="3" spans="1:26" x14ac:dyDescent="0.35">
      <c r="A3" s="41" t="s">
        <v>62</v>
      </c>
      <c r="B3" s="42" t="s">
        <v>63</v>
      </c>
      <c r="C3" s="39" t="s">
        <v>64</v>
      </c>
      <c r="D3" s="44">
        <v>2050</v>
      </c>
      <c r="E3" s="44">
        <v>2050</v>
      </c>
      <c r="F3" s="44">
        <v>2050</v>
      </c>
      <c r="G3" s="44">
        <v>2050</v>
      </c>
      <c r="H3" s="44">
        <v>2050</v>
      </c>
      <c r="I3" s="44">
        <v>2050</v>
      </c>
      <c r="J3" s="44">
        <v>2050</v>
      </c>
      <c r="K3" s="44">
        <v>2050</v>
      </c>
      <c r="L3" s="44">
        <v>2050</v>
      </c>
      <c r="M3" s="44">
        <v>2050</v>
      </c>
      <c r="N3" s="44">
        <v>2050</v>
      </c>
      <c r="O3" s="44">
        <v>2050</v>
      </c>
      <c r="P3" s="45">
        <f>-O3/2</f>
        <v>-1025</v>
      </c>
      <c r="Q3" s="44">
        <f>SUM(D3:P3)</f>
        <v>23575</v>
      </c>
      <c r="R3" s="46">
        <f>(Q3-X3)/X3</f>
        <v>0.14887914230019494</v>
      </c>
      <c r="S3" s="47">
        <f>Q3</f>
        <v>23575</v>
      </c>
      <c r="T3" s="47">
        <f>X3*1.15</f>
        <v>23597.999999999996</v>
      </c>
      <c r="U3" s="47">
        <f>Q3*1.15</f>
        <v>27111.249999999996</v>
      </c>
      <c r="V3" s="48" t="s">
        <v>65</v>
      </c>
      <c r="W3" s="49">
        <v>16397.854789999998</v>
      </c>
      <c r="X3" s="49">
        <v>20520</v>
      </c>
      <c r="Y3" s="49">
        <v>23460</v>
      </c>
      <c r="Z3" s="47">
        <v>1955</v>
      </c>
    </row>
    <row r="4" spans="1:26" x14ac:dyDescent="0.35">
      <c r="A4" s="41" t="s">
        <v>62</v>
      </c>
      <c r="B4" s="42" t="s">
        <v>63</v>
      </c>
      <c r="C4" s="39" t="s">
        <v>66</v>
      </c>
      <c r="D4" s="44">
        <v>2350</v>
      </c>
      <c r="E4" s="44">
        <v>2350</v>
      </c>
      <c r="F4" s="44">
        <v>2350</v>
      </c>
      <c r="G4" s="44">
        <v>2350</v>
      </c>
      <c r="H4" s="44">
        <v>2350</v>
      </c>
      <c r="I4" s="44">
        <v>2350</v>
      </c>
      <c r="J4" s="44">
        <v>2350</v>
      </c>
      <c r="K4" s="44">
        <v>2350</v>
      </c>
      <c r="L4" s="44">
        <v>2350</v>
      </c>
      <c r="M4" s="44">
        <v>2350</v>
      </c>
      <c r="N4" s="44">
        <v>2350</v>
      </c>
      <c r="O4" s="44">
        <v>2350</v>
      </c>
      <c r="P4" s="45">
        <f t="shared" ref="P4:P11" si="0">-O4/2</f>
        <v>-1175</v>
      </c>
      <c r="Q4" s="44">
        <f t="shared" ref="Q4:Q13" si="1">SUM(D4:P4)</f>
        <v>27025</v>
      </c>
      <c r="R4" s="46">
        <f>(Q4-X4)/X4</f>
        <v>0.14536978173341811</v>
      </c>
      <c r="S4" s="47">
        <f>Q4</f>
        <v>27025</v>
      </c>
      <c r="T4" s="47">
        <f>X4*1.15</f>
        <v>27134.249999999996</v>
      </c>
      <c r="U4" s="47">
        <f>Q4*1.15</f>
        <v>31078.749999999996</v>
      </c>
      <c r="V4" s="48" t="s">
        <v>67</v>
      </c>
      <c r="W4" s="49">
        <v>22947.43059</v>
      </c>
      <c r="X4" s="49">
        <v>23595</v>
      </c>
      <c r="Y4" s="49">
        <v>29899.999999999996</v>
      </c>
      <c r="Z4" s="47">
        <v>2491.6666666666665</v>
      </c>
    </row>
    <row r="5" spans="1:26" x14ac:dyDescent="0.35">
      <c r="A5" s="41" t="s">
        <v>62</v>
      </c>
      <c r="B5" s="42" t="s">
        <v>63</v>
      </c>
      <c r="C5" s="39" t="s">
        <v>68</v>
      </c>
      <c r="D5" s="44">
        <v>2050</v>
      </c>
      <c r="E5" s="44">
        <v>2050</v>
      </c>
      <c r="F5" s="44">
        <v>2050</v>
      </c>
      <c r="G5" s="44">
        <v>2050</v>
      </c>
      <c r="H5" s="44">
        <v>2050</v>
      </c>
      <c r="I5" s="44">
        <v>2050</v>
      </c>
      <c r="J5" s="44">
        <v>2050</v>
      </c>
      <c r="K5" s="44">
        <v>2050</v>
      </c>
      <c r="L5" s="44">
        <v>2050</v>
      </c>
      <c r="M5" s="44">
        <v>2050</v>
      </c>
      <c r="N5" s="44">
        <v>2050</v>
      </c>
      <c r="O5" s="44">
        <v>2050</v>
      </c>
      <c r="P5" s="45">
        <f t="shared" si="0"/>
        <v>-1025</v>
      </c>
      <c r="Q5" s="44">
        <f t="shared" si="1"/>
        <v>23575</v>
      </c>
      <c r="R5" s="46">
        <f>(Q5-X5)/X5</f>
        <v>0.15162913389673197</v>
      </c>
      <c r="S5" s="47">
        <f>Q5</f>
        <v>23575</v>
      </c>
      <c r="T5" s="47">
        <f>X5*1.15</f>
        <v>23541.649999999998</v>
      </c>
      <c r="U5" s="47">
        <f>Q5*1.15</f>
        <v>27111.249999999996</v>
      </c>
      <c r="V5" s="48" t="s">
        <v>69</v>
      </c>
      <c r="W5" s="49">
        <v>18700.868719999999</v>
      </c>
      <c r="X5" s="49">
        <v>20471</v>
      </c>
      <c r="Y5" s="49">
        <v>25299.999999999996</v>
      </c>
      <c r="Z5" s="47">
        <v>2108.333333333333</v>
      </c>
    </row>
    <row r="6" spans="1:26" x14ac:dyDescent="0.35">
      <c r="A6" s="41" t="s">
        <v>70</v>
      </c>
      <c r="B6" s="42" t="s">
        <v>63</v>
      </c>
      <c r="C6" s="39" t="s">
        <v>71</v>
      </c>
      <c r="D6" s="44">
        <v>1000</v>
      </c>
      <c r="E6" s="44">
        <v>1000</v>
      </c>
      <c r="F6" s="44">
        <v>1000</v>
      </c>
      <c r="G6" s="44">
        <v>1000</v>
      </c>
      <c r="H6" s="44">
        <v>1000</v>
      </c>
      <c r="I6" s="44">
        <v>1000</v>
      </c>
      <c r="J6" s="44">
        <f t="shared" ref="J6:O7" si="2">2000000/1000</f>
        <v>2000</v>
      </c>
      <c r="K6" s="44">
        <f t="shared" si="2"/>
        <v>2000</v>
      </c>
      <c r="L6" s="44">
        <f t="shared" si="2"/>
        <v>2000</v>
      </c>
      <c r="M6" s="44">
        <f t="shared" si="2"/>
        <v>2000</v>
      </c>
      <c r="N6" s="44">
        <f t="shared" si="2"/>
        <v>2000</v>
      </c>
      <c r="O6" s="44">
        <f t="shared" si="2"/>
        <v>2000</v>
      </c>
      <c r="P6" s="45">
        <f t="shared" si="0"/>
        <v>-1000</v>
      </c>
      <c r="Q6" s="44">
        <f t="shared" si="1"/>
        <v>17000</v>
      </c>
      <c r="R6" s="46">
        <f>(Q6-W6)/W6</f>
        <v>2.0322419301121704</v>
      </c>
      <c r="V6" s="48" t="s">
        <v>72</v>
      </c>
      <c r="W6" s="49">
        <v>5606.4128100000007</v>
      </c>
      <c r="X6" s="49">
        <v>0</v>
      </c>
      <c r="Y6" s="49">
        <v>0</v>
      </c>
      <c r="Z6">
        <v>0</v>
      </c>
    </row>
    <row r="7" spans="1:26" x14ac:dyDescent="0.35">
      <c r="A7" s="41" t="s">
        <v>70</v>
      </c>
      <c r="B7" s="42" t="s">
        <v>73</v>
      </c>
      <c r="C7" s="39" t="s">
        <v>74</v>
      </c>
      <c r="D7" s="44">
        <v>600</v>
      </c>
      <c r="E7" s="44">
        <v>600</v>
      </c>
      <c r="F7" s="44">
        <v>1000</v>
      </c>
      <c r="G7" s="44">
        <v>1000</v>
      </c>
      <c r="H7" s="44">
        <v>1000</v>
      </c>
      <c r="I7" s="44">
        <v>1000</v>
      </c>
      <c r="J7" s="44">
        <v>1000</v>
      </c>
      <c r="K7" s="44">
        <v>1000</v>
      </c>
      <c r="L7" s="44">
        <f t="shared" si="2"/>
        <v>2000</v>
      </c>
      <c r="M7" s="44">
        <f t="shared" si="2"/>
        <v>2000</v>
      </c>
      <c r="N7" s="44">
        <f t="shared" si="2"/>
        <v>2000</v>
      </c>
      <c r="O7" s="44">
        <f t="shared" si="2"/>
        <v>2000</v>
      </c>
      <c r="P7" s="45">
        <f t="shared" si="0"/>
        <v>-1000</v>
      </c>
      <c r="Q7" s="44">
        <f t="shared" si="1"/>
        <v>14200</v>
      </c>
      <c r="R7" s="46">
        <f>(Q7-W7)/W7</f>
        <v>2.4505707346054173</v>
      </c>
      <c r="S7" s="47">
        <f>+SUM(S3:S5)</f>
        <v>74175</v>
      </c>
      <c r="T7" s="47">
        <f>+SUM(T3:T5)</f>
        <v>74273.899999999994</v>
      </c>
      <c r="U7" s="47">
        <f>+SUM(U3:U5)</f>
        <v>85301.249999999985</v>
      </c>
      <c r="V7" s="48" t="s">
        <v>75</v>
      </c>
      <c r="W7" s="49">
        <v>4115.2612399999998</v>
      </c>
      <c r="X7" s="49">
        <v>0</v>
      </c>
      <c r="Y7" s="49">
        <v>0</v>
      </c>
      <c r="Z7">
        <v>0</v>
      </c>
    </row>
    <row r="8" spans="1:26" x14ac:dyDescent="0.35">
      <c r="A8" s="41" t="s">
        <v>70</v>
      </c>
      <c r="B8" s="42" t="s">
        <v>63</v>
      </c>
      <c r="C8" s="39" t="s">
        <v>76</v>
      </c>
      <c r="D8" s="44">
        <v>1000</v>
      </c>
      <c r="E8" s="44">
        <v>1000</v>
      </c>
      <c r="F8" s="44">
        <v>1000</v>
      </c>
      <c r="G8" s="44">
        <v>1000</v>
      </c>
      <c r="H8" s="44">
        <v>1000</v>
      </c>
      <c r="I8" s="44">
        <v>1000</v>
      </c>
      <c r="J8" s="44">
        <v>1000</v>
      </c>
      <c r="K8" s="44">
        <v>1000</v>
      </c>
      <c r="L8" s="44">
        <v>1000</v>
      </c>
      <c r="M8" s="44">
        <v>1500</v>
      </c>
      <c r="N8" s="44">
        <v>1500</v>
      </c>
      <c r="O8" s="44">
        <v>1500</v>
      </c>
      <c r="P8" s="45">
        <f t="shared" si="0"/>
        <v>-750</v>
      </c>
      <c r="Q8" s="44">
        <f t="shared" si="1"/>
        <v>12750</v>
      </c>
      <c r="R8" s="46">
        <f t="shared" ref="R8" si="3">(Q8-W8)/W8</f>
        <v>14.302852451696996</v>
      </c>
      <c r="T8" s="47">
        <f>T7-S7</f>
        <v>98.899999999994179</v>
      </c>
      <c r="U8" s="47">
        <f>U7-S7</f>
        <v>11126.249999999985</v>
      </c>
      <c r="V8" s="48" t="s">
        <v>77</v>
      </c>
      <c r="W8" s="49">
        <v>833.178</v>
      </c>
      <c r="X8" s="49">
        <v>0</v>
      </c>
      <c r="Y8" s="49">
        <v>0</v>
      </c>
      <c r="Z8">
        <v>0</v>
      </c>
    </row>
    <row r="9" spans="1:26" x14ac:dyDescent="0.35">
      <c r="A9" s="41" t="s">
        <v>78</v>
      </c>
      <c r="B9" s="42" t="s">
        <v>73</v>
      </c>
      <c r="C9" s="39" t="s">
        <v>79</v>
      </c>
      <c r="D9" s="44">
        <v>600</v>
      </c>
      <c r="E9" s="44">
        <v>600</v>
      </c>
      <c r="F9" s="44">
        <v>600</v>
      </c>
      <c r="G9" s="44">
        <v>600</v>
      </c>
      <c r="H9" s="44">
        <v>600</v>
      </c>
      <c r="I9" s="44">
        <v>1000</v>
      </c>
      <c r="J9" s="44">
        <v>1000</v>
      </c>
      <c r="K9" s="44">
        <v>1000</v>
      </c>
      <c r="L9" s="44">
        <v>1000</v>
      </c>
      <c r="M9" s="44">
        <v>1000</v>
      </c>
      <c r="N9" s="44">
        <v>1000</v>
      </c>
      <c r="O9" s="44">
        <v>1000</v>
      </c>
      <c r="P9" s="45">
        <f t="shared" si="0"/>
        <v>-500</v>
      </c>
      <c r="Q9" s="44">
        <f t="shared" si="1"/>
        <v>9500</v>
      </c>
      <c r="R9" s="46">
        <f>(Q9-W9)/W9</f>
        <v>75</v>
      </c>
      <c r="V9" s="48" t="s">
        <v>80</v>
      </c>
      <c r="W9" s="49">
        <v>125</v>
      </c>
      <c r="X9" s="49">
        <v>0</v>
      </c>
      <c r="Y9" s="49">
        <v>0</v>
      </c>
      <c r="Z9">
        <v>0</v>
      </c>
    </row>
    <row r="10" spans="1:26" x14ac:dyDescent="0.35">
      <c r="A10" s="41" t="s">
        <v>78</v>
      </c>
      <c r="B10" s="42" t="s">
        <v>73</v>
      </c>
      <c r="C10" s="39" t="s">
        <v>81</v>
      </c>
      <c r="D10" s="44">
        <v>600</v>
      </c>
      <c r="E10" s="44">
        <v>600</v>
      </c>
      <c r="F10" s="44">
        <v>600</v>
      </c>
      <c r="G10" s="44">
        <v>600</v>
      </c>
      <c r="H10" s="44">
        <v>600</v>
      </c>
      <c r="I10" s="44">
        <v>600</v>
      </c>
      <c r="J10" s="44">
        <v>1000</v>
      </c>
      <c r="K10" s="44">
        <v>1000</v>
      </c>
      <c r="L10" s="44">
        <v>1000</v>
      </c>
      <c r="M10" s="44">
        <v>1000</v>
      </c>
      <c r="N10" s="44">
        <v>1000</v>
      </c>
      <c r="O10" s="44">
        <v>1000</v>
      </c>
      <c r="P10" s="45">
        <f t="shared" si="0"/>
        <v>-500</v>
      </c>
      <c r="Q10" s="44">
        <f t="shared" si="1"/>
        <v>9100</v>
      </c>
      <c r="R10" s="46" t="s">
        <v>82</v>
      </c>
      <c r="T10" s="47">
        <f>T3/11</f>
        <v>2145.272727272727</v>
      </c>
      <c r="V10" s="48" t="s">
        <v>83</v>
      </c>
      <c r="W10" s="49">
        <v>0</v>
      </c>
      <c r="X10" s="49"/>
      <c r="Y10" s="49"/>
    </row>
    <row r="11" spans="1:26" x14ac:dyDescent="0.35">
      <c r="A11" s="41" t="s">
        <v>78</v>
      </c>
      <c r="B11" s="42" t="s">
        <v>73</v>
      </c>
      <c r="C11" s="39" t="s">
        <v>84</v>
      </c>
      <c r="D11" s="44">
        <v>600</v>
      </c>
      <c r="E11" s="44">
        <v>600</v>
      </c>
      <c r="F11" s="44">
        <v>600</v>
      </c>
      <c r="G11" s="44">
        <v>600</v>
      </c>
      <c r="H11" s="44">
        <v>600</v>
      </c>
      <c r="I11" s="44">
        <v>600</v>
      </c>
      <c r="J11" s="44">
        <v>600</v>
      </c>
      <c r="K11" s="44">
        <v>600</v>
      </c>
      <c r="L11" s="44">
        <v>600</v>
      </c>
      <c r="M11" s="44">
        <v>1000</v>
      </c>
      <c r="N11" s="44">
        <v>1000</v>
      </c>
      <c r="O11" s="44">
        <v>1000</v>
      </c>
      <c r="P11" s="45">
        <f t="shared" si="0"/>
        <v>-500</v>
      </c>
      <c r="Q11" s="44">
        <f t="shared" si="1"/>
        <v>7900</v>
      </c>
      <c r="R11" s="46" t="s">
        <v>82</v>
      </c>
      <c r="T11" s="47">
        <f>T4/11</f>
        <v>2466.7499999999995</v>
      </c>
      <c r="V11" s="48" t="s">
        <v>85</v>
      </c>
      <c r="W11" s="49">
        <v>0</v>
      </c>
      <c r="X11" s="49"/>
      <c r="Y11" s="49"/>
    </row>
    <row r="12" spans="1:26" x14ac:dyDescent="0.35">
      <c r="A12" s="41" t="s">
        <v>86</v>
      </c>
      <c r="B12" s="42" t="s">
        <v>87</v>
      </c>
      <c r="C12" s="39" t="s">
        <v>88</v>
      </c>
      <c r="D12" s="44">
        <v>0</v>
      </c>
      <c r="E12" s="44">
        <v>0</v>
      </c>
      <c r="F12" s="44">
        <v>0</v>
      </c>
      <c r="G12" s="44">
        <v>600</v>
      </c>
      <c r="H12" s="44">
        <v>600</v>
      </c>
      <c r="I12" s="44">
        <v>600</v>
      </c>
      <c r="J12" s="44">
        <v>600</v>
      </c>
      <c r="K12" s="44">
        <v>600</v>
      </c>
      <c r="L12" s="44">
        <v>600</v>
      </c>
      <c r="M12" s="44">
        <v>600</v>
      </c>
      <c r="N12" s="44">
        <v>600</v>
      </c>
      <c r="O12" s="44">
        <v>600</v>
      </c>
      <c r="P12" s="45">
        <v>0</v>
      </c>
      <c r="Q12" s="44">
        <f t="shared" si="1"/>
        <v>5400</v>
      </c>
      <c r="R12" s="50" t="s">
        <v>82</v>
      </c>
      <c r="T12" s="47">
        <f>T5/11</f>
        <v>2140.1499999999996</v>
      </c>
      <c r="V12" s="48"/>
      <c r="W12" s="49"/>
    </row>
    <row r="13" spans="1:26" x14ac:dyDescent="0.35">
      <c r="A13" s="41" t="s">
        <v>86</v>
      </c>
      <c r="B13" s="42" t="s">
        <v>87</v>
      </c>
      <c r="C13" s="39" t="s">
        <v>89</v>
      </c>
      <c r="D13" s="44">
        <v>0</v>
      </c>
      <c r="E13" s="44">
        <v>0</v>
      </c>
      <c r="F13" s="44">
        <v>0</v>
      </c>
      <c r="G13" s="44">
        <v>600</v>
      </c>
      <c r="H13" s="44">
        <v>600</v>
      </c>
      <c r="I13" s="44">
        <v>600</v>
      </c>
      <c r="J13" s="44">
        <v>600</v>
      </c>
      <c r="K13" s="44">
        <v>600</v>
      </c>
      <c r="L13" s="44">
        <v>600</v>
      </c>
      <c r="M13" s="44">
        <v>600</v>
      </c>
      <c r="N13" s="44">
        <v>600</v>
      </c>
      <c r="O13" s="44">
        <v>600</v>
      </c>
      <c r="P13" s="45">
        <v>0</v>
      </c>
      <c r="Q13" s="44">
        <f t="shared" si="1"/>
        <v>5400</v>
      </c>
      <c r="R13" s="50" t="s">
        <v>82</v>
      </c>
    </row>
    <row r="14" spans="1:26" x14ac:dyDescent="0.35">
      <c r="A14" s="51"/>
      <c r="B14" s="38"/>
      <c r="C14" s="39"/>
      <c r="D14" s="52">
        <f>SUM(D3:D13)</f>
        <v>10850</v>
      </c>
      <c r="E14" s="52">
        <f t="shared" ref="E14:O14" si="4">SUM(E3:E13)</f>
        <v>10850</v>
      </c>
      <c r="F14" s="52">
        <f t="shared" si="4"/>
        <v>11250</v>
      </c>
      <c r="G14" s="52">
        <f t="shared" si="4"/>
        <v>12450</v>
      </c>
      <c r="H14" s="52">
        <f t="shared" si="4"/>
        <v>12450</v>
      </c>
      <c r="I14" s="52">
        <f>SUM(I3:I13)</f>
        <v>12850</v>
      </c>
      <c r="J14" s="52">
        <f t="shared" si="4"/>
        <v>14250</v>
      </c>
      <c r="K14" s="52">
        <f t="shared" si="4"/>
        <v>14250</v>
      </c>
      <c r="L14" s="52">
        <f t="shared" si="4"/>
        <v>15250</v>
      </c>
      <c r="M14" s="52">
        <f t="shared" si="4"/>
        <v>16150</v>
      </c>
      <c r="N14" s="52">
        <f t="shared" si="4"/>
        <v>16150</v>
      </c>
      <c r="O14" s="52">
        <f t="shared" si="4"/>
        <v>16150</v>
      </c>
      <c r="P14" s="53">
        <f>SUM(P3:P13)</f>
        <v>-7475</v>
      </c>
      <c r="Q14" s="52">
        <f>SUM(Q3:Q13)</f>
        <v>155425</v>
      </c>
      <c r="R14" s="39"/>
    </row>
    <row r="15" spans="1:26" x14ac:dyDescent="0.35">
      <c r="A15" s="51"/>
      <c r="B15" s="38"/>
      <c r="C15" s="39" t="s">
        <v>90</v>
      </c>
      <c r="D15" s="52">
        <f>SUM(D3,D4,D5,D6,D8)</f>
        <v>8450</v>
      </c>
      <c r="E15" s="52">
        <f t="shared" ref="E15:K15" si="5">SUM(E3,E4,E5,E6,E8)</f>
        <v>8450</v>
      </c>
      <c r="F15" s="52">
        <f t="shared" si="5"/>
        <v>8450</v>
      </c>
      <c r="G15" s="52">
        <f t="shared" si="5"/>
        <v>8450</v>
      </c>
      <c r="H15" s="52">
        <f t="shared" si="5"/>
        <v>8450</v>
      </c>
      <c r="I15" s="52">
        <f t="shared" si="5"/>
        <v>8450</v>
      </c>
      <c r="J15" s="52">
        <f t="shared" si="5"/>
        <v>9450</v>
      </c>
      <c r="K15" s="52">
        <f t="shared" si="5"/>
        <v>9450</v>
      </c>
      <c r="L15" s="52">
        <f>SUM(L3,L4,L5,L6,L7,L8)</f>
        <v>11450</v>
      </c>
      <c r="M15" s="52">
        <f t="shared" ref="M15:O15" si="6">SUM(M3,M4,M5,M6,M7,M8)</f>
        <v>11950</v>
      </c>
      <c r="N15" s="52">
        <f t="shared" si="6"/>
        <v>11950</v>
      </c>
      <c r="O15" s="52">
        <f t="shared" si="6"/>
        <v>11950</v>
      </c>
      <c r="P15" s="53"/>
      <c r="Q15" s="52">
        <f>SUM(D15:O15)</f>
        <v>116900</v>
      </c>
      <c r="R15" s="39"/>
    </row>
    <row r="16" spans="1:26" x14ac:dyDescent="0.35">
      <c r="A16" s="51"/>
      <c r="B16" s="38"/>
      <c r="C16" s="39" t="s">
        <v>91</v>
      </c>
      <c r="D16" s="52">
        <f>SUM(D7,D9,D10,D11)</f>
        <v>2400</v>
      </c>
      <c r="E16" s="52">
        <f t="shared" ref="E16:K16" si="7">SUM(E7,E9,E10,E11)</f>
        <v>2400</v>
      </c>
      <c r="F16" s="52">
        <f t="shared" si="7"/>
        <v>2800</v>
      </c>
      <c r="G16" s="52">
        <f t="shared" si="7"/>
        <v>2800</v>
      </c>
      <c r="H16" s="52">
        <f t="shared" si="7"/>
        <v>2800</v>
      </c>
      <c r="I16" s="52">
        <f t="shared" si="7"/>
        <v>3200</v>
      </c>
      <c r="J16" s="52">
        <f t="shared" si="7"/>
        <v>3600</v>
      </c>
      <c r="K16" s="52">
        <f t="shared" si="7"/>
        <v>3600</v>
      </c>
      <c r="L16" s="52">
        <f>SUM(L9,L10,L11,L12,L13)</f>
        <v>3800</v>
      </c>
      <c r="M16" s="52">
        <f t="shared" ref="M16:O16" si="8">SUM(M9,M10,M11,M12,M13)</f>
        <v>4200</v>
      </c>
      <c r="N16" s="52">
        <f t="shared" si="8"/>
        <v>4200</v>
      </c>
      <c r="O16" s="52">
        <f t="shared" si="8"/>
        <v>4200</v>
      </c>
      <c r="P16" s="53"/>
      <c r="Q16" s="52">
        <f>SUM(D16:O16)</f>
        <v>40000</v>
      </c>
      <c r="R16" s="39"/>
    </row>
    <row r="17" spans="1:32" x14ac:dyDescent="0.35">
      <c r="A17" s="51"/>
      <c r="B17" s="38"/>
      <c r="C17" s="39" t="s">
        <v>92</v>
      </c>
      <c r="D17" s="52">
        <f>D14*60%</f>
        <v>6510</v>
      </c>
      <c r="E17" s="52">
        <f t="shared" ref="E17:O17" si="9">E14*60%</f>
        <v>6510</v>
      </c>
      <c r="F17" s="52">
        <f t="shared" si="9"/>
        <v>6750</v>
      </c>
      <c r="G17" s="52">
        <f t="shared" si="9"/>
        <v>7470</v>
      </c>
      <c r="H17" s="52">
        <f t="shared" si="9"/>
        <v>7470</v>
      </c>
      <c r="I17" s="52">
        <f t="shared" si="9"/>
        <v>7710</v>
      </c>
      <c r="J17" s="52">
        <f t="shared" si="9"/>
        <v>8550</v>
      </c>
      <c r="K17" s="52">
        <f t="shared" si="9"/>
        <v>8550</v>
      </c>
      <c r="L17" s="52">
        <f t="shared" si="9"/>
        <v>9150</v>
      </c>
      <c r="M17" s="52">
        <f t="shared" si="9"/>
        <v>9690</v>
      </c>
      <c r="N17" s="52">
        <f t="shared" si="9"/>
        <v>9690</v>
      </c>
      <c r="O17" s="52">
        <f t="shared" si="9"/>
        <v>9690</v>
      </c>
      <c r="P17" s="53"/>
      <c r="Q17" s="52">
        <f>Q14*60%</f>
        <v>93255</v>
      </c>
      <c r="R17" s="39"/>
    </row>
    <row r="18" spans="1:32" x14ac:dyDescent="0.35">
      <c r="A18" s="38"/>
      <c r="B18" s="38"/>
      <c r="C18" s="39" t="s">
        <v>93</v>
      </c>
      <c r="D18" s="52">
        <v>5</v>
      </c>
      <c r="E18" s="52">
        <v>5</v>
      </c>
      <c r="F18" s="52">
        <v>6</v>
      </c>
      <c r="G18" s="52">
        <v>6</v>
      </c>
      <c r="H18" s="52">
        <v>6</v>
      </c>
      <c r="I18" s="52">
        <v>7</v>
      </c>
      <c r="J18" s="52">
        <v>8</v>
      </c>
      <c r="K18" s="52">
        <v>8</v>
      </c>
      <c r="L18" s="52">
        <v>8</v>
      </c>
      <c r="M18" s="52">
        <v>9</v>
      </c>
      <c r="N18" s="52">
        <v>9</v>
      </c>
      <c r="O18" s="52">
        <v>9</v>
      </c>
      <c r="P18" s="53"/>
      <c r="Q18" s="52"/>
      <c r="R18" s="39"/>
    </row>
    <row r="19" spans="1:32" x14ac:dyDescent="0.35">
      <c r="A19" s="54"/>
      <c r="B19" s="54"/>
      <c r="C19" s="55" t="s">
        <v>94</v>
      </c>
      <c r="D19" s="56">
        <v>3200</v>
      </c>
      <c r="E19" s="56">
        <v>5600</v>
      </c>
      <c r="F19" s="56">
        <v>8500</v>
      </c>
      <c r="G19" s="56">
        <v>10000</v>
      </c>
      <c r="H19" s="56">
        <v>10300</v>
      </c>
      <c r="I19" s="56">
        <v>11900</v>
      </c>
      <c r="J19" s="56">
        <v>7000</v>
      </c>
      <c r="K19" s="56">
        <v>10000</v>
      </c>
      <c r="L19" s="56">
        <v>11000</v>
      </c>
      <c r="M19" s="56">
        <v>11000</v>
      </c>
      <c r="N19" s="56">
        <v>10000</v>
      </c>
      <c r="O19" s="56">
        <v>6000</v>
      </c>
      <c r="P19" s="57"/>
      <c r="Q19" s="57"/>
      <c r="R19" s="57"/>
      <c r="S19" s="58"/>
      <c r="T19" s="58"/>
      <c r="U19" s="58"/>
      <c r="V19" s="58">
        <f t="shared" ref="V19:AB19" si="10">I14*0.6</f>
        <v>7710</v>
      </c>
      <c r="W19" s="58">
        <f t="shared" si="10"/>
        <v>8550</v>
      </c>
      <c r="X19" s="58">
        <f t="shared" si="10"/>
        <v>8550</v>
      </c>
      <c r="Y19" s="58">
        <f t="shared" si="10"/>
        <v>9150</v>
      </c>
      <c r="Z19" s="58">
        <f t="shared" si="10"/>
        <v>9690</v>
      </c>
      <c r="AA19" s="58">
        <f t="shared" si="10"/>
        <v>9690</v>
      </c>
      <c r="AB19" s="58">
        <f t="shared" si="10"/>
        <v>9690</v>
      </c>
      <c r="AC19" s="29"/>
      <c r="AD19" s="59">
        <v>0.03</v>
      </c>
    </row>
    <row r="20" spans="1:32" x14ac:dyDescent="0.35">
      <c r="D20" s="1">
        <v>6682300</v>
      </c>
      <c r="E20" s="1">
        <v>9168000</v>
      </c>
      <c r="F20" s="1">
        <v>10384800</v>
      </c>
      <c r="G20" s="1">
        <v>8376000</v>
      </c>
      <c r="H20" s="1">
        <v>9617600</v>
      </c>
      <c r="I20" s="1">
        <v>12635200</v>
      </c>
      <c r="J20" s="1">
        <v>7259200</v>
      </c>
      <c r="K20" s="1">
        <v>8934400</v>
      </c>
      <c r="L20" s="1">
        <v>9726400</v>
      </c>
      <c r="M20" s="1">
        <v>9309600</v>
      </c>
      <c r="N20" s="1">
        <v>5967200</v>
      </c>
      <c r="O20" s="1">
        <v>4292000</v>
      </c>
      <c r="P20" s="17">
        <f>SUM(D20:O20)</f>
        <v>102352700</v>
      </c>
      <c r="Q20" s="59">
        <f>Q15/Q14</f>
        <v>0.75213125301592409</v>
      </c>
    </row>
    <row r="21" spans="1:32" x14ac:dyDescent="0.35"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9"/>
      <c r="Q21" s="59">
        <f>Q16/Q14</f>
        <v>0.25735885475309633</v>
      </c>
      <c r="W21" s="49"/>
      <c r="X21" s="49"/>
      <c r="Y21" s="49"/>
      <c r="Z21" s="47"/>
      <c r="AA21" s="58"/>
      <c r="AB21" s="58"/>
      <c r="AC21" s="58"/>
      <c r="AD21" s="58"/>
      <c r="AE21" s="47"/>
      <c r="AF21" s="47"/>
    </row>
    <row r="22" spans="1:32" x14ac:dyDescent="0.35">
      <c r="B22" s="60">
        <f>2100000</f>
        <v>2100000</v>
      </c>
      <c r="C22" s="17">
        <f>B22/1000</f>
        <v>2100</v>
      </c>
      <c r="W22" s="49"/>
      <c r="X22" s="49"/>
      <c r="Y22" s="49"/>
      <c r="Z22" s="47"/>
      <c r="AA22" s="58"/>
      <c r="AB22" s="58"/>
      <c r="AC22" s="58"/>
      <c r="AD22" s="58"/>
    </row>
    <row r="23" spans="1:32" x14ac:dyDescent="0.35">
      <c r="B23" s="60">
        <v>1000000</v>
      </c>
      <c r="C23" s="17">
        <f t="shared" ref="C23:C30" si="11">B23/1000</f>
        <v>1000</v>
      </c>
      <c r="D23" s="61"/>
      <c r="E23" s="62"/>
      <c r="F23" s="62"/>
      <c r="G23" s="62"/>
      <c r="H23" s="62"/>
      <c r="V23" s="48"/>
      <c r="W23" s="49"/>
      <c r="X23" s="49"/>
      <c r="Y23" s="49"/>
      <c r="Z23" s="47"/>
      <c r="AA23" s="58"/>
      <c r="AB23" s="58"/>
      <c r="AC23" s="58"/>
      <c r="AD23" s="58"/>
    </row>
    <row r="24" spans="1:32" x14ac:dyDescent="0.35">
      <c r="B24" s="60">
        <v>600000</v>
      </c>
      <c r="C24" s="17">
        <f t="shared" si="11"/>
        <v>600</v>
      </c>
      <c r="D24" s="61"/>
      <c r="E24" s="62"/>
      <c r="F24" s="62"/>
      <c r="G24" s="62"/>
      <c r="H24" s="62"/>
      <c r="W24" s="49"/>
      <c r="X24" s="49"/>
      <c r="Y24" s="49"/>
      <c r="AA24" s="58"/>
      <c r="AB24" s="58"/>
      <c r="AC24" s="58"/>
      <c r="AD24" s="58"/>
    </row>
    <row r="25" spans="1:32" x14ac:dyDescent="0.35">
      <c r="B25" s="60">
        <v>1500000</v>
      </c>
      <c r="C25" s="17">
        <f t="shared" si="11"/>
        <v>1500</v>
      </c>
      <c r="D25" s="61"/>
      <c r="E25" s="62"/>
      <c r="F25" s="62"/>
      <c r="G25" s="62"/>
      <c r="H25" s="62"/>
      <c r="K25" s="1"/>
      <c r="W25" s="49"/>
      <c r="X25" s="49"/>
      <c r="Y25" s="49"/>
      <c r="AA25" s="58"/>
      <c r="AB25" s="58"/>
      <c r="AC25" s="58"/>
      <c r="AD25" s="58"/>
    </row>
    <row r="26" spans="1:32" x14ac:dyDescent="0.35">
      <c r="B26" s="60">
        <v>600000</v>
      </c>
      <c r="C26" s="17">
        <f t="shared" si="11"/>
        <v>600</v>
      </c>
      <c r="D26" s="61"/>
      <c r="E26" s="62"/>
      <c r="F26" s="62"/>
      <c r="G26" s="62"/>
      <c r="H26" s="62"/>
      <c r="K26" s="1"/>
      <c r="R26">
        <v>6900</v>
      </c>
      <c r="T26">
        <v>6900</v>
      </c>
      <c r="U26">
        <v>7140</v>
      </c>
      <c r="V26">
        <v>7860</v>
      </c>
      <c r="W26" s="49">
        <v>7860</v>
      </c>
      <c r="X26" s="49"/>
      <c r="Y26" s="49"/>
      <c r="AA26" s="58"/>
      <c r="AB26" s="58"/>
      <c r="AC26" s="58"/>
      <c r="AD26" s="58"/>
    </row>
    <row r="27" spans="1:32" x14ac:dyDescent="0.35">
      <c r="B27" s="60">
        <v>600000</v>
      </c>
      <c r="C27" s="17">
        <f t="shared" si="11"/>
        <v>600</v>
      </c>
      <c r="D27" s="61"/>
      <c r="E27" s="62"/>
      <c r="F27" s="62"/>
      <c r="G27" s="62"/>
      <c r="H27" s="62"/>
      <c r="K27" s="1"/>
      <c r="T27">
        <v>161649.97</v>
      </c>
      <c r="W27" s="49"/>
      <c r="X27" s="49"/>
      <c r="Y27" s="49"/>
      <c r="AA27" s="58"/>
      <c r="AB27" s="58"/>
      <c r="AC27" s="58"/>
      <c r="AD27" s="58"/>
    </row>
    <row r="28" spans="1:32" x14ac:dyDescent="0.35">
      <c r="B28" s="60">
        <v>600000</v>
      </c>
      <c r="C28" s="17">
        <f t="shared" si="11"/>
        <v>600</v>
      </c>
      <c r="D28" s="61"/>
      <c r="E28" s="62"/>
      <c r="F28" s="62"/>
      <c r="G28" s="62"/>
      <c r="H28" s="62"/>
      <c r="K28" s="1"/>
      <c r="W28" s="49"/>
      <c r="X28" s="49"/>
      <c r="Y28" s="49"/>
      <c r="AA28" s="47"/>
      <c r="AB28" s="47"/>
      <c r="AC28" s="47"/>
      <c r="AD28" s="47"/>
    </row>
    <row r="29" spans="1:32" x14ac:dyDescent="0.35">
      <c r="B29" s="60">
        <v>0</v>
      </c>
      <c r="C29" s="17">
        <f t="shared" si="11"/>
        <v>0</v>
      </c>
      <c r="D29" s="61"/>
      <c r="E29" s="62"/>
      <c r="F29" s="62"/>
      <c r="G29" s="62"/>
      <c r="H29" s="62"/>
      <c r="K29" s="1"/>
      <c r="W29" s="49"/>
      <c r="X29" s="49"/>
      <c r="Y29" s="49"/>
      <c r="AA29" s="47"/>
      <c r="AB29" s="47"/>
      <c r="AC29" s="47"/>
      <c r="AD29" s="47"/>
    </row>
    <row r="30" spans="1:32" x14ac:dyDescent="0.35">
      <c r="B30" s="60">
        <v>0</v>
      </c>
      <c r="C30" s="17">
        <f t="shared" si="11"/>
        <v>0</v>
      </c>
      <c r="D30" s="61"/>
      <c r="E30" s="62"/>
      <c r="F30" s="62"/>
      <c r="G30" s="62"/>
      <c r="H30" s="62"/>
      <c r="K30" s="1"/>
      <c r="AA30" s="47"/>
      <c r="AB30" s="47"/>
      <c r="AC30" s="47"/>
      <c r="AD30" s="47"/>
    </row>
    <row r="31" spans="1:32" x14ac:dyDescent="0.35">
      <c r="D31" s="61"/>
      <c r="E31" s="62"/>
      <c r="F31" s="62"/>
      <c r="G31" s="62"/>
      <c r="H31" s="62"/>
      <c r="K31" s="1"/>
      <c r="AA31" s="47"/>
      <c r="AB31" s="47"/>
      <c r="AC31" s="47"/>
      <c r="AD31" s="47"/>
    </row>
    <row r="32" spans="1:32" x14ac:dyDescent="0.35">
      <c r="D32" s="61"/>
      <c r="E32" s="62"/>
      <c r="F32" s="62"/>
      <c r="G32" s="62"/>
      <c r="H32" s="62"/>
      <c r="K32" s="1"/>
      <c r="O32" t="s">
        <v>95</v>
      </c>
    </row>
    <row r="33" spans="1:11" x14ac:dyDescent="0.35">
      <c r="B33" t="s">
        <v>96</v>
      </c>
      <c r="D33" s="61"/>
      <c r="E33" s="62"/>
      <c r="F33" s="62"/>
      <c r="G33" s="62"/>
      <c r="H33" s="62"/>
      <c r="K33" s="1"/>
    </row>
    <row r="34" spans="1:11" x14ac:dyDescent="0.35">
      <c r="A34" t="s">
        <v>97</v>
      </c>
      <c r="B34" s="63">
        <v>0.15</v>
      </c>
      <c r="C34" s="49">
        <v>2000000</v>
      </c>
      <c r="K34" s="1"/>
    </row>
    <row r="35" spans="1:11" x14ac:dyDescent="0.35">
      <c r="A35" t="s">
        <v>98</v>
      </c>
      <c r="C35" s="49">
        <v>2000000</v>
      </c>
      <c r="K35" s="1"/>
    </row>
    <row r="36" spans="1:11" x14ac:dyDescent="0.35">
      <c r="A36" t="s">
        <v>99</v>
      </c>
      <c r="C36" s="49">
        <v>1000000</v>
      </c>
      <c r="K36" s="1"/>
    </row>
    <row r="37" spans="1:11" x14ac:dyDescent="0.35">
      <c r="A37" t="s">
        <v>100</v>
      </c>
      <c r="C37" s="49">
        <v>600000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 venda x receita 2026</vt:lpstr>
      <vt:lpstr>Sheet1</vt:lpstr>
      <vt:lpstr>Venda x Mês 2026 KAM - Caio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Vegners [StartSe]</dc:creator>
  <cp:lastModifiedBy>Tauany Tavares [StartSe]</cp:lastModifiedBy>
  <dcterms:created xsi:type="dcterms:W3CDTF">2026-01-12T18:06:27Z</dcterms:created>
  <dcterms:modified xsi:type="dcterms:W3CDTF">2026-02-23T14:39:43Z</dcterms:modified>
</cp:coreProperties>
</file>
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tartSe\Downloads\"/>
    </mc:Choice>
  </mc:AlternateContent>
  <xr:revisionPtr revIDLastSave="0" documentId="8_{CF0662C0-3D81-4BB7-8A4F-8D095D8F11E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Sheet1!$A$1:$AZ$1133</definedName>
  </definedNames>
  <calcPr calcId="191029" iterate="1"/>
  <pivotCaches>
    <pivotCache cacheId="5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2" i="1"/>
</calcChain>
</file>

<file path=xl/sharedStrings.xml><?xml version="1.0" encoding="utf-8"?>
<sst xmlns="http://schemas.openxmlformats.org/spreadsheetml/2006/main" count="34366" uniqueCount="9870">
  <si>
    <t>Guid</t>
  </si>
  <si>
    <t>Fatura</t>
  </si>
  <si>
    <t>Data</t>
  </si>
  <si>
    <t>Boleto_vencimento</t>
  </si>
  <si>
    <t>Data_pagamento</t>
  </si>
  <si>
    <t>Status</t>
  </si>
  <si>
    <t>Quantidade</t>
  </si>
  <si>
    <t>Parcelas</t>
  </si>
  <si>
    <t>Total</t>
  </si>
  <si>
    <t>Gateway</t>
  </si>
  <si>
    <t>Valor_cartao</t>
  </si>
  <si>
    <t>Tid</t>
  </si>
  <si>
    <t>Meio</t>
  </si>
  <si>
    <t>Bandeira</t>
  </si>
  <si>
    <t>Produto</t>
  </si>
  <si>
    <t>Identificador</t>
  </si>
  <si>
    <t>Nome_cliente</t>
  </si>
  <si>
    <t>Cpf</t>
  </si>
  <si>
    <t>Cnpj</t>
  </si>
  <si>
    <t>Empresa</t>
  </si>
  <si>
    <t>Email</t>
  </si>
  <si>
    <t>Telefone</t>
  </si>
  <si>
    <t>Telefone_comercial</t>
  </si>
  <si>
    <t>Cep</t>
  </si>
  <si>
    <t>Logradouro</t>
  </si>
  <si>
    <t>Numero</t>
  </si>
  <si>
    <t>Complemento</t>
  </si>
  <si>
    <t>Bairro</t>
  </si>
  <si>
    <t>Cidade</t>
  </si>
  <si>
    <t>Estado</t>
  </si>
  <si>
    <t>Tipo_imposto</t>
  </si>
  <si>
    <t>Anotacoes</t>
  </si>
  <si>
    <t>Desconto_descricao</t>
  </si>
  <si>
    <t>Url_invoice</t>
  </si>
  <si>
    <t>Url_contrato</t>
  </si>
  <si>
    <t>Hash_compra</t>
  </si>
  <si>
    <t>Cupom</t>
  </si>
  <si>
    <t>Venda_afiliado</t>
  </si>
  <si>
    <t>Afiliado_desconto</t>
  </si>
  <si>
    <t>Data_entrega</t>
  </si>
  <si>
    <t>Reembolso_data</t>
  </si>
  <si>
    <t>Reembolso_msg</t>
  </si>
  <si>
    <t>Url_fatura</t>
  </si>
  <si>
    <t>Verticais</t>
  </si>
  <si>
    <t>Canal</t>
  </si>
  <si>
    <t>Data_primeira_compra_cnpj_cpf</t>
  </si>
  <si>
    <t>Refid</t>
  </si>
  <si>
    <t>Status_a_receber</t>
  </si>
  <si>
    <t>Usuario_cancelamento</t>
  </si>
  <si>
    <t>Status_financeiro</t>
  </si>
  <si>
    <t>COM6A05B67435CB2</t>
  </si>
  <si>
    <t>14/05/2026 08:48</t>
  </si>
  <si>
    <t>14/05/2026</t>
  </si>
  <si>
    <t>Aprovado</t>
  </si>
  <si>
    <t>1</t>
  </si>
  <si>
    <t/>
  </si>
  <si>
    <t>Cortesia</t>
  </si>
  <si>
    <t>cortesia</t>
  </si>
  <si>
    <t>AI Festival 2026 - Ingresso Interactive</t>
  </si>
  <si>
    <t>evento-ia-ed1a26_interactive</t>
  </si>
  <si>
    <t>WESLEY CARIOLANO</t>
  </si>
  <si>
    <t>07124289505</t>
  </si>
  <si>
    <t>WJCARIOLANO@GMAIL.COM</t>
  </si>
  <si>
    <t>5571982746897</t>
  </si>
  <si>
    <t>04578-910</t>
  </si>
  <si>
    <t>Avenida das Nações Unidas</t>
  </si>
  <si>
    <t>12901</t>
  </si>
  <si>
    <t>Brooklin Paulista</t>
  </si>
  <si>
    <t>São Paulo</t>
  </si>
  <si>
    <t>SP</t>
  </si>
  <si>
    <t>Filial(São Paulo)</t>
  </si>
  <si>
    <t>a873a778ff6bd7ca7f33396f1eb57fd8</t>
  </si>
  <si>
    <t>Nao</t>
  </si>
  <si>
    <t>Alvaro Carnio</t>
  </si>
  <si>
    <t>13/05/2026</t>
  </si>
  <si>
    <t>KAM</t>
  </si>
  <si>
    <t>ID-07124289505</t>
  </si>
  <si>
    <t>Pago</t>
  </si>
  <si>
    <t>ORDWGBI2G6F3BPE4</t>
  </si>
  <si>
    <t>13/05/2026 18:33</t>
  </si>
  <si>
    <t>Braintree</t>
  </si>
  <si>
    <t>28987210985IGDCI6GAC</t>
  </si>
  <si>
    <t>Crédito Parcelado</t>
  </si>
  <si>
    <t>visa</t>
  </si>
  <si>
    <t>Imersão China 2026 | Clube Nord</t>
  </si>
  <si>
    <t>corporate-china-xperience-ed7a26</t>
  </si>
  <si>
    <t>Enorê Antonio Bondan Filho</t>
  </si>
  <si>
    <t>97019232000</t>
  </si>
  <si>
    <t>enorebondan@gmail.com</t>
  </si>
  <si>
    <t>51981113388</t>
  </si>
  <si>
    <t>93340140</t>
  </si>
  <si>
    <t>Rua Inconfidentes</t>
  </si>
  <si>
    <t>120</t>
  </si>
  <si>
    <t>Casa 16</t>
  </si>
  <si>
    <t>Primavera</t>
  </si>
  <si>
    <t>Novo Hamburgo</t>
  </si>
  <si>
    <t>RS</t>
  </si>
  <si>
    <t>Turismo - 50%</t>
  </si>
  <si>
    <t>08f61af7abe452fccedb7731a7c2f842</t>
  </si>
  <si>
    <t>OFFCLUBENORD</t>
  </si>
  <si>
    <t>Leticia Lenox Lage Paulino</t>
  </si>
  <si>
    <t>23/11/2026</t>
  </si>
  <si>
    <t>China</t>
  </si>
  <si>
    <t>ID-97019232000</t>
  </si>
  <si>
    <t>COM6A04E980035D0</t>
  </si>
  <si>
    <t>13/05/2026 18:13</t>
  </si>
  <si>
    <t>SLD - Os frameworks da nova economia</t>
  </si>
  <si>
    <t>comunidade-ed2a26</t>
  </si>
  <si>
    <t>Fabiana Rego</t>
  </si>
  <si>
    <t>42825832820</t>
  </si>
  <si>
    <t>fabiana.lemos@fiap.com.br</t>
  </si>
  <si>
    <t>5511945056812</t>
  </si>
  <si>
    <t>ab2ba1de24e8ed63dd088b898a73689b</t>
  </si>
  <si>
    <t>15/05/2026</t>
  </si>
  <si>
    <t>Brasil</t>
  </si>
  <si>
    <t>ID-42825832820</t>
  </si>
  <si>
    <t>??</t>
  </si>
  <si>
    <t>COM6A04E8FBCA421</t>
  </si>
  <si>
    <t>13/05/2026 18:11</t>
  </si>
  <si>
    <t>Gustavo Pinhati Torrente</t>
  </si>
  <si>
    <t>41852638800</t>
  </si>
  <si>
    <t>gustavo.torrente@fiap.com.br</t>
  </si>
  <si>
    <t>5511954001992</t>
  </si>
  <si>
    <t>75a497e79d2e08e8f3e956859a5914d8</t>
  </si>
  <si>
    <t>ID-41852638800</t>
  </si>
  <si>
    <t>COM6A04E8A356637</t>
  </si>
  <si>
    <t>13/05/2026 18:09</t>
  </si>
  <si>
    <t>Camila Farinho</t>
  </si>
  <si>
    <t>36928633816</t>
  </si>
  <si>
    <t>camila.farinho@alura.com.br</t>
  </si>
  <si>
    <t>5511998884044</t>
  </si>
  <si>
    <t>4dc5af68c7035567675d93bd3242858c</t>
  </si>
  <si>
    <t>ID-36928633816</t>
  </si>
  <si>
    <t>COM6A04E806CCA5C</t>
  </si>
  <si>
    <t>13/05/2026 18:07</t>
  </si>
  <si>
    <t>Brenda Goedert</t>
  </si>
  <si>
    <t>07533177967</t>
  </si>
  <si>
    <t>brenda.goedert@alura.com.br</t>
  </si>
  <si>
    <t>5585981550666</t>
  </si>
  <si>
    <t>2bd118478823a09216f75e8a827ac6ae</t>
  </si>
  <si>
    <t>ID-07533177967</t>
  </si>
  <si>
    <t>COM6A04E6E95291F</t>
  </si>
  <si>
    <t>13/05/2026 18:02</t>
  </si>
  <si>
    <t>Athena Bastos</t>
  </si>
  <si>
    <t>08824933963</t>
  </si>
  <si>
    <t>athena.bastos@alura.com.br</t>
  </si>
  <si>
    <t>5548999601124</t>
  </si>
  <si>
    <t>cb8b0f284ffe8fec4c22a1729b6ac408</t>
  </si>
  <si>
    <t>01/04/2022</t>
  </si>
  <si>
    <t>ID-08824933963</t>
  </si>
  <si>
    <t>COM6A04E61D7C4EF</t>
  </si>
  <si>
    <t>13/05/2026 17:59</t>
  </si>
  <si>
    <t>Leonardo Coelho Marques De Araujo</t>
  </si>
  <si>
    <t>07538097708</t>
  </si>
  <si>
    <t>leonardo.coelho@alura.com.br</t>
  </si>
  <si>
    <t>5521983202600</t>
  </si>
  <si>
    <t>552545e957051689916d16e0b546294b</t>
  </si>
  <si>
    <t>ID-07538097708</t>
  </si>
  <si>
    <t>COM6A04E5A96EF02</t>
  </si>
  <si>
    <t>13/05/2026 17:57</t>
  </si>
  <si>
    <t>Ana Pestana</t>
  </si>
  <si>
    <t>37193240870</t>
  </si>
  <si>
    <t>ana.pestana@alura.com.br</t>
  </si>
  <si>
    <t>5511965809031</t>
  </si>
  <si>
    <t>8d45a0ee9e101b59404cbeb346d007a6</t>
  </si>
  <si>
    <t>ID-37193240870</t>
  </si>
  <si>
    <t>COM6A04E56251A85</t>
  </si>
  <si>
    <t>13/05/2026 17:56</t>
  </si>
  <si>
    <t>Luiz Bassi</t>
  </si>
  <si>
    <t>34388916897</t>
  </si>
  <si>
    <t>luiz.bassi@alura.com.br</t>
  </si>
  <si>
    <t>5511993888383</t>
  </si>
  <si>
    <t>035926e8091a288fa9a8852e48e376a9</t>
  </si>
  <si>
    <t>ID-34388916897</t>
  </si>
  <si>
    <t>COM6A04D6777915F</t>
  </si>
  <si>
    <t>13/05/2026 16:52</t>
  </si>
  <si>
    <t>Camila Tereza do Nascimento</t>
  </si>
  <si>
    <t>06118711658</t>
  </si>
  <si>
    <t>camila.nascimento@cateno.com.br</t>
  </si>
  <si>
    <t>553496781231</t>
  </si>
  <si>
    <t>7175c796d2b631064897835534e84673</t>
  </si>
  <si>
    <t>09/01/2023</t>
  </si>
  <si>
    <t>ID-06118711658</t>
  </si>
  <si>
    <t>COM6A04D629ACE86</t>
  </si>
  <si>
    <t>13/05/2026 16:51</t>
  </si>
  <si>
    <t>Luciano Pasqualin</t>
  </si>
  <si>
    <t>60706066049</t>
  </si>
  <si>
    <t>lucianopasqualin@ioasys.com.br</t>
  </si>
  <si>
    <t>5511945215445</t>
  </si>
  <si>
    <t>b1f032dd6e5e5c7ccb8f9d5176b6bd7a</t>
  </si>
  <si>
    <t>ID-60706066049</t>
  </si>
  <si>
    <t>COM6A04D5CF58C4A</t>
  </si>
  <si>
    <t>13/05/2026 16:49</t>
  </si>
  <si>
    <t>Mateus Rodrigues</t>
  </si>
  <si>
    <t>42116645816</t>
  </si>
  <si>
    <t>mateusrodrigues@ioasys.com.br</t>
  </si>
  <si>
    <t>5511993692359</t>
  </si>
  <si>
    <t>72faec22376060e648cf5e479179e3f8</t>
  </si>
  <si>
    <t>ID-42116645816</t>
  </si>
  <si>
    <t>COM6A04D58A4E5DA</t>
  </si>
  <si>
    <t>13/05/2026 16:48</t>
  </si>
  <si>
    <t>Roberto de Azevedo</t>
  </si>
  <si>
    <t>73945668700</t>
  </si>
  <si>
    <t>robertodecarvalho@ioasys.com.br</t>
  </si>
  <si>
    <t>5511998988702</t>
  </si>
  <si>
    <t>Avenida das Nações Unidas, 12901</t>
  </si>
  <si>
    <t>dc3f3f8a200fc5c3f72e737ee6c1eda7</t>
  </si>
  <si>
    <t>ID-73945668700</t>
  </si>
  <si>
    <t>COM6A04D5461F3B2</t>
  </si>
  <si>
    <t>13/05/2026 16:47</t>
  </si>
  <si>
    <t>Wanderly Temoteo Limeira</t>
  </si>
  <si>
    <t>27073582820</t>
  </si>
  <si>
    <t>wanderly.limeira@hvar.com.br</t>
  </si>
  <si>
    <t>5511997367149</t>
  </si>
  <si>
    <t>15823b519778efca6e45c2a30bd5114c</t>
  </si>
  <si>
    <t>ID-27073582820</t>
  </si>
  <si>
    <t>COM6A04D115B2A3B</t>
  </si>
  <si>
    <t>13/05/2026 16:29</t>
  </si>
  <si>
    <t>Andrea Silvia Przewodowski</t>
  </si>
  <si>
    <t>26053583804</t>
  </si>
  <si>
    <t>andrea.silvia@onr.org.br</t>
  </si>
  <si>
    <t>5511997873544</t>
  </si>
  <si>
    <t>c230dcf2cd28ac9c7c5f31d30cbd8c26</t>
  </si>
  <si>
    <t>27/03/2026</t>
  </si>
  <si>
    <t>ID-26053583804</t>
  </si>
  <si>
    <t>COM6A04CC7F43616</t>
  </si>
  <si>
    <t>13/05/2026 16:09</t>
  </si>
  <si>
    <t>Rafael Victor de Melo Donadon</t>
  </si>
  <si>
    <t>02701125022</t>
  </si>
  <si>
    <t>Rafaelvm@sebraesp.com.br</t>
  </si>
  <si>
    <t>5511987346161</t>
  </si>
  <si>
    <t>6ab2e4d96a5bd48db38d3828ca142b5d</t>
  </si>
  <si>
    <t>CAIO BATISTA PAIXAO</t>
  </si>
  <si>
    <t>ID-02701125022</t>
  </si>
  <si>
    <t>COM6A04CB8874DCA</t>
  </si>
  <si>
    <t>13/05/2026 16:05</t>
  </si>
  <si>
    <t>Felipe Ferreira de Barros</t>
  </si>
  <si>
    <t>11746444606</t>
  </si>
  <si>
    <t>Felipefb@sebraesp.com.br</t>
  </si>
  <si>
    <t>5532991267754</t>
  </si>
  <si>
    <t>5b64c4ef34d1bbc21e7079dd88abaac4</t>
  </si>
  <si>
    <t>ID-11746444606</t>
  </si>
  <si>
    <t>COM6A04CA25957FD</t>
  </si>
  <si>
    <t>13/05/2026 15:59</t>
  </si>
  <si>
    <t>Andrezza Luiza Ramalho Silva</t>
  </si>
  <si>
    <t>06062227403</t>
  </si>
  <si>
    <t>andrezza.ramalho@mv.com.br</t>
  </si>
  <si>
    <t>5581993707700</t>
  </si>
  <si>
    <t>fdf1c2199a73c5f19399b2986e2fab1d</t>
  </si>
  <si>
    <t>JULIA CHAGAS DINIZ CAMARGO</t>
  </si>
  <si>
    <t>ID-06062227403</t>
  </si>
  <si>
    <t>COM6A04C9297F906</t>
  </si>
  <si>
    <t>13/05/2026 15:55</t>
  </si>
  <si>
    <t>Ricardo Pinho</t>
  </si>
  <si>
    <t>31980831840</t>
  </si>
  <si>
    <t>Rspinho@arezzo.com.br</t>
  </si>
  <si>
    <t>5551981478550</t>
  </si>
  <si>
    <t>478ae5cf052127092448b2f370694d85</t>
  </si>
  <si>
    <t>ID-31980831840</t>
  </si>
  <si>
    <t>COM6A04C80E22635</t>
  </si>
  <si>
    <t>13/05/2026 15:50</t>
  </si>
  <si>
    <t>Esther Mashki</t>
  </si>
  <si>
    <t>34534054807</t>
  </si>
  <si>
    <t>esther.mashki@mv.com.br</t>
  </si>
  <si>
    <t>5511967423594</t>
  </si>
  <si>
    <t>ac856eb37bb200fcb0feeae85781d402</t>
  </si>
  <si>
    <t>ID-34534054807</t>
  </si>
  <si>
    <t>COM6A04C76D36670</t>
  </si>
  <si>
    <t>13/05/2026 15:48</t>
  </si>
  <si>
    <t>Carolline Andresi Bezerra</t>
  </si>
  <si>
    <t>40326843833</t>
  </si>
  <si>
    <t>carolline.andresi@unimed.coop.br</t>
  </si>
  <si>
    <t>5511971415149</t>
  </si>
  <si>
    <t>cad808c59003d4e4526a1c56e427003a</t>
  </si>
  <si>
    <t>29/07/2022</t>
  </si>
  <si>
    <t>ID-40326843833</t>
  </si>
  <si>
    <t>COM6A04C72F513FC</t>
  </si>
  <si>
    <t>13/05/2026 15:47</t>
  </si>
  <si>
    <t>Caroline Toshie Hara</t>
  </si>
  <si>
    <t>29880682831</t>
  </si>
  <si>
    <t>Caroline_Hara@honda.com.br</t>
  </si>
  <si>
    <t>5511999619592</t>
  </si>
  <si>
    <t>c40721e904f78ef8bf317a6e666f39ef</t>
  </si>
  <si>
    <t>GUSTAVO MARQUES DE ALMEIDA</t>
  </si>
  <si>
    <t>14/09/2018</t>
  </si>
  <si>
    <t>ID-29880682831</t>
  </si>
  <si>
    <t>COM6A04C64ACD687</t>
  </si>
  <si>
    <t>13/05/2026 15:43</t>
  </si>
  <si>
    <t>Ricardo Guther</t>
  </si>
  <si>
    <t>36566826823</t>
  </si>
  <si>
    <t>ricardo.guther@br.mcd.com</t>
  </si>
  <si>
    <t>5511997913020</t>
  </si>
  <si>
    <t>6d029f3756c287c08a6e272b6264cbc8</t>
  </si>
  <si>
    <t>ID-36566826823</t>
  </si>
  <si>
    <t>COM6A04C61C68B30</t>
  </si>
  <si>
    <t>13/05/2026 15:42</t>
  </si>
  <si>
    <t>Igor Gianezi da Cunha</t>
  </si>
  <si>
    <t>29139935833</t>
  </si>
  <si>
    <t>igor.gianezi@br.mcd.com</t>
  </si>
  <si>
    <t>5511941680056</t>
  </si>
  <si>
    <t>9403e3085ab7b2f02b0ea21e934fbe60</t>
  </si>
  <si>
    <t>ID-29139935833</t>
  </si>
  <si>
    <t>COM6A04C58FDB698</t>
  </si>
  <si>
    <t>13/05/2026 15:40</t>
  </si>
  <si>
    <t>Mauricio Jacob Cerri</t>
  </si>
  <si>
    <t>27024452846</t>
  </si>
  <si>
    <t>mauricio.cerri@unimed.coop.br</t>
  </si>
  <si>
    <t>5511988798168</t>
  </si>
  <si>
    <t>37dbcd669604bb903ea765dd71a70ff6</t>
  </si>
  <si>
    <t>25/01/2021</t>
  </si>
  <si>
    <t>ID-27024452846</t>
  </si>
  <si>
    <t>COM6A04C4B6A6174</t>
  </si>
  <si>
    <t>13/05/2026 15:36</t>
  </si>
  <si>
    <t>Denis Lopardo</t>
  </si>
  <si>
    <t>25741952801</t>
  </si>
  <si>
    <t>denis.lopardo@wetakeops.com</t>
  </si>
  <si>
    <t>5511999776543</t>
  </si>
  <si>
    <t>887ebba4703796792561d6271bd66679</t>
  </si>
  <si>
    <t>23/02/2024</t>
  </si>
  <si>
    <t>ID-25741952801</t>
  </si>
  <si>
    <t>COM6A04C3DB32C9F</t>
  </si>
  <si>
    <t>13/05/2026 15:32</t>
  </si>
  <si>
    <t>Alisson Juliano Valério</t>
  </si>
  <si>
    <t>27109672867</t>
  </si>
  <si>
    <t>Alisson.valerio@unimed.coop.br</t>
  </si>
  <si>
    <t>5511916167171</t>
  </si>
  <si>
    <t>e7f694811f448a262fd07f1874c256b6</t>
  </si>
  <si>
    <t>25/02/2021</t>
  </si>
  <si>
    <t>ID-27109672867</t>
  </si>
  <si>
    <t>COM6A04C333CAD1E</t>
  </si>
  <si>
    <t>13/05/2026 15:30</t>
  </si>
  <si>
    <t>Ricardo Gonçalves Penna</t>
  </si>
  <si>
    <t>27651254813</t>
  </si>
  <si>
    <t>Ricardopenna@didiglobal.com</t>
  </si>
  <si>
    <t>5511991897647</t>
  </si>
  <si>
    <t>f1e137d54126f3a07ab062409110c084</t>
  </si>
  <si>
    <t>ID-27651254813</t>
  </si>
  <si>
    <t>COM6A04C23FA751D</t>
  </si>
  <si>
    <t>13/05/2026 15:26</t>
  </si>
  <si>
    <t>Bruno Bullio</t>
  </si>
  <si>
    <t>34614067832</t>
  </si>
  <si>
    <t>bruno.bullio@lojasrenner.com.br</t>
  </si>
  <si>
    <t>5511950726629</t>
  </si>
  <si>
    <t>725b47ab90ecd6a596221ec1745166b8</t>
  </si>
  <si>
    <t>LIGIA TORCATTO FRANZINI</t>
  </si>
  <si>
    <t>ID-34614067832</t>
  </si>
  <si>
    <t>COM6A04BDC6DF159</t>
  </si>
  <si>
    <t>13/05/2026 15:07</t>
  </si>
  <si>
    <t>Luciana Pinto Coelho Alde</t>
  </si>
  <si>
    <t>26447776822</t>
  </si>
  <si>
    <t>luciana.alde@grupovamos.com.br</t>
  </si>
  <si>
    <t>5511982582121</t>
  </si>
  <si>
    <t>b353d7b10e1296e922631a783b4f54bf</t>
  </si>
  <si>
    <t>30/10/2019</t>
  </si>
  <si>
    <t>ID-26447776822</t>
  </si>
  <si>
    <t>COM6A04BD5893A33</t>
  </si>
  <si>
    <t>13/05/2026 15:05</t>
  </si>
  <si>
    <t>Paola Rodrigues Doliveira</t>
  </si>
  <si>
    <t>05339772900</t>
  </si>
  <si>
    <t>paoladoliveira@kpmg.com.br</t>
  </si>
  <si>
    <t>5511976807978</t>
  </si>
  <si>
    <t>77cd5fab4a0f838bbb35249a17709634</t>
  </si>
  <si>
    <t>29/08/2023</t>
  </si>
  <si>
    <t>ID-05339772900</t>
  </si>
  <si>
    <t>COM6A04BD11892B8</t>
  </si>
  <si>
    <t>13/05/2026 15:04</t>
  </si>
  <si>
    <t>MARINA NETTO NEIA SOARES</t>
  </si>
  <si>
    <t>34468464844</t>
  </si>
  <si>
    <t>marina.soares@wework.com</t>
  </si>
  <si>
    <t>5511999788555</t>
  </si>
  <si>
    <t>14d8e0ed7016371cec90b104851aa78c</t>
  </si>
  <si>
    <t>ID-34468464844</t>
  </si>
  <si>
    <t>COM6A04BBDDA8AD8</t>
  </si>
  <si>
    <t>13/05/2026 14:58</t>
  </si>
  <si>
    <t>Estefania Correa Barbosa</t>
  </si>
  <si>
    <t>22819172822</t>
  </si>
  <si>
    <t>estefania.correa@hotmail.com</t>
  </si>
  <si>
    <t>5511987676545</t>
  </si>
  <si>
    <t>87091c84c15849c45001ca2737ce928b</t>
  </si>
  <si>
    <t>ID-22819172822</t>
  </si>
  <si>
    <t>COM6A04BB8A99C26</t>
  </si>
  <si>
    <t>13/05/2026 14:57</t>
  </si>
  <si>
    <t>Andre Conejo</t>
  </si>
  <si>
    <t>34684802884</t>
  </si>
  <si>
    <t>andre.conejo@usp.br</t>
  </si>
  <si>
    <t>5511987654329</t>
  </si>
  <si>
    <t>a282cdb7a70477abb96af44a6dda12b2</t>
  </si>
  <si>
    <t>ID-34684802884</t>
  </si>
  <si>
    <t>COM6A04B980E8E18</t>
  </si>
  <si>
    <t>13/05/2026 14:48</t>
  </si>
  <si>
    <t>Caio Henrique Pereira</t>
  </si>
  <si>
    <t>42339237840</t>
  </si>
  <si>
    <t>caio.pereira@kingspanisoeste.com.br</t>
  </si>
  <si>
    <t>5511950291482</t>
  </si>
  <si>
    <t>005b4e2c217dcdf6a486b7f38a4fe6d0</t>
  </si>
  <si>
    <t>ID-42339237840</t>
  </si>
  <si>
    <t>COM6A04B93AA4860</t>
  </si>
  <si>
    <t>13/05/2026 14:47</t>
  </si>
  <si>
    <t>Emilie NUnes da SIlva</t>
  </si>
  <si>
    <t>38806937812</t>
  </si>
  <si>
    <t>emilie.silva@scania.com</t>
  </si>
  <si>
    <t>5511979554544</t>
  </si>
  <si>
    <t>45f5f696773588130c88cf86bea576ce</t>
  </si>
  <si>
    <t>Pedro Lobel</t>
  </si>
  <si>
    <t>30/04/2024</t>
  </si>
  <si>
    <t>ID-38806937812</t>
  </si>
  <si>
    <t>COM6A04B830BD859</t>
  </si>
  <si>
    <t>13/05/2026 14:43</t>
  </si>
  <si>
    <t>Mariana Nemer</t>
  </si>
  <si>
    <t>32568337800</t>
  </si>
  <si>
    <t>mariana.ferreira@pernambucanas.com.br</t>
  </si>
  <si>
    <t>5511976503317</t>
  </si>
  <si>
    <t>57ee01db319ca048b00e43008f0499ea</t>
  </si>
  <si>
    <t>ID-32568337800</t>
  </si>
  <si>
    <t>COM6A04B7873F56B</t>
  </si>
  <si>
    <t>13/05/2026 14:40</t>
  </si>
  <si>
    <t>Paula Cristine de Oliveira</t>
  </si>
  <si>
    <t>33898102858</t>
  </si>
  <si>
    <t>pcoliveira@uolinc.com</t>
  </si>
  <si>
    <t>5511963263831</t>
  </si>
  <si>
    <t>6cceadbd4a0b15f488b41b5618c175ea</t>
  </si>
  <si>
    <t>ID-33898102858</t>
  </si>
  <si>
    <t>COM6A04B60FA0BF5</t>
  </si>
  <si>
    <t>13/05/2026 14:34</t>
  </si>
  <si>
    <t>Alinne Arantes Barbosa</t>
  </si>
  <si>
    <t>36507893889</t>
  </si>
  <si>
    <t>aarantes@uolinc.com</t>
  </si>
  <si>
    <t>5511993163204</t>
  </si>
  <si>
    <t>8a12ff48beb2d5b7866933312bb6ba8d</t>
  </si>
  <si>
    <t>ID-36507893889</t>
  </si>
  <si>
    <t>COM6A04B53BE84E3</t>
  </si>
  <si>
    <t>13/05/2026 14:30</t>
  </si>
  <si>
    <t>Pedro Pacce Prochno</t>
  </si>
  <si>
    <t>35985023893</t>
  </si>
  <si>
    <t>pedro@prochno.com</t>
  </si>
  <si>
    <t>5511999987654</t>
  </si>
  <si>
    <t>cda3ac2acfd14ad39e12eb5bf187be41</t>
  </si>
  <si>
    <t>ID-35985023893</t>
  </si>
  <si>
    <t>COM6A04B48E560C4</t>
  </si>
  <si>
    <t>13/05/2026 14:27</t>
  </si>
  <si>
    <t>Heyse Gisel Cabeza Ribeiro</t>
  </si>
  <si>
    <t>41862601844</t>
  </si>
  <si>
    <t>heyse.ribeiro@volkswagen.com.br</t>
  </si>
  <si>
    <t>5511941148834</t>
  </si>
  <si>
    <t>c2a40b4e4ef0491257438fc3b0a27427</t>
  </si>
  <si>
    <t>ID-41862601844</t>
  </si>
  <si>
    <t>COM6A04B37D98B70</t>
  </si>
  <si>
    <t>13/05/2026 14:23</t>
  </si>
  <si>
    <t>Mariana Simonelli Afonso Parpinelli</t>
  </si>
  <si>
    <t>35843577805</t>
  </si>
  <si>
    <t>Mariana.afonso@bv.com.br</t>
  </si>
  <si>
    <t>5511998376650</t>
  </si>
  <si>
    <t>a2c974e8b3cfbdf3f757134f70ad07d3</t>
  </si>
  <si>
    <t>18/07/2019</t>
  </si>
  <si>
    <t>ID-35843577805</t>
  </si>
  <si>
    <t>COM6A04837BEDCAF</t>
  </si>
  <si>
    <t>13/05/2026 10:58</t>
  </si>
  <si>
    <t>4</t>
  </si>
  <si>
    <t>TED</t>
  </si>
  <si>
    <t>ted</t>
  </si>
  <si>
    <t>Executive Program - 25 a 27 de Maio de 2026</t>
  </si>
  <si>
    <t>executive-program-ed5a26</t>
  </si>
  <si>
    <t>Priscila Hermsdorff Pontes</t>
  </si>
  <si>
    <t>60.746.948/0283-94</t>
  </si>
  <si>
    <t>BANCO BRADESCO S.A.</t>
  </si>
  <si>
    <t>priscila.pontes@bradesco.com.br</t>
  </si>
  <si>
    <t>551133678700</t>
  </si>
  <si>
    <t>01042001</t>
  </si>
  <si>
    <t>BR DE ITAPETININGA</t>
  </si>
  <si>
    <t>107</t>
  </si>
  <si>
    <t>REPUBLICA</t>
  </si>
  <si>
    <t>Evento: 50371217 - 4 participantes</t>
  </si>
  <si>
    <t>2a44078a721e1049a2a89970ac5d5541</t>
  </si>
  <si>
    <t>Fernanda França Bittencourt</t>
  </si>
  <si>
    <t>25/05/2026</t>
  </si>
  <si>
    <t>04/11/2017</t>
  </si>
  <si>
    <t>ID-60746948028394</t>
  </si>
  <si>
    <t>Aguardando recebimento</t>
  </si>
  <si>
    <t>Não Iniciado</t>
  </si>
  <si>
    <t>ORDD39IHN409E0Y4</t>
  </si>
  <si>
    <t>12/05/2026 19:30</t>
  </si>
  <si>
    <t>12/05/2026</t>
  </si>
  <si>
    <t>10</t>
  </si>
  <si>
    <t>28974115835IFET0ORME</t>
  </si>
  <si>
    <t>mastercard</t>
  </si>
  <si>
    <t>Bruno Borges</t>
  </si>
  <si>
    <t>36639881802</t>
  </si>
  <si>
    <t>bruno.borges@segurosunimed.com.br</t>
  </si>
  <si>
    <t>11974165477</t>
  </si>
  <si>
    <t>03508010</t>
  </si>
  <si>
    <t>Rua Coronel Pedro Dias de Campos</t>
  </si>
  <si>
    <t>388</t>
  </si>
  <si>
    <t>apto81</t>
  </si>
  <si>
    <t>Chácara Seis de Outubro</t>
  </si>
  <si>
    <t>0d5d7d580ed1638be7d2de89af3025c8</t>
  </si>
  <si>
    <t>descontointeractivelobel</t>
  </si>
  <si>
    <t>ID-36639881802</t>
  </si>
  <si>
    <t>COM6A03A250C9D47</t>
  </si>
  <si>
    <t>12/05/2026 18:57</t>
  </si>
  <si>
    <t>AI Festival 2026 - Ingresso Platinum</t>
  </si>
  <si>
    <t>evento-ia-ed1a26_platinum</t>
  </si>
  <si>
    <t>Ricardo Mittelstaedt Alfaro</t>
  </si>
  <si>
    <t>05825429956</t>
  </si>
  <si>
    <t>ricardo.alfaro@qitech.com.br</t>
  </si>
  <si>
    <t>5541996199523</t>
  </si>
  <si>
    <t>8fe60be0642dfabee1ddaed6f7783c30</t>
  </si>
  <si>
    <t>ID-05825429956</t>
  </si>
  <si>
    <t>COM6A039F731B2B4</t>
  </si>
  <si>
    <t>12/05/2026 18:45</t>
  </si>
  <si>
    <t>AI Festival 2026 - Ingresso Explorer</t>
  </si>
  <si>
    <t>evento-ia-ed1a26_explorer</t>
  </si>
  <si>
    <t>Patricia Megumi Kobayashi</t>
  </si>
  <si>
    <t>31126309800</t>
  </si>
  <si>
    <t>patriciakobayashi1@99app.com</t>
  </si>
  <si>
    <t>75bf24859a5a07028a523f5ec9c23cfa</t>
  </si>
  <si>
    <t>29/10/2025</t>
  </si>
  <si>
    <t>ID-31126309800</t>
  </si>
  <si>
    <t>COM6A039ACBAAAB9</t>
  </si>
  <si>
    <t>12/05/2026 18:25</t>
  </si>
  <si>
    <t>Alex alves dos santos</t>
  </si>
  <si>
    <t>31264701810</t>
  </si>
  <si>
    <t>miriana.oliveira@ipiranga.ipiranga</t>
  </si>
  <si>
    <t>5511985583611</t>
  </si>
  <si>
    <t>17ebcba80bd394ef6be982185d429799</t>
  </si>
  <si>
    <t>ID-31264701810</t>
  </si>
  <si>
    <t>COM6A039A7A83769</t>
  </si>
  <si>
    <t>12/05/2026 18:24</t>
  </si>
  <si>
    <t>Vinicius micael gonçalves de morais</t>
  </si>
  <si>
    <t>41946039829</t>
  </si>
  <si>
    <t>Vinicius.morais@ipiranga.ipiranga</t>
  </si>
  <si>
    <t>5511972662029</t>
  </si>
  <si>
    <t>8cbe159b19862349f179775db6be4145</t>
  </si>
  <si>
    <t>ID-41946039829</t>
  </si>
  <si>
    <t>COM6A039A1E666A0</t>
  </si>
  <si>
    <t>12/05/2026 18:22</t>
  </si>
  <si>
    <t>Sami yamouni</t>
  </si>
  <si>
    <t>06254433737</t>
  </si>
  <si>
    <t>Sami.yamouni@ipiranga.ipiranga</t>
  </si>
  <si>
    <t>5511999309754</t>
  </si>
  <si>
    <t>52aa6418543a928a2f687f1b8d344e7c</t>
  </si>
  <si>
    <t>10/05/2019</t>
  </si>
  <si>
    <t>ID-06254433737</t>
  </si>
  <si>
    <t>COM6A03986F3A05B</t>
  </si>
  <si>
    <t>12/05/2026 18:15</t>
  </si>
  <si>
    <t>icardo.pinho@arezzo.com.br</t>
  </si>
  <si>
    <t>48af41a0970982ec98faa313c1136e98</t>
  </si>
  <si>
    <t>COM6A039800DBA41</t>
  </si>
  <si>
    <t>12/05/2026 18:13</t>
  </si>
  <si>
    <t>Alexandre Bastos Borges</t>
  </si>
  <si>
    <t>25156456820</t>
  </si>
  <si>
    <t>alexandre.borges@pernambucanas.com.br</t>
  </si>
  <si>
    <t>5511988560489</t>
  </si>
  <si>
    <t>08ea1e93b584574c4589f85721978c28</t>
  </si>
  <si>
    <t>19/08/2025</t>
  </si>
  <si>
    <t>ID-25156456820</t>
  </si>
  <si>
    <t>COM6A03975A12A73</t>
  </si>
  <si>
    <t>12/05/2026 18:10</t>
  </si>
  <si>
    <t>Gustavo Gerolamo</t>
  </si>
  <si>
    <t>26844764898</t>
  </si>
  <si>
    <t>ggerolamo@vr.com.br</t>
  </si>
  <si>
    <t>5511989092466</t>
  </si>
  <si>
    <t>1c4d52c4a23a65bb9e111de59ef930e9</t>
  </si>
  <si>
    <t>31/10/2025</t>
  </si>
  <si>
    <t>ID-26844764898</t>
  </si>
  <si>
    <t>COM6A0396E671072</t>
  </si>
  <si>
    <t>12/05/2026 18:08</t>
  </si>
  <si>
    <t>RICARDO AUGUSTO NEVES</t>
  </si>
  <si>
    <t>25297971888</t>
  </si>
  <si>
    <t>Ricardo.Augusto@br.mcd.com</t>
  </si>
  <si>
    <t>5511941360931</t>
  </si>
  <si>
    <t>1b2c271ed521aed6723a848e245db1da</t>
  </si>
  <si>
    <t>ID-25297971888</t>
  </si>
  <si>
    <t>COM6A03962223F32</t>
  </si>
  <si>
    <t>12/05/2026 18:05</t>
  </si>
  <si>
    <t>Rafael Pierote da Cunha</t>
  </si>
  <si>
    <t>29685905886</t>
  </si>
  <si>
    <t>rpcunha@fazenda.sp.gov.br</t>
  </si>
  <si>
    <t>5511960903312</t>
  </si>
  <si>
    <t>d76187c9be2303d60ef711dd51327b72</t>
  </si>
  <si>
    <t>ID-29685905886</t>
  </si>
  <si>
    <t>COM6A03954B22464</t>
  </si>
  <si>
    <t>12/05/2026 18:02</t>
  </si>
  <si>
    <t>Maria Thereza Lages</t>
  </si>
  <si>
    <t>60724567313</t>
  </si>
  <si>
    <t>mariatherezalages@gmail.com</t>
  </si>
  <si>
    <t>5511941851418</t>
  </si>
  <si>
    <t>5a5e3d54f4d9b5b19e586383445f04a1</t>
  </si>
  <si>
    <t>ID-60724567313</t>
  </si>
  <si>
    <t>COM6A036F2D285AF</t>
  </si>
  <si>
    <t>12/05/2026 15:19</t>
  </si>
  <si>
    <t>Marcelo Figueiredo de Almeida</t>
  </si>
  <si>
    <t>34054978843</t>
  </si>
  <si>
    <t>Marcelo.almeida@omni.com.br</t>
  </si>
  <si>
    <t>5511971021930</t>
  </si>
  <si>
    <t>b823e27f8ea3c4582fa1fc53d0583957</t>
  </si>
  <si>
    <t>FELIPE BARBOSA DOS SANTOS VASCONCELOS</t>
  </si>
  <si>
    <t>ID-34054978843</t>
  </si>
  <si>
    <t>COM6A036EBB5F671</t>
  </si>
  <si>
    <t>12/05/2026 15:17</t>
  </si>
  <si>
    <t>Claudio Gregori</t>
  </si>
  <si>
    <t>22389374808</t>
  </si>
  <si>
    <t>claudio.gregori@chubb.com</t>
  </si>
  <si>
    <t>5511993644112</t>
  </si>
  <si>
    <t>b5961ef30ea55b3530ae06a56d485246</t>
  </si>
  <si>
    <t>ID-22389374808</t>
  </si>
  <si>
    <t>COM6A036E2AE376D</t>
  </si>
  <si>
    <t>12/05/2026 15:15</t>
  </si>
  <si>
    <t>Renata Gonçalves Mota Marques</t>
  </si>
  <si>
    <t>68792590578</t>
  </si>
  <si>
    <t>renata.marques@capgemini.com</t>
  </si>
  <si>
    <t>5511999999000</t>
  </si>
  <si>
    <t>d74be723c0cfc52434f0d130895ab687</t>
  </si>
  <si>
    <t>Moises Cicero Brito Irmao</t>
  </si>
  <si>
    <t>03/10/2023</t>
  </si>
  <si>
    <t>ID-68792590578</t>
  </si>
  <si>
    <t>COM6A036DB1D2D2D</t>
  </si>
  <si>
    <t>12/05/2026 15:13</t>
  </si>
  <si>
    <t>Bruno Simon Lopes</t>
  </si>
  <si>
    <t>80592244504</t>
  </si>
  <si>
    <t>bruno.a.simon@capgemini.com</t>
  </si>
  <si>
    <t>5571981035781</t>
  </si>
  <si>
    <t>c1d0c896d52a69dabf7092f6568a15dd</t>
  </si>
  <si>
    <t>ID-80592244504</t>
  </si>
  <si>
    <t>COM6A036CE93144E</t>
  </si>
  <si>
    <t>12/05/2026 15:09</t>
  </si>
  <si>
    <t>dfa178d8655b50eb40ffd732feb0d191</t>
  </si>
  <si>
    <t>COM6A036C65EF413</t>
  </si>
  <si>
    <t>12/05/2026 15:07</t>
  </si>
  <si>
    <t>Heitor Penha do Carmo</t>
  </si>
  <si>
    <t>04288603110</t>
  </si>
  <si>
    <t>heitor.carmo@suzano.com.br</t>
  </si>
  <si>
    <t>5567998969504</t>
  </si>
  <si>
    <t>90bee2752957f60ad8f3f318291d56a5</t>
  </si>
  <si>
    <t>ID-04288603110</t>
  </si>
  <si>
    <t>COM6A036C029B5ED</t>
  </si>
  <si>
    <t>12/05/2026 15:05</t>
  </si>
  <si>
    <t>Bernardo Craveiro</t>
  </si>
  <si>
    <t>01690599103</t>
  </si>
  <si>
    <t>bernardo.craveiro@linx.com.br</t>
  </si>
  <si>
    <t>5521997145050</t>
  </si>
  <si>
    <t>6deff11a12a6f911e4a0cf2d2ac05d41</t>
  </si>
  <si>
    <t>ID-01690599103</t>
  </si>
  <si>
    <t>COM6A036B9EA62A1</t>
  </si>
  <si>
    <t>12/05/2026 15:04</t>
  </si>
  <si>
    <t>Leonardo Koslovski Silva</t>
  </si>
  <si>
    <t>02882431961</t>
  </si>
  <si>
    <t>leonardo.ksilva@hyundai-brasil.com</t>
  </si>
  <si>
    <t>5541999303888</t>
  </si>
  <si>
    <t>7a48090f2a72389f341e08e16a57bb3a</t>
  </si>
  <si>
    <t>ID-02882431961</t>
  </si>
  <si>
    <t>COM6A036AF2432B4</t>
  </si>
  <si>
    <t>12/05/2026 15:01</t>
  </si>
  <si>
    <t>Mayco Ferreira Moreira</t>
  </si>
  <si>
    <t>05096705986</t>
  </si>
  <si>
    <t>mayco.moreira@motiva.com.br</t>
  </si>
  <si>
    <t>5511999363116</t>
  </si>
  <si>
    <t>61f3e9699649f462f441b128bbbe6e83</t>
  </si>
  <si>
    <t>ID-05096705986</t>
  </si>
  <si>
    <t>COM6A0365B578A50</t>
  </si>
  <si>
    <t>12/05/2026 14:39</t>
  </si>
  <si>
    <t>Andréia Suemi Ara</t>
  </si>
  <si>
    <t>33416588827</t>
  </si>
  <si>
    <t>Andreia.ara@caixa.gov.br</t>
  </si>
  <si>
    <t>5511973730319</t>
  </si>
  <si>
    <t>e8166d84f0699a9976ee0b6b7c1260ec</t>
  </si>
  <si>
    <t>ID-33416588827</t>
  </si>
  <si>
    <t>COM6A036520C8178</t>
  </si>
  <si>
    <t>12/05/2026 14:36</t>
  </si>
  <si>
    <t>Thais Silva Mecca</t>
  </si>
  <si>
    <t>32657088880</t>
  </si>
  <si>
    <t>Thais.mecca@caixa.gov.br</t>
  </si>
  <si>
    <t>5511980650389</t>
  </si>
  <si>
    <t>07674c1460081df357b5c701833bf348</t>
  </si>
  <si>
    <t>ID-32657088880</t>
  </si>
  <si>
    <t>COM6A0364E972547</t>
  </si>
  <si>
    <t>12/05/2026 14:35</t>
  </si>
  <si>
    <t>Raul Freire Aguiar</t>
  </si>
  <si>
    <t>93765118249</t>
  </si>
  <si>
    <t>raulfreire.si@gmail.com</t>
  </si>
  <si>
    <t>5594981745697</t>
  </si>
  <si>
    <t>1bdc234cb2c06e675abc3cdb297cc66a</t>
  </si>
  <si>
    <t>ID-93765118249</t>
  </si>
  <si>
    <t>COM6A036484E6CE9</t>
  </si>
  <si>
    <t>12/05/2026 14:33</t>
  </si>
  <si>
    <t>Rodrigo Bicalho</t>
  </si>
  <si>
    <t>41736429892</t>
  </si>
  <si>
    <t>rodrigopgmb@gmail.com</t>
  </si>
  <si>
    <t>5511982445255</t>
  </si>
  <si>
    <t>343d50187610d7a43209599f2f9b2e46</t>
  </si>
  <si>
    <t>ID-41736429892</t>
  </si>
  <si>
    <t>COM6A0363B8F30C8</t>
  </si>
  <si>
    <t>12/05/2026 14:30</t>
  </si>
  <si>
    <t>Eduardo Braz</t>
  </si>
  <si>
    <t>05675457925</t>
  </si>
  <si>
    <t>eduardo.silva@southcargo.com</t>
  </si>
  <si>
    <t>5511942582549</t>
  </si>
  <si>
    <t>db6960aa35993e512f6d19c7acaf7181</t>
  </si>
  <si>
    <t>20/08/2019</t>
  </si>
  <si>
    <t>ID-05675457925</t>
  </si>
  <si>
    <t>COM6A0362ECC1D9C</t>
  </si>
  <si>
    <t>12/05/2026 14:27</t>
  </si>
  <si>
    <t>Alexsandro Alves dos Santos</t>
  </si>
  <si>
    <t>29787003865</t>
  </si>
  <si>
    <t>alexsandro.santos@zamp.com.br</t>
  </si>
  <si>
    <t>5511996580628</t>
  </si>
  <si>
    <t>14e4b9735b4935cb28b377dc20791f46</t>
  </si>
  <si>
    <t>ID-29787003865</t>
  </si>
  <si>
    <t>COM6A03629B3F59E</t>
  </si>
  <si>
    <t>12/05/2026 14:25</t>
  </si>
  <si>
    <t>Augusto Rocha Knijnik</t>
  </si>
  <si>
    <t>40054479886</t>
  </si>
  <si>
    <t>augusto.knijnik@zamp.com.br</t>
  </si>
  <si>
    <t>5511916633763</t>
  </si>
  <si>
    <t>4175f2c888f76546eb26714617781bf3</t>
  </si>
  <si>
    <t>ID-40054479886</t>
  </si>
  <si>
    <t>COM6A03621E1F752</t>
  </si>
  <si>
    <t>12/05/2026 14:23</t>
  </si>
  <si>
    <t>Marcelo Bueno Nunes</t>
  </si>
  <si>
    <t>36175755871</t>
  </si>
  <si>
    <t>marcelonunes@3coracoes.com.br</t>
  </si>
  <si>
    <t>5511994057126</t>
  </si>
  <si>
    <t>60c602d36cb2ae09f559429cae88f997</t>
  </si>
  <si>
    <t>27/04/2018</t>
  </si>
  <si>
    <t>ID-36175755871</t>
  </si>
  <si>
    <t>COM6A035FC42A2B2</t>
  </si>
  <si>
    <t>12/05/2026 14:13</t>
  </si>
  <si>
    <t>Ronaldo da Matta</t>
  </si>
  <si>
    <t>04124083769</t>
  </si>
  <si>
    <t>ronaldodamatta@ioasys.com.br</t>
  </si>
  <si>
    <t>5511981111659</t>
  </si>
  <si>
    <t>9bd278f013ec8ea9b278ce582a0eb9fe</t>
  </si>
  <si>
    <t>26/06/2017</t>
  </si>
  <si>
    <t>ID-04124083769</t>
  </si>
  <si>
    <t>COM6A035F4D0E7A4</t>
  </si>
  <si>
    <t>12/05/2026 14:11</t>
  </si>
  <si>
    <t>Daniele Brasil</t>
  </si>
  <si>
    <t>08906751710</t>
  </si>
  <si>
    <t>dbrasil@stefanini.com</t>
  </si>
  <si>
    <t>5511945452330</t>
  </si>
  <si>
    <t>d3a6ca7ade2e58b70ab2617110b850ee</t>
  </si>
  <si>
    <t>ID-08906751710</t>
  </si>
  <si>
    <t>COM6A035F00DECB6</t>
  </si>
  <si>
    <t>12/05/2026 14:10</t>
  </si>
  <si>
    <t>Leandro Daflon</t>
  </si>
  <si>
    <t>07229795761</t>
  </si>
  <si>
    <t>daflon@primeup.com.br</t>
  </si>
  <si>
    <t>5521991762255</t>
  </si>
  <si>
    <t>576238e66079a0d7f02a66710770dc4b</t>
  </si>
  <si>
    <t>ID-07229795761</t>
  </si>
  <si>
    <t>COM6A035EA6BC873</t>
  </si>
  <si>
    <t>12/05/2026 14:08</t>
  </si>
  <si>
    <t>Jader Alves Rosa</t>
  </si>
  <si>
    <t>25052588801</t>
  </si>
  <si>
    <t>jaderalves@tjsp.jus.br</t>
  </si>
  <si>
    <t>5512991381181</t>
  </si>
  <si>
    <t>57a5a04dc4f604ddc1947f741580f4fc</t>
  </si>
  <si>
    <t>ID-25052588801</t>
  </si>
  <si>
    <t>COM6A035E2E2BE6E</t>
  </si>
  <si>
    <t>12/05/2026 14:06</t>
  </si>
  <si>
    <t>Thiago Madeira</t>
  </si>
  <si>
    <t>05210746739</t>
  </si>
  <si>
    <t>thiago.madeira@g.globo</t>
  </si>
  <si>
    <t>5521976855680</t>
  </si>
  <si>
    <t>09f0bc26dc3f19dba84716b7f30a349c</t>
  </si>
  <si>
    <t>ID-05210746739</t>
  </si>
  <si>
    <t>COM6A0357DFBBD9B</t>
  </si>
  <si>
    <t>12/05/2026 13:39</t>
  </si>
  <si>
    <t>5511960903311</t>
  </si>
  <si>
    <t>416cd1e82192d4e4d3ea92ccb7b9b65d</t>
  </si>
  <si>
    <t>COM6A035759F4089</t>
  </si>
  <si>
    <t>12/05/2026 13:37</t>
  </si>
  <si>
    <t>Michelle Mori</t>
  </si>
  <si>
    <t>28281753838</t>
  </si>
  <si>
    <t>michelle.mori@telefonica.com</t>
  </si>
  <si>
    <t>5511992547475</t>
  </si>
  <si>
    <t>5288e14320027157109b81e0f9b5568b</t>
  </si>
  <si>
    <t>ID-28281753838</t>
  </si>
  <si>
    <t>COM6A03569AECACE</t>
  </si>
  <si>
    <t>12/05/2026 13:34</t>
  </si>
  <si>
    <t>Nathalia Monteiro Farias</t>
  </si>
  <si>
    <t>37253600819</t>
  </si>
  <si>
    <t>nathalia.farias@b3.com.br</t>
  </si>
  <si>
    <t>5511941549148</t>
  </si>
  <si>
    <t>09cdd0b335cbdfa7ca1e7ac3904b65f5</t>
  </si>
  <si>
    <t>ID-37253600819</t>
  </si>
  <si>
    <t>COM6A0356098BA11</t>
  </si>
  <si>
    <t>12/05/2026 13:32</t>
  </si>
  <si>
    <t>Bruno Szarf</t>
  </si>
  <si>
    <t>29366067808</t>
  </si>
  <si>
    <t>bszarf@stefanini.com</t>
  </si>
  <si>
    <t>5511942683075</t>
  </si>
  <si>
    <t>d7a4416e88c939c27a66a32a13562568</t>
  </si>
  <si>
    <t>ID-29366067808</t>
  </si>
  <si>
    <t>COM6A035590E2F89</t>
  </si>
  <si>
    <t>12/05/2026 13:30</t>
  </si>
  <si>
    <t>Marcio do Amaral Martins</t>
  </si>
  <si>
    <t>16475754862</t>
  </si>
  <si>
    <t>marciomartins@tjsp.jus.br</t>
  </si>
  <si>
    <t>5511951137800</t>
  </si>
  <si>
    <t>47313cacb1c448b5e4cec1a389dc7b72</t>
  </si>
  <si>
    <t>ID-16475754862</t>
  </si>
  <si>
    <t>COM6A03547266927</t>
  </si>
  <si>
    <t>12/05/2026 13:25</t>
  </si>
  <si>
    <t>Bruno Oliveira</t>
  </si>
  <si>
    <t>33463962829</t>
  </si>
  <si>
    <t>bruno.oliveira.silva@nttdata.com</t>
  </si>
  <si>
    <t>5521986690644</t>
  </si>
  <si>
    <t>accaa8399ea91b4e759850aefa47e28d</t>
  </si>
  <si>
    <t>16/02/2023</t>
  </si>
  <si>
    <t>ID-33463962829</t>
  </si>
  <si>
    <t>COM6A0353900850B</t>
  </si>
  <si>
    <t>12/05/2026 13:21</t>
  </si>
  <si>
    <t>Ivan Lincoln de Paula Brum</t>
  </si>
  <si>
    <t>25823829817</t>
  </si>
  <si>
    <t>ivan.paula.brum@nttdata.com</t>
  </si>
  <si>
    <t>5511950819449</t>
  </si>
  <si>
    <t>966d176bdfcb91bb2fb4abe29c83c133</t>
  </si>
  <si>
    <t>ID-25823829817</t>
  </si>
  <si>
    <t>COM6A0353604C068</t>
  </si>
  <si>
    <t>12/05/2026 13:20</t>
  </si>
  <si>
    <t>Gabriel Pegorelli</t>
  </si>
  <si>
    <t>35862112871</t>
  </si>
  <si>
    <t>gabriel.pegorelli-souza@itau-unibanco.com.br</t>
  </si>
  <si>
    <t>5511974252945</t>
  </si>
  <si>
    <t>e9299c84ab19e0d6d95fa7f85584a2ae</t>
  </si>
  <si>
    <t>ID-35862112871</t>
  </si>
  <si>
    <t>COM6A0352FBD1882</t>
  </si>
  <si>
    <t>12/05/2026 13:19</t>
  </si>
  <si>
    <t>Nivaldo Dutra Amorim Filho</t>
  </si>
  <si>
    <t>61638404534</t>
  </si>
  <si>
    <t>nivaldo.dutra@solutis.com.br</t>
  </si>
  <si>
    <t>5571983180275</t>
  </si>
  <si>
    <t>AI Festival 2026 - Ingresso Platinum
Alura</t>
  </si>
  <si>
    <t>76d1601f5b7535e52ea86ec6b449b8ae</t>
  </si>
  <si>
    <t>ID-61638404534</t>
  </si>
  <si>
    <t>COM6A0350FC8F5D7</t>
  </si>
  <si>
    <t>12/05/2026 13:10</t>
  </si>
  <si>
    <t>Jefferson Andrade dos Santos</t>
  </si>
  <si>
    <t>02788722630</t>
  </si>
  <si>
    <t>jefferson.andrade@patrus.com.br</t>
  </si>
  <si>
    <t>553191041888</t>
  </si>
  <si>
    <t>4b1c268b35114e7bf9cd9e7fbb768aa8</t>
  </si>
  <si>
    <t>02/03/2024</t>
  </si>
  <si>
    <t>ID-02788722630</t>
  </si>
  <si>
    <t>COM6A03501E2843F</t>
  </si>
  <si>
    <t>12/05/2026 13:06</t>
  </si>
  <si>
    <t>Regis Gonçalves de Oliveira</t>
  </si>
  <si>
    <t>32010654803</t>
  </si>
  <si>
    <t>regis.oliveira@youse.com.br</t>
  </si>
  <si>
    <t>5511981298714</t>
  </si>
  <si>
    <t>7305cf23176b66022c2d2b98eb08334d</t>
  </si>
  <si>
    <t>ID-32010654803</t>
  </si>
  <si>
    <t>COM6A034B0A34CFB</t>
  </si>
  <si>
    <t>12/05/2026 12:45</t>
  </si>
  <si>
    <t>Heni Ozi Cuckier</t>
  </si>
  <si>
    <t>27044966845</t>
  </si>
  <si>
    <t>hoc111@me.com</t>
  </si>
  <si>
    <t>5519997828442</t>
  </si>
  <si>
    <t>b840aad7ee07c69e0bd3e390e9c26bbf</t>
  </si>
  <si>
    <t>ID-27044966845</t>
  </si>
  <si>
    <t>COM6A034ACBDEDB3</t>
  </si>
  <si>
    <t>12/05/2026 12:44</t>
  </si>
  <si>
    <t>Danrley Morais</t>
  </si>
  <si>
    <t>36478869806</t>
  </si>
  <si>
    <t>danrley.morais@runflow.ai</t>
  </si>
  <si>
    <t>5511964171915</t>
  </si>
  <si>
    <t>06e63681a7ebcb3b9ac7543176d738cc</t>
  </si>
  <si>
    <t>ID-36478869806</t>
  </si>
  <si>
    <t>COM6A034A6483532</t>
  </si>
  <si>
    <t>12/05/2026 12:42</t>
  </si>
  <si>
    <t>Rogerio Dabul</t>
  </si>
  <si>
    <t>25486480873</t>
  </si>
  <si>
    <t>rdabul@deloitte.com</t>
  </si>
  <si>
    <t>5511940539750</t>
  </si>
  <si>
    <t>4a4d99647d71295215ec67d77c8f18d4</t>
  </si>
  <si>
    <t>ID-25486480873</t>
  </si>
  <si>
    <t>COM6A0349ECA413E</t>
  </si>
  <si>
    <t>12/05/2026 12:40</t>
  </si>
  <si>
    <t>Herbert Ayres</t>
  </si>
  <si>
    <t>05479957414</t>
  </si>
  <si>
    <t>herbert.ayres@grupoelfa.com.br</t>
  </si>
  <si>
    <t>558393524367</t>
  </si>
  <si>
    <t>cc5339ae06248624078d962ec51393a7</t>
  </si>
  <si>
    <t>05/08/2024</t>
  </si>
  <si>
    <t>ID-05479957414</t>
  </si>
  <si>
    <t>COM6A034793536E5</t>
  </si>
  <si>
    <t>12/05/2026 12:30</t>
  </si>
  <si>
    <t>Jose Roberto Armelin</t>
  </si>
  <si>
    <t>13005072843</t>
  </si>
  <si>
    <t>roberto.armelin@saopaulofc.net</t>
  </si>
  <si>
    <t>5511999114060</t>
  </si>
  <si>
    <t>5bce485f89bed1369ed82dae42882fc9</t>
  </si>
  <si>
    <t>11/07/2024</t>
  </si>
  <si>
    <t>ID-13005072843</t>
  </si>
  <si>
    <t>COM6A0346C266E0A</t>
  </si>
  <si>
    <t>12/05/2026 12:26</t>
  </si>
  <si>
    <t>Débora Carvalho</t>
  </si>
  <si>
    <t>22114320855</t>
  </si>
  <si>
    <t>debora@marqueterie.com.br</t>
  </si>
  <si>
    <t>5511954802080</t>
  </si>
  <si>
    <t>90a57fd8bbb1aa058264522b34d8ca5f</t>
  </si>
  <si>
    <t>20/03/2025</t>
  </si>
  <si>
    <t>ID-22114320855</t>
  </si>
  <si>
    <t>COM6A034677CBCFB</t>
  </si>
  <si>
    <t>12/05/2026 12:25</t>
  </si>
  <si>
    <t>Rodrigo Marangoni</t>
  </si>
  <si>
    <t>07078306805</t>
  </si>
  <si>
    <t>rodrigo.marangoni@ultra.com.br</t>
  </si>
  <si>
    <t>5511994229520</t>
  </si>
  <si>
    <t>3ac321c52be74dc844994612e6e9921e</t>
  </si>
  <si>
    <t>04/09/2017</t>
  </si>
  <si>
    <t>ID-07078306805</t>
  </si>
  <si>
    <t>COM6A0345A4CE7B2</t>
  </si>
  <si>
    <t>12/05/2026 12:22</t>
  </si>
  <si>
    <t>Amanda Rubino</t>
  </si>
  <si>
    <t>43033558879</t>
  </si>
  <si>
    <t>amanda.rubino@mondial.com.br</t>
  </si>
  <si>
    <t>5511912151947</t>
  </si>
  <si>
    <t>4b196418faf178d1bcc5b04054373e84</t>
  </si>
  <si>
    <t>ID-43033558879</t>
  </si>
  <si>
    <t>COM6A0344ADD442B</t>
  </si>
  <si>
    <t>12/05/2026 12:18</t>
  </si>
  <si>
    <t>José Augusto</t>
  </si>
  <si>
    <t>24848283817</t>
  </si>
  <si>
    <t>guto@nexloop.tech</t>
  </si>
  <si>
    <t>5511997088808</t>
  </si>
  <si>
    <t>a3213a6272eb989bf45699c04b040aa0</t>
  </si>
  <si>
    <t>ID-24848283817</t>
  </si>
  <si>
    <t>COM6A03431DD85BF</t>
  </si>
  <si>
    <t>12/05/2026 12:11</t>
  </si>
  <si>
    <t>Alexandre Nunes</t>
  </si>
  <si>
    <t>28020150870</t>
  </si>
  <si>
    <t>alexandre.pn@gmail.com</t>
  </si>
  <si>
    <t>5511982661015</t>
  </si>
  <si>
    <t>9a8e6d89e4a9029468ca772550be9e28</t>
  </si>
  <si>
    <t>07/08/2024</t>
  </si>
  <si>
    <t>ID-28020150870</t>
  </si>
  <si>
    <t>COM6A0342BC263F9</t>
  </si>
  <si>
    <t>12/05/2026 12:09</t>
  </si>
  <si>
    <t>Rodrigo Luna</t>
  </si>
  <si>
    <t>33245642806</t>
  </si>
  <si>
    <t>rodrigo.luna@goodstorage.com.br</t>
  </si>
  <si>
    <t>5511989877855</t>
  </si>
  <si>
    <t>dd133a3532a179c5cb6e156d647e52c3</t>
  </si>
  <si>
    <t>ID-33245642806</t>
  </si>
  <si>
    <t>COM6A0340FB1B813</t>
  </si>
  <si>
    <t>12/05/2026 12:02</t>
  </si>
  <si>
    <t>Cíntia Guberovic</t>
  </si>
  <si>
    <t>18491752846</t>
  </si>
  <si>
    <t>cguberovic@pagbank.com</t>
  </si>
  <si>
    <t>5511986447058</t>
  </si>
  <si>
    <t>34488e25ed931784c47e5b8f938a1129</t>
  </si>
  <si>
    <t>ID-18491752846</t>
  </si>
  <si>
    <t>COM6A033FBD00D31</t>
  </si>
  <si>
    <t>12/05/2026 11:57</t>
  </si>
  <si>
    <t>Andrei Freitas</t>
  </si>
  <si>
    <t>21898004803</t>
  </si>
  <si>
    <t>andrei.freitas@hyundai-brasil.com</t>
  </si>
  <si>
    <t>5519998215723</t>
  </si>
  <si>
    <t>764a8977f9de63f8211a42ec1cb0e737</t>
  </si>
  <si>
    <t>ID-21898004803</t>
  </si>
  <si>
    <t>COM6A033F1B045EC</t>
  </si>
  <si>
    <t>12/05/2026 11:54</t>
  </si>
  <si>
    <t>Ana Coria</t>
  </si>
  <si>
    <t>13032578825</t>
  </si>
  <si>
    <t>ana.santoro@ultra.com.br</t>
  </si>
  <si>
    <t>5511970277624</t>
  </si>
  <si>
    <t>ae4378f9e9b3fa3c7c2887975768adef</t>
  </si>
  <si>
    <t>ID-13032578825</t>
  </si>
  <si>
    <t>COM6A033EEA1E33F</t>
  </si>
  <si>
    <t>12/05/2026 11:53</t>
  </si>
  <si>
    <t>Leonardo Azevedo</t>
  </si>
  <si>
    <t>37932315859</t>
  </si>
  <si>
    <t>leonardo.azevedo@savencia.com</t>
  </si>
  <si>
    <t>5537932315859</t>
  </si>
  <si>
    <t>0016d7f1c1b2c789e7139d4255057386</t>
  </si>
  <si>
    <t>ID-37932315859</t>
  </si>
  <si>
    <t>COM6A033E7BE9AF1</t>
  </si>
  <si>
    <t>12/05/2026 11:51</t>
  </si>
  <si>
    <t>Luciana Hirata Campacci Garcia</t>
  </si>
  <si>
    <t>29182061807</t>
  </si>
  <si>
    <t>luciana.garcia@globalhitss.com.br</t>
  </si>
  <si>
    <t>5511991458366</t>
  </si>
  <si>
    <t>c09807e996cdd7f532f58f38d26d4316</t>
  </si>
  <si>
    <t>ID-29182061807</t>
  </si>
  <si>
    <t>COM6A033E4986FA7</t>
  </si>
  <si>
    <t>12/05/2026 11:50</t>
  </si>
  <si>
    <t>Camila Stefanelli Martins</t>
  </si>
  <si>
    <t>27776854875</t>
  </si>
  <si>
    <t>camila.moraes@claro.com.br</t>
  </si>
  <si>
    <t>5511994019745</t>
  </si>
  <si>
    <t>3e3effdcbeb8052c74ae8c2908cdcaad</t>
  </si>
  <si>
    <t>ID-27776854875</t>
  </si>
  <si>
    <t>COM6A033DD32C32C</t>
  </si>
  <si>
    <t>12/05/2026 11:48</t>
  </si>
  <si>
    <t>Jorge Cordenonsi</t>
  </si>
  <si>
    <t>jorge.cordenonsi@aviva.com.br</t>
  </si>
  <si>
    <t>5511941788016</t>
  </si>
  <si>
    <t>85f85e975b956983a7d597c252aa4883</t>
  </si>
  <si>
    <t>COM6A033D848C6D5</t>
  </si>
  <si>
    <t>12/05/2026 11:47</t>
  </si>
  <si>
    <t>Rafael Akimoto</t>
  </si>
  <si>
    <t>34340906816</t>
  </si>
  <si>
    <t>rafael.akimoto@gruponc.net.br</t>
  </si>
  <si>
    <t>5534340906816</t>
  </si>
  <si>
    <t>ec5b08ba874b0fe34cdb78a0a33de67e</t>
  </si>
  <si>
    <t>ID-34340906816</t>
  </si>
  <si>
    <t>COM6A033723B756B</t>
  </si>
  <si>
    <t>12/05/2026 11:20</t>
  </si>
  <si>
    <t>Bruna Sabatini Pedroso Toledo dos Santos</t>
  </si>
  <si>
    <t>34694796828</t>
  </si>
  <si>
    <t>bruna.toledo@scania.com</t>
  </si>
  <si>
    <t>5511991033772</t>
  </si>
  <si>
    <t>9ec9f5b1626166831fb39b40737c9ae5</t>
  </si>
  <si>
    <t>ID-34694796828</t>
  </si>
  <si>
    <t>COM6A02096BD0E58</t>
  </si>
  <si>
    <t>11/05/2026 13:52</t>
  </si>
  <si>
    <t>Alexandre de Oliveira</t>
  </si>
  <si>
    <t>15778836830</t>
  </si>
  <si>
    <t>Alexandre.oliveira@getnet.net</t>
  </si>
  <si>
    <t>5511984483436</t>
  </si>
  <si>
    <t>d20193e5e69c695e11afa8ca90e80357</t>
  </si>
  <si>
    <t>ID-15778836830</t>
  </si>
  <si>
    <t>COM6A0208C2B397C</t>
  </si>
  <si>
    <t>11/05/2026 13:50</t>
  </si>
  <si>
    <t>Cesar Augusto Felix Leite</t>
  </si>
  <si>
    <t>25227163871</t>
  </si>
  <si>
    <t>cleite@pagbank.com</t>
  </si>
  <si>
    <t>5515991356609</t>
  </si>
  <si>
    <t>74c980956f85bc781a05c15d3ed21eb2</t>
  </si>
  <si>
    <t>ID-25227163871</t>
  </si>
  <si>
    <t>COM6A020719A497D</t>
  </si>
  <si>
    <t>11/05/2026 13:43</t>
  </si>
  <si>
    <t>11/05/2026</t>
  </si>
  <si>
    <t>Janaina Tobita</t>
  </si>
  <si>
    <t>59.456.277/0001-76</t>
  </si>
  <si>
    <t>ORACLE DO BRASIL SISTEMAS LTDA</t>
  </si>
  <si>
    <t>janaina.tobita@oracle.com</t>
  </si>
  <si>
    <t>5511997543233</t>
  </si>
  <si>
    <t>551133331817</t>
  </si>
  <si>
    <t>04710090</t>
  </si>
  <si>
    <t>DR JOSE AUREO BUSTAMANTE</t>
  </si>
  <si>
    <t>455</t>
  </si>
  <si>
    <t>ANEXO MORUMBI BUSINESS CEN</t>
  </si>
  <si>
    <t>SANTO AMARO</t>
  </si>
  <si>
    <t>06f29b8878d40a11b92b738c475cbc3e</t>
  </si>
  <si>
    <t>Andre Luis Kohama</t>
  </si>
  <si>
    <t>19/03/2021</t>
  </si>
  <si>
    <t>ID-59456277000176</t>
  </si>
  <si>
    <t>COM6A020006E95B7</t>
  </si>
  <si>
    <t>11/05/2026 13:12</t>
  </si>
  <si>
    <t>Executive Program - 24 a 26 de Agosto de 2026</t>
  </si>
  <si>
    <t>executive-program-ed8a26</t>
  </si>
  <si>
    <t>Thiago Antunes de Assis</t>
  </si>
  <si>
    <t>32964367825</t>
  </si>
  <si>
    <t>Thiago.assis1@heineken.com.br</t>
  </si>
  <si>
    <t>5511996089027</t>
  </si>
  <si>
    <t>5e352a2a06acf0fd25b79f42f7f41247</t>
  </si>
  <si>
    <t>24/08/2026</t>
  </si>
  <si>
    <t>ID-32964367825</t>
  </si>
  <si>
    <t>COM6A01F739DB86A</t>
  </si>
  <si>
    <t>11/05/2026 12:35</t>
  </si>
  <si>
    <t>Viviane Rodrigues de Oliveira</t>
  </si>
  <si>
    <t>05521986766</t>
  </si>
  <si>
    <t>viviane.oliveira@tivit.com</t>
  </si>
  <si>
    <t>5521997615392</t>
  </si>
  <si>
    <t>15e86d64c01f141305db3dd5f9d7bc90</t>
  </si>
  <si>
    <t>04/06/2020</t>
  </si>
  <si>
    <t>ID-05521986766</t>
  </si>
  <si>
    <t>COM6A01F6F2200B3</t>
  </si>
  <si>
    <t>11/05/2026 12:34</t>
  </si>
  <si>
    <t>André Marcusso Neiva</t>
  </si>
  <si>
    <t>26489079801</t>
  </si>
  <si>
    <t>andre.neiva@mentorebank.com.br</t>
  </si>
  <si>
    <t>5511989430449</t>
  </si>
  <si>
    <t>3460b5a3b61a0ed4fec0176453112e00</t>
  </si>
  <si>
    <t>ID-26489079801</t>
  </si>
  <si>
    <t>COM6A01F64EC7E02</t>
  </si>
  <si>
    <t>11/05/2026 12:31</t>
  </si>
  <si>
    <t>Cristiane Delfino Abdalla de Carvalho</t>
  </si>
  <si>
    <t>29880832825</t>
  </si>
  <si>
    <t>cristianeabdalla@hotmail.com</t>
  </si>
  <si>
    <t>5511976861628</t>
  </si>
  <si>
    <t>f7ed745f54e2acfd04aa5eac81d41b5d</t>
  </si>
  <si>
    <t>ID-29880832825</t>
  </si>
  <si>
    <t>COM6A01F598908AE</t>
  </si>
  <si>
    <t>11/05/2026 12:28</t>
  </si>
  <si>
    <t>Glaucio Nogueira Toyama</t>
  </si>
  <si>
    <t>14524033840</t>
  </si>
  <si>
    <t>glaucio.toyama@irbre.com</t>
  </si>
  <si>
    <t>5511999613367</t>
  </si>
  <si>
    <t>c4413b2837a7ba87ea299ca5c4082421</t>
  </si>
  <si>
    <t>ID-14524033840</t>
  </si>
  <si>
    <t>COM6A01F55DA42DD</t>
  </si>
  <si>
    <t>11/05/2026 12:27</t>
  </si>
  <si>
    <t>SANTIAGO ARELLANO</t>
  </si>
  <si>
    <t>22125137801</t>
  </si>
  <si>
    <t>santiago.arellano@irbseg.com.br</t>
  </si>
  <si>
    <t>5511976496931</t>
  </si>
  <si>
    <t>639eb61c3b2874e096a0a01056a2ad6b</t>
  </si>
  <si>
    <t>ID-22125137801</t>
  </si>
  <si>
    <t>COM6A01F4991F1CB</t>
  </si>
  <si>
    <t>11/05/2026 12:24</t>
  </si>
  <si>
    <t>Leilane Borges</t>
  </si>
  <si>
    <t>28202099803</t>
  </si>
  <si>
    <t>Leilane.oliveira@telefonica.com</t>
  </si>
  <si>
    <t>5511991298231</t>
  </si>
  <si>
    <t>0c033d828628c229172f542072352c70</t>
  </si>
  <si>
    <t>ID-28202099803</t>
  </si>
  <si>
    <t>COM6A01F43F100F2</t>
  </si>
  <si>
    <t>11/05/2026 12:22</t>
  </si>
  <si>
    <t>Vitor Leonardo Correa</t>
  </si>
  <si>
    <t>48184248890</t>
  </si>
  <si>
    <t>Vitor.cavalcanti@telefonica.com</t>
  </si>
  <si>
    <t>5511933299569</t>
  </si>
  <si>
    <t>b0c7ce6809a5ccf94254e505d9c70476</t>
  </si>
  <si>
    <t>ID-48184248890</t>
  </si>
  <si>
    <t>COM6A01F3ED91EBF</t>
  </si>
  <si>
    <t>11/05/2026 12:21</t>
  </si>
  <si>
    <t>Taciana Guedes de Castro Andrade</t>
  </si>
  <si>
    <t>36481667860</t>
  </si>
  <si>
    <t>taciana.andrade@telefonica.com</t>
  </si>
  <si>
    <t>5511979771888</t>
  </si>
  <si>
    <t>80f5f4507012fa06c88d5670df4d7c57</t>
  </si>
  <si>
    <t>ID-36481667860</t>
  </si>
  <si>
    <t>COM6A01F352F4032</t>
  </si>
  <si>
    <t>11/05/2026 12:18</t>
  </si>
  <si>
    <t>Guilherme Tezoli Bakaukas</t>
  </si>
  <si>
    <t>48927976851</t>
  </si>
  <si>
    <t>guilherme.bakaukas@qitech.com.br</t>
  </si>
  <si>
    <t>5515996292610</t>
  </si>
  <si>
    <t>b7c7b5db04581756f9e09a69954db183</t>
  </si>
  <si>
    <t>ID-48927976851</t>
  </si>
  <si>
    <t>COM6A01F16F0C7E1</t>
  </si>
  <si>
    <t>11/05/2026 12:10</t>
  </si>
  <si>
    <t>1f90b2e925b3a48b604cd6b747b44a6c</t>
  </si>
  <si>
    <t>COM6A01F0E2D6530</t>
  </si>
  <si>
    <t>11/05/2026 12:08</t>
  </si>
  <si>
    <t>Natália Kuraim Finotti Monteiro</t>
  </si>
  <si>
    <t>39371227885</t>
  </si>
  <si>
    <t>nfinotti@even.com.br</t>
  </si>
  <si>
    <t>5511952295686</t>
  </si>
  <si>
    <t>0b75cbbd4d9665f74a54e64dee5012aa</t>
  </si>
  <si>
    <t>ID-39371227885</t>
  </si>
  <si>
    <t>COM6A01F0A586380</t>
  </si>
  <si>
    <t>11/05/2026 12:07</t>
  </si>
  <si>
    <t>Marcos Federicce</t>
  </si>
  <si>
    <t>29195018875</t>
  </si>
  <si>
    <t>marcos.francisco@br.zurich.com</t>
  </si>
  <si>
    <t>5511995150495</t>
  </si>
  <si>
    <t>911b3b09d2d69564289a571910a00d28</t>
  </si>
  <si>
    <t>08/02/2019</t>
  </si>
  <si>
    <t>ID-29195018875</t>
  </si>
  <si>
    <t>COM6A01EFCBD5856</t>
  </si>
  <si>
    <t>11/05/2026 12:03</t>
  </si>
  <si>
    <t>Daniel Silva Costa</t>
  </si>
  <si>
    <t>39369957880</t>
  </si>
  <si>
    <t>dscosta@even.com.br</t>
  </si>
  <si>
    <t>5511960584646</t>
  </si>
  <si>
    <t>1f29d520eb2737fa3fae9b170677e031</t>
  </si>
  <si>
    <t>ID-39369957880</t>
  </si>
  <si>
    <t>COM6A01EF749C4C6</t>
  </si>
  <si>
    <t>11/05/2026 12:02</t>
  </si>
  <si>
    <t>Felipe Novaes</t>
  </si>
  <si>
    <t>31805821890</t>
  </si>
  <si>
    <t>novaes@aoficinadamente.com.br</t>
  </si>
  <si>
    <t>551199999933</t>
  </si>
  <si>
    <t>ba495ccf7fd91bfd3c7d50d0e36121fa</t>
  </si>
  <si>
    <t>ID-31805821890</t>
  </si>
  <si>
    <t>COM6A01EEF09B9A8</t>
  </si>
  <si>
    <t>11/05/2026 12:00</t>
  </si>
  <si>
    <t>Felipe Chaya</t>
  </si>
  <si>
    <t>34316101889</t>
  </si>
  <si>
    <t>Felipe@aoficinadamente.com.br</t>
  </si>
  <si>
    <t>551199999966</t>
  </si>
  <si>
    <t>c5eb709c433d1273881de58911dfe9f3</t>
  </si>
  <si>
    <t>ID-34316101889</t>
  </si>
  <si>
    <t>COM6A01EE456C985</t>
  </si>
  <si>
    <t>11/05/2026 11:57</t>
  </si>
  <si>
    <t>Daniela Ferreira dos Santos</t>
  </si>
  <si>
    <t>24625250846</t>
  </si>
  <si>
    <t>daniela.santos@jdecoffee.com</t>
  </si>
  <si>
    <t>5511937360106</t>
  </si>
  <si>
    <t>6243f388a3deb04f6e253440a3486825</t>
  </si>
  <si>
    <t>29/02/2024</t>
  </si>
  <si>
    <t>ID-24625250846</t>
  </si>
  <si>
    <t>COM6A01EDD7945EA</t>
  </si>
  <si>
    <t>11/05/2026 11:55</t>
  </si>
  <si>
    <t>Jonatas Rodrigues Pereira</t>
  </si>
  <si>
    <t>35927279821</t>
  </si>
  <si>
    <t>Jonatas.pereira@elo.com.br</t>
  </si>
  <si>
    <t>5511980875297</t>
  </si>
  <si>
    <t>55cd647b48f38332989848a3d92687a7</t>
  </si>
  <si>
    <t>ID-35927279821</t>
  </si>
  <si>
    <t>COM6A01ED2A5B052</t>
  </si>
  <si>
    <t>11/05/2026 11:52</t>
  </si>
  <si>
    <t>Rodrigo Barros Marcondes Toledo</t>
  </si>
  <si>
    <t>37969929869</t>
  </si>
  <si>
    <t>Rodrigo.toledo@elo.com.br</t>
  </si>
  <si>
    <t>5511993861936</t>
  </si>
  <si>
    <t>974f3080aad265c8ac50ede7982b33f0</t>
  </si>
  <si>
    <t>ID-37969929869</t>
  </si>
  <si>
    <t>COM6A01EC81BE5D5</t>
  </si>
  <si>
    <t>11/05/2026 11:49</t>
  </si>
  <si>
    <t>GILCY BRAGA</t>
  </si>
  <si>
    <t>01477638512</t>
  </si>
  <si>
    <t>BRAGAGILCY@GMAIL.COM</t>
  </si>
  <si>
    <t>5571993195532</t>
  </si>
  <si>
    <t>508902669a15b8c4870ff8cc1d2eb904</t>
  </si>
  <si>
    <t>ID-01477638512</t>
  </si>
  <si>
    <t>COM6A01EAF27B8C9</t>
  </si>
  <si>
    <t>11/05/2026 11:42</t>
  </si>
  <si>
    <t>Alex Sismon Leme</t>
  </si>
  <si>
    <t>30338782885</t>
  </si>
  <si>
    <t>aleme@tribanco.com.br</t>
  </si>
  <si>
    <t>5511993753244</t>
  </si>
  <si>
    <t>300ebfd1c1f446c1f9eb75464e3a07c4</t>
  </si>
  <si>
    <t>ID-30338782885</t>
  </si>
  <si>
    <t>COM6A01EA81DC5C2</t>
  </si>
  <si>
    <t>11/05/2026 11:41</t>
  </si>
  <si>
    <t>Anaterra Oliveira</t>
  </si>
  <si>
    <t>30301690812</t>
  </si>
  <si>
    <t>anaterra1206@gmail.com</t>
  </si>
  <si>
    <t>5511981889960</t>
  </si>
  <si>
    <t>d435d998edd2f0ffada4abafbee49952</t>
  </si>
  <si>
    <t>15/07/2020</t>
  </si>
  <si>
    <t>ID-30301690812</t>
  </si>
  <si>
    <t>COM6A01E9D366FEE</t>
  </si>
  <si>
    <t>11/05/2026 11:38</t>
  </si>
  <si>
    <t>Eduardo Vieira</t>
  </si>
  <si>
    <t>41811724817</t>
  </si>
  <si>
    <t>eduardo.vieira@crmbonus.com</t>
  </si>
  <si>
    <t>5511967724292</t>
  </si>
  <si>
    <t>0254bf6a5f34735116ec7776c64ede8b</t>
  </si>
  <si>
    <t>ID-41811724817</t>
  </si>
  <si>
    <t>COM6A01E9699574A</t>
  </si>
  <si>
    <t>11/05/2026 11:36</t>
  </si>
  <si>
    <t>Cláudia Marquesani</t>
  </si>
  <si>
    <t>03488611680</t>
  </si>
  <si>
    <t>claudia.marquesani@copaenergia.com.br</t>
  </si>
  <si>
    <t>5511974122244</t>
  </si>
  <si>
    <t>4f05358e2bf44a9111d90a8dbc44b6db</t>
  </si>
  <si>
    <t>18/04/2024</t>
  </si>
  <si>
    <t>ID-03488611680</t>
  </si>
  <si>
    <t>COM6A01E86E5A559</t>
  </si>
  <si>
    <t>11/05/2026 11:32</t>
  </si>
  <si>
    <t>Sergio Costa</t>
  </si>
  <si>
    <t>08566257790</t>
  </si>
  <si>
    <t>Sergio.Gri@gmail.com</t>
  </si>
  <si>
    <t>5511986347527</t>
  </si>
  <si>
    <t>461b05d4fade4552e135ea95f6f262f3</t>
  </si>
  <si>
    <t>ID-08566257790</t>
  </si>
  <si>
    <t>Boleto Bradesco</t>
  </si>
  <si>
    <t>Boleto</t>
  </si>
  <si>
    <t>boleto</t>
  </si>
  <si>
    <t>CIDADE MONCOES</t>
  </si>
  <si>
    <t>Em Atraso</t>
  </si>
  <si>
    <t>COM6A01E31EEBC00</t>
  </si>
  <si>
    <t>11/05/2026 11:09</t>
  </si>
  <si>
    <t>Artur Bittencourt Lemos</t>
  </si>
  <si>
    <t>14773109750</t>
  </si>
  <si>
    <t>artur.lemos@somagrupo.com.br</t>
  </si>
  <si>
    <t>5521994153471</t>
  </si>
  <si>
    <t>d474f2d26fe2e27e87f90cfc88950638</t>
  </si>
  <si>
    <t>06/05/2026</t>
  </si>
  <si>
    <t>ID-14773109750</t>
  </si>
  <si>
    <t>COM6A01E2E38C864</t>
  </si>
  <si>
    <t>11/05/2026 11:08</t>
  </si>
  <si>
    <t>Alisson Suzzim Calgaroto</t>
  </si>
  <si>
    <t>05838559977</t>
  </si>
  <si>
    <t>alisson.calgaroto@somagrupo.com.br</t>
  </si>
  <si>
    <t>5521965956842</t>
  </si>
  <si>
    <t>9f7198cb380591beb2f8676916e123fe</t>
  </si>
  <si>
    <t>ID-05838559977</t>
  </si>
  <si>
    <t>COM6A01E2A6E358A</t>
  </si>
  <si>
    <t>11/05/2026 11:07</t>
  </si>
  <si>
    <t>Raphael Di Pace Penna Soares</t>
  </si>
  <si>
    <t>43466773806</t>
  </si>
  <si>
    <t>raphael.penna@somagrupo.com.br</t>
  </si>
  <si>
    <t>5511963043773</t>
  </si>
  <si>
    <t>ef9b43a6977af9a1b2223858f2b61845</t>
  </si>
  <si>
    <t>ID-43466773806</t>
  </si>
  <si>
    <t>COM6A01E218EAD5D</t>
  </si>
  <si>
    <t>11/05/2026 11:05</t>
  </si>
  <si>
    <t>Ricardo Wagner</t>
  </si>
  <si>
    <t>19491038893</t>
  </si>
  <si>
    <t>rwagner@businessindicator.com</t>
  </si>
  <si>
    <t>5511937394753</t>
  </si>
  <si>
    <t>6fb19e153bbfd5a9a954e0c04911bdc1</t>
  </si>
  <si>
    <t>ID-19491038893</t>
  </si>
  <si>
    <t>COM6A01E1D8847A1</t>
  </si>
  <si>
    <t>11/05/2026 11:04</t>
  </si>
  <si>
    <t>Caio Montagner</t>
  </si>
  <si>
    <t>32228495875</t>
  </si>
  <si>
    <t>carmontagner@gmail.com</t>
  </si>
  <si>
    <t>5511989649338</t>
  </si>
  <si>
    <t>741a5bf4e260e774af4ca6dcea859c55</t>
  </si>
  <si>
    <t>ID-32228495875</t>
  </si>
  <si>
    <t>COM6A01E16668DEC</t>
  </si>
  <si>
    <t>11/05/2026 11:02</t>
  </si>
  <si>
    <t>532ed16ea9565fe8b07531a5daedc2bd</t>
  </si>
  <si>
    <t>COM6A01E0D6B4F7C</t>
  </si>
  <si>
    <t>11/05/2026 10:59</t>
  </si>
  <si>
    <t>2b6ff8ef49a77187a8a24b8625af6d45</t>
  </si>
  <si>
    <t>COM6A01E04511345</t>
  </si>
  <si>
    <t>11/05/2026 10:57</t>
  </si>
  <si>
    <t>Suellen Cylos Hoshino</t>
  </si>
  <si>
    <t>31605653861</t>
  </si>
  <si>
    <t>suhoshino@gmail.com</t>
  </si>
  <si>
    <t>5515997260868</t>
  </si>
  <si>
    <t>212c06fa1b36ddefaea4c8a1f8a02ecc</t>
  </si>
  <si>
    <t>ID-31605653861</t>
  </si>
  <si>
    <t>COM6A01E0006B54E</t>
  </si>
  <si>
    <t>11/05/2026 10:56</t>
  </si>
  <si>
    <t>GILSON ALVES DE SOUZA</t>
  </si>
  <si>
    <t>35649902836</t>
  </si>
  <si>
    <t>Gilsonp.souza@bradesco.com.br</t>
  </si>
  <si>
    <t>5511951012217</t>
  </si>
  <si>
    <t>fd63ef9927551bc692b46d98164f1ac8</t>
  </si>
  <si>
    <t>ID-35649902836</t>
  </si>
  <si>
    <t>COM6A01DF7C32E42</t>
  </si>
  <si>
    <t>11/05/2026 10:54</t>
  </si>
  <si>
    <t>Gabrielly do Nascimento Leite</t>
  </si>
  <si>
    <t>39778979855</t>
  </si>
  <si>
    <t>gabrielly.leite@itau-unibanco.com.br</t>
  </si>
  <si>
    <t>5511980353576</t>
  </si>
  <si>
    <t>b8ea6df17e1cb91ac4363c60e3093db1</t>
  </si>
  <si>
    <t>ID-39778979855</t>
  </si>
  <si>
    <t>COM6A01DF2A62AC0</t>
  </si>
  <si>
    <t>11/05/2026 10:52</t>
  </si>
  <si>
    <t>Aline Lello Corsini</t>
  </si>
  <si>
    <t>10797986685</t>
  </si>
  <si>
    <t>aline.lello@ifood.com.br</t>
  </si>
  <si>
    <t>5531983577615</t>
  </si>
  <si>
    <t>687531da10f549254b0a0bffa61064d6</t>
  </si>
  <si>
    <t>ID-10797986685</t>
  </si>
  <si>
    <t>COM6A01DEE078EC6</t>
  </si>
  <si>
    <t>11/05/2026 10:51</t>
  </si>
  <si>
    <t>Rafael crema Tobara</t>
  </si>
  <si>
    <t>31451396813</t>
  </si>
  <si>
    <t>Rafael.c.tobara@medtronic.com</t>
  </si>
  <si>
    <t>5511976696334</t>
  </si>
  <si>
    <t>b04084c4c21b6433f03a5c01ff7c6912</t>
  </si>
  <si>
    <t>ID-31451396813</t>
  </si>
  <si>
    <t>COM6A01D69E38FCA</t>
  </si>
  <si>
    <t>11/05/2026 10:16</t>
  </si>
  <si>
    <t>fe0b6ae9190be62b9bf734de3b6d0d5c</t>
  </si>
  <si>
    <t>COM6A01D3F6972AF</t>
  </si>
  <si>
    <t>11/05/2026 10:04</t>
  </si>
  <si>
    <t>Executive Program - 25 a 27 de Agosto de 2025</t>
  </si>
  <si>
    <t>executive-program-ed8a25</t>
  </si>
  <si>
    <t>Mônica Teruya</t>
  </si>
  <si>
    <t>61.064.911/0017-34</t>
  </si>
  <si>
    <t>CATERPILLAR BRASIL LTDA</t>
  </si>
  <si>
    <t>teruya_monica_m@cat.com</t>
  </si>
  <si>
    <t>5541992630626</t>
  </si>
  <si>
    <t>551921062100</t>
  </si>
  <si>
    <t>83606360</t>
  </si>
  <si>
    <t>EMA TANER DE ANDRADE</t>
  </si>
  <si>
    <t>792</t>
  </si>
  <si>
    <t>ILHA</t>
  </si>
  <si>
    <t>Campo Largo</t>
  </si>
  <si>
    <t>PR</t>
  </si>
  <si>
    <t>8314be957d8fbc062c181690bc45db25</t>
  </si>
  <si>
    <t>25/08/2025</t>
  </si>
  <si>
    <t>22/11/2024</t>
  </si>
  <si>
    <t>ID-61064911001734</t>
  </si>
  <si>
    <t>COM6A01C3B4D2B5F</t>
  </si>
  <si>
    <t>11/05/2026 08:55</t>
  </si>
  <si>
    <t>GM l Programa Tracks</t>
  </si>
  <si>
    <t>corporate-workshop-ed41a26</t>
  </si>
  <si>
    <t>Eloa Muciarone</t>
  </si>
  <si>
    <t>59.275.792/0001-50</t>
  </si>
  <si>
    <t>GENERAL MOTORS DO BRASIL LTDA</t>
  </si>
  <si>
    <t>eloa.muciarone@gm.com</t>
  </si>
  <si>
    <t>5511970648961</t>
  </si>
  <si>
    <t>551142345090</t>
  </si>
  <si>
    <t>09550050</t>
  </si>
  <si>
    <t>GOIAS</t>
  </si>
  <si>
    <t>1805</t>
  </si>
  <si>
    <t>SANTA PAULA</t>
  </si>
  <si>
    <t>São Caetano do Sul</t>
  </si>
  <si>
    <t>80358db6b3e26c72365fefd3bb331df4</t>
  </si>
  <si>
    <t>Felipe Frias Ceitlin</t>
  </si>
  <si>
    <t>18/08/2026</t>
  </si>
  <si>
    <t>26/07/2018</t>
  </si>
  <si>
    <t>ID-59275792000150</t>
  </si>
  <si>
    <t>ORDG3XYN7AY1XNJH</t>
  </si>
  <si>
    <t>10/05/2026 07:40</t>
  </si>
  <si>
    <t>10/05/2026</t>
  </si>
  <si>
    <t>28987210985IDJ05014C</t>
  </si>
  <si>
    <t>China Xperience - 29 de Junho a 03 de Julho de 2026</t>
  </si>
  <si>
    <t>china-xperience-ed5a26</t>
  </si>
  <si>
    <t>Daniele Araújo Salomão Castelo</t>
  </si>
  <si>
    <t>52406440397</t>
  </si>
  <si>
    <t>danielesalomaocastelo@gmail.com</t>
  </si>
  <si>
    <t>21968423859</t>
  </si>
  <si>
    <t>22290070</t>
  </si>
  <si>
    <t>Avenida Lauro Sodré</t>
  </si>
  <si>
    <t>150</t>
  </si>
  <si>
    <t>Apt 201 bloco 3</t>
  </si>
  <si>
    <t>Botafogo</t>
  </si>
  <si>
    <t>Rio de Janeiro</t>
  </si>
  <si>
    <t>RJ</t>
  </si>
  <si>
    <t>266028792ec2c54aaa50a54826bb0bba</t>
  </si>
  <si>
    <t>Off_China_DanieleS</t>
  </si>
  <si>
    <t>29/06/2026</t>
  </si>
  <si>
    <t>https://loja.startse.com.br//processamento/fatura/266028792ec2c54aaa50a54826bb0bba</t>
  </si>
  <si>
    <t>ID-52406440397</t>
  </si>
  <si>
    <t>COM69FFACEBAF7C2</t>
  </si>
  <si>
    <t>09/05/2026 18:53</t>
  </si>
  <si>
    <t>09/05/2026</t>
  </si>
  <si>
    <t>Maria Beatriz Violi Torrano</t>
  </si>
  <si>
    <t>41379040817</t>
  </si>
  <si>
    <t>beatriz.torrano@qitech.com.br</t>
  </si>
  <si>
    <t>5511998714949</t>
  </si>
  <si>
    <t>fbb676c64c6853bde722ef464a0ff7bd</t>
  </si>
  <si>
    <t>07/11/2024</t>
  </si>
  <si>
    <t>ID-41379040817</t>
  </si>
  <si>
    <t>COM69FFAC88DEEC4</t>
  </si>
  <si>
    <t>09/05/2026 18:52</t>
  </si>
  <si>
    <t>Kaique Bento</t>
  </si>
  <si>
    <t>02733949160</t>
  </si>
  <si>
    <t>Kaique.bento@qitech.com.br</t>
  </si>
  <si>
    <t>5511986446265</t>
  </si>
  <si>
    <t>98a59239fe7c2c2dc2d1f2d03955f7af</t>
  </si>
  <si>
    <t>ID-02733949160</t>
  </si>
  <si>
    <t>COM69FFAC09022BC</t>
  </si>
  <si>
    <t>09/05/2026 18:50</t>
  </si>
  <si>
    <t>Fernando Teixeira Rocha</t>
  </si>
  <si>
    <t>12135735809</t>
  </si>
  <si>
    <t>Fernando.teixeira@manserv.com.br</t>
  </si>
  <si>
    <t>5513996084800</t>
  </si>
  <si>
    <t>fa6adf1676482c715dac25b9f1b08d7f</t>
  </si>
  <si>
    <t>01/04/2026</t>
  </si>
  <si>
    <t>ID-12135735809</t>
  </si>
  <si>
    <t>COM69FFAB7527F39</t>
  </si>
  <si>
    <t>09/05/2026 18:47</t>
  </si>
  <si>
    <t>Cristiane Souza de Pinho Fratta</t>
  </si>
  <si>
    <t>33043735862</t>
  </si>
  <si>
    <t>crisfratta@hotmail.com</t>
  </si>
  <si>
    <t>5512999999093</t>
  </si>
  <si>
    <t>42d7ef5b14045f15c7860096dc2cafc1</t>
  </si>
  <si>
    <t>Bruna Freire Silva</t>
  </si>
  <si>
    <t>ID-33043735862</t>
  </si>
  <si>
    <t>COM69FFAA928634F</t>
  </si>
  <si>
    <t>09/05/2026 18:43</t>
  </si>
  <si>
    <t>Leonardo Vitor Araújo Cavalcanti</t>
  </si>
  <si>
    <t>01216629420</t>
  </si>
  <si>
    <t>Leonardo.cavalcanti@gmx.com</t>
  </si>
  <si>
    <t>5584988299917</t>
  </si>
  <si>
    <t>3b5e6afd2d410fd41d246aaf8e5b775d</t>
  </si>
  <si>
    <t>ID-01216629420</t>
  </si>
  <si>
    <t>COM69FFA9D5B8549</t>
  </si>
  <si>
    <t>09/05/2026 18:40</t>
  </si>
  <si>
    <t>Felipe Shaider de Souza</t>
  </si>
  <si>
    <t>41128025876</t>
  </si>
  <si>
    <t>Felipe.shaider@zarv.com</t>
  </si>
  <si>
    <t>551199957350</t>
  </si>
  <si>
    <t>1cea605883f2ac3d564d2c5a619cd394</t>
  </si>
  <si>
    <t>ID-41128025876</t>
  </si>
  <si>
    <t>COM69FFA906D9CB3</t>
  </si>
  <si>
    <t>09/05/2026 18:37</t>
  </si>
  <si>
    <t>Luiz Antônio Famelli Júnior</t>
  </si>
  <si>
    <t>34755647851</t>
  </si>
  <si>
    <t>Luiz.famelli@digio.com.br</t>
  </si>
  <si>
    <t>5511947928055</t>
  </si>
  <si>
    <t>82782a57321bab441b4c44f08464c007</t>
  </si>
  <si>
    <t>01/08/2022</t>
  </si>
  <si>
    <t>ID-34755647851</t>
  </si>
  <si>
    <t>COM69FFA86DEAC2A</t>
  </si>
  <si>
    <t>09/05/2026 18:34</t>
  </si>
  <si>
    <t>Carlos Eduardo da Costa</t>
  </si>
  <si>
    <t>39561530813</t>
  </si>
  <si>
    <t>Carlos.costa@digio.com.br</t>
  </si>
  <si>
    <t>5511958036847</t>
  </si>
  <si>
    <t>b35cab99c3d5f40a3eb8b7e751ef5d1d</t>
  </si>
  <si>
    <t>ID-39561530813</t>
  </si>
  <si>
    <t>COM69FFA7C007F70</t>
  </si>
  <si>
    <t>09/05/2026 18:31</t>
  </si>
  <si>
    <t>Alexandra Breda</t>
  </si>
  <si>
    <t>10394051858</t>
  </si>
  <si>
    <t>Alexandra.breda@ciriontechnologies.com</t>
  </si>
  <si>
    <t>5511996661077</t>
  </si>
  <si>
    <t>87fd643dedcf8f27ddd84eccb6e8e80d</t>
  </si>
  <si>
    <t>22/04/2024</t>
  </si>
  <si>
    <t>ID-10394051858</t>
  </si>
  <si>
    <t>COM69FFA73D7ECAC</t>
  </si>
  <si>
    <t>09/05/2026 18:29</t>
  </si>
  <si>
    <t>Mirela Fernandes</t>
  </si>
  <si>
    <t>42588257860</t>
  </si>
  <si>
    <t>mirela.fernandes@digibee.com</t>
  </si>
  <si>
    <t>551199945734</t>
  </si>
  <si>
    <t>aa6963130533d8cc6d1bdb67342cbd94</t>
  </si>
  <si>
    <t>ID-42588257860</t>
  </si>
  <si>
    <t>COM69FFA6C0C6396</t>
  </si>
  <si>
    <t>09/05/2026 18:27</t>
  </si>
  <si>
    <t>Ivan Ferreira</t>
  </si>
  <si>
    <t>36133509805</t>
  </si>
  <si>
    <t>ivan.ferreira@sensedia.com</t>
  </si>
  <si>
    <t>551199999911</t>
  </si>
  <si>
    <t>a60ac1886ae621636b6a74c48e18f3a4</t>
  </si>
  <si>
    <t>ID-36133509805</t>
  </si>
  <si>
    <t>COM69FFA3DB9B674</t>
  </si>
  <si>
    <t>09/05/2026 18:15</t>
  </si>
  <si>
    <t>Rodrigo Caldoncelli Carvalho</t>
  </si>
  <si>
    <t>15357421862</t>
  </si>
  <si>
    <t>caldoncelli@hotmail.com</t>
  </si>
  <si>
    <t>5511996594494</t>
  </si>
  <si>
    <t>007a2d484388d50dd7a02e07cda04e59</t>
  </si>
  <si>
    <t>22/01/2019</t>
  </si>
  <si>
    <t>ID-15357421862</t>
  </si>
  <si>
    <t>COM69FFA31A5D2D1</t>
  </si>
  <si>
    <t>09/05/2026 18:11</t>
  </si>
  <si>
    <t>Rafael Rodrigues</t>
  </si>
  <si>
    <t>03689079969</t>
  </si>
  <si>
    <t>rafael.rodrigues@renault.com</t>
  </si>
  <si>
    <t>551199999922</t>
  </si>
  <si>
    <t>48713a77105af3886786b1092b9a8789</t>
  </si>
  <si>
    <t>ID-03689079969</t>
  </si>
  <si>
    <t>COM69FFA292D291A</t>
  </si>
  <si>
    <t>09/05/2026 18:09</t>
  </si>
  <si>
    <t>Adriano Weber Scheeren</t>
  </si>
  <si>
    <t>52503259049</t>
  </si>
  <si>
    <t>adrianows@bb.com.br</t>
  </si>
  <si>
    <t>5561981033139</t>
  </si>
  <si>
    <t>a3e72331700e5113c79090d2c2d59198</t>
  </si>
  <si>
    <t>06/04/2024</t>
  </si>
  <si>
    <t>ID-52503259049</t>
  </si>
  <si>
    <t>COM69FFA2316DCFE</t>
  </si>
  <si>
    <t>09/05/2026 18:08</t>
  </si>
  <si>
    <t>Christine Fernanda Farah Floeter</t>
  </si>
  <si>
    <t>31747231835</t>
  </si>
  <si>
    <t>christine.floeter@bradescoseguros.com.br</t>
  </si>
  <si>
    <t>d25cfff46f9073e6b1a51623c29291f2</t>
  </si>
  <si>
    <t>ID-31747231835</t>
  </si>
  <si>
    <t>COM69FFA1AE30C1D</t>
  </si>
  <si>
    <t>09/05/2026 18:05</t>
  </si>
  <si>
    <t>Petherson Lacerda Maximiano</t>
  </si>
  <si>
    <t>05882513642</t>
  </si>
  <si>
    <t>petherson.lacerda@br.zurich.com</t>
  </si>
  <si>
    <t>553284711631</t>
  </si>
  <si>
    <t>98784b6ba1496c95483b67e238f94c76</t>
  </si>
  <si>
    <t>ID-05882513642</t>
  </si>
  <si>
    <t>COM69FFA11200340</t>
  </si>
  <si>
    <t>09/05/2026 18:03</t>
  </si>
  <si>
    <t>Tamissa Utescher</t>
  </si>
  <si>
    <t>32153777801</t>
  </si>
  <si>
    <t>tamissa.utescher@bradescoseguros.com.br</t>
  </si>
  <si>
    <t>551199999944</t>
  </si>
  <si>
    <t>d73b3e00e0220df4a28c384db9385250</t>
  </si>
  <si>
    <t>ID-32153777801</t>
  </si>
  <si>
    <t>COM69FFA026C0003</t>
  </si>
  <si>
    <t>09/05/2026 17:59</t>
  </si>
  <si>
    <t>Juliana Humgaro Fidelis</t>
  </si>
  <si>
    <t>32323449842</t>
  </si>
  <si>
    <t>jfidelis@careplus.com.br</t>
  </si>
  <si>
    <t>5511987634164</t>
  </si>
  <si>
    <t>55f6c9cfc513a6fc5a7bc34084d83bbc</t>
  </si>
  <si>
    <t>ID-32323449842</t>
  </si>
  <si>
    <t>COM69FF9FC409388</t>
  </si>
  <si>
    <t>09/05/2026 17:57</t>
  </si>
  <si>
    <t>Renato Rossi</t>
  </si>
  <si>
    <t>13350638899</t>
  </si>
  <si>
    <t>rrossi@careplus.com.br</t>
  </si>
  <si>
    <t>5511950434280</t>
  </si>
  <si>
    <t>de1c349dd7a0cf6acd1abb8c7f1a9ac1</t>
  </si>
  <si>
    <t>ID-13350638899</t>
  </si>
  <si>
    <t>COM69FF9F8681B97</t>
  </si>
  <si>
    <t>09/05/2026 17:56</t>
  </si>
  <si>
    <t>RAFAEL Fernando Vaz da Costa</t>
  </si>
  <si>
    <t>91004934300</t>
  </si>
  <si>
    <t>rafaelcosta@bnb.gov.br</t>
  </si>
  <si>
    <t>5585981928640</t>
  </si>
  <si>
    <t>3ca18ad818de93ad7f1d1f3de7a08215</t>
  </si>
  <si>
    <t>ID-91004934300</t>
  </si>
  <si>
    <t>COM69FF9E9555370</t>
  </si>
  <si>
    <t>09/05/2026 17:52</t>
  </si>
  <si>
    <t>Elton Da Silva</t>
  </si>
  <si>
    <t>11847885888</t>
  </si>
  <si>
    <t>elton.da.silva@msd.com</t>
  </si>
  <si>
    <t>5511999650030</t>
  </si>
  <si>
    <t>76b6c3c356395cdb640c96adefac7499</t>
  </si>
  <si>
    <t>24/10/2023</t>
  </si>
  <si>
    <t>ID-11847885888</t>
  </si>
  <si>
    <t>COM69FF9E25476DB</t>
  </si>
  <si>
    <t>09/05/2026 17:50</t>
  </si>
  <si>
    <t>Mateus Casanova Pereira</t>
  </si>
  <si>
    <t>98112139091</t>
  </si>
  <si>
    <t>Mateus.casanova@unicred.com.br</t>
  </si>
  <si>
    <t>5541996681893</t>
  </si>
  <si>
    <t>cd160ceaca8619dce5195b7e9497ebc7</t>
  </si>
  <si>
    <t>ID-98112139091</t>
  </si>
  <si>
    <t>COM69FF9DC2480CC</t>
  </si>
  <si>
    <t>09/05/2026 17:49</t>
  </si>
  <si>
    <t>Larissa Karlovic</t>
  </si>
  <si>
    <t>43454344832</t>
  </si>
  <si>
    <t>larissa.burgos@petlove.com.br</t>
  </si>
  <si>
    <t>d20a140a1d6a3b55bdad1f8fe67ba809</t>
  </si>
  <si>
    <t>ID-43454344832</t>
  </si>
  <si>
    <t>COM69FF9D3D26BE4</t>
  </si>
  <si>
    <t>09/05/2026 17:46</t>
  </si>
  <si>
    <t>Bruno Junqueira</t>
  </si>
  <si>
    <t>06363421667</t>
  </si>
  <si>
    <t>bruno.junqueira@petlove.com.br</t>
  </si>
  <si>
    <t>551199999977</t>
  </si>
  <si>
    <t>01f2b61ee468b00411cbb6e613317d8d</t>
  </si>
  <si>
    <t>ID-06363421667</t>
  </si>
  <si>
    <t>COM69FF9C77C9626</t>
  </si>
  <si>
    <t>09/05/2026 17:43</t>
  </si>
  <si>
    <t>Bruna Zuffo</t>
  </si>
  <si>
    <t>07357063950</t>
  </si>
  <si>
    <t>bruna.zuffo@petlove.com.br</t>
  </si>
  <si>
    <t>5511999999988</t>
  </si>
  <si>
    <t>e200c268a2478b7fef85e4a047481836</t>
  </si>
  <si>
    <t>ID-07357063950</t>
  </si>
  <si>
    <t>COM69FF9B7F8AD4D</t>
  </si>
  <si>
    <t>09/05/2026 17:39</t>
  </si>
  <si>
    <t>Tiago Dantas</t>
  </si>
  <si>
    <t>61.064.911/0001-77</t>
  </si>
  <si>
    <t>Tiago.Dantas@cat.com</t>
  </si>
  <si>
    <t>5519981298000</t>
  </si>
  <si>
    <t>13420900</t>
  </si>
  <si>
    <t>Rua Luiz de Queiroz Km 157</t>
  </si>
  <si>
    <t>S/N</t>
  </si>
  <si>
    <t>Km 157</t>
  </si>
  <si>
    <t>Unileste</t>
  </si>
  <si>
    <t>Piracicaba</t>
  </si>
  <si>
    <t>8f7d911299eca176744252854e4f00ec</t>
  </si>
  <si>
    <t>02/02/2024</t>
  </si>
  <si>
    <t>ID-61064911000177</t>
  </si>
  <si>
    <t>COM69FF9B3A5BB74</t>
  </si>
  <si>
    <t>09/05/2026 17:38</t>
  </si>
  <si>
    <t>David Hoareau</t>
  </si>
  <si>
    <t>23520266873</t>
  </si>
  <si>
    <t>dhoareau@obramax.com.br</t>
  </si>
  <si>
    <t>5511970282398</t>
  </si>
  <si>
    <t>c2068af703c9d7b339f35806a25c43e6</t>
  </si>
  <si>
    <t>ID-23520266873</t>
  </si>
  <si>
    <t>COM69FF9A72F20A7</t>
  </si>
  <si>
    <t>09/05/2026 17:34</t>
  </si>
  <si>
    <t>Sebastien Masclef</t>
  </si>
  <si>
    <t>23318426806</t>
  </si>
  <si>
    <t>smasclef@obramax.com.br</t>
  </si>
  <si>
    <t>5511973032052</t>
  </si>
  <si>
    <t>eb3f373d4e60255a5eafe62eaf043487</t>
  </si>
  <si>
    <t>ID-23318426806</t>
  </si>
  <si>
    <t>COM69FF9A21CB841</t>
  </si>
  <si>
    <t>09/05/2026 17:33</t>
  </si>
  <si>
    <t>Marcos Henrique Masuchi</t>
  </si>
  <si>
    <t>81029810087</t>
  </si>
  <si>
    <t>marcos.masuchi@creditas.com</t>
  </si>
  <si>
    <t>5511934362694</t>
  </si>
  <si>
    <t>9ad04ada352d35463030a8c4d737c106</t>
  </si>
  <si>
    <t>ID-81029810087</t>
  </si>
  <si>
    <t>ORDUR10MWDWCP2GU</t>
  </si>
  <si>
    <t>09/05/2026 16:33</t>
  </si>
  <si>
    <t>28974115835ICLAEO5IE</t>
  </si>
  <si>
    <t>Crédito à Vista</t>
  </si>
  <si>
    <t>RODRIGO VIEIRA GESSULLO</t>
  </si>
  <si>
    <t>36487028827</t>
  </si>
  <si>
    <t>rodrigo.gessullo@innovapharma.com</t>
  </si>
  <si>
    <t>11983895000</t>
  </si>
  <si>
    <t>04125060</t>
  </si>
  <si>
    <t>Rua Gabriel Dias</t>
  </si>
  <si>
    <t>26</t>
  </si>
  <si>
    <t>Vila Firmiano Pinto</t>
  </si>
  <si>
    <t>250edeb513502f3bcc77900ce07be83d</t>
  </si>
  <si>
    <t>off_rennova_aifestival</t>
  </si>
  <si>
    <t>ID-36487028827</t>
  </si>
  <si>
    <t>COM69FE45D77ECF1</t>
  </si>
  <si>
    <t>08/05/2026 17:21</t>
  </si>
  <si>
    <t>Fabricio Lira</t>
  </si>
  <si>
    <t>02895133751</t>
  </si>
  <si>
    <t>fabriciolira@br.ibm.com</t>
  </si>
  <si>
    <t>5521971914551</t>
  </si>
  <si>
    <t>8a86155c585aa7be1f92e19a5c89e0b1</t>
  </si>
  <si>
    <t>02/07/2022</t>
  </si>
  <si>
    <t>ID-02895133751</t>
  </si>
  <si>
    <t>COM69FE4562C5C12</t>
  </si>
  <si>
    <t>08/05/2026 17:19</t>
  </si>
  <si>
    <t>08/05/2026</t>
  </si>
  <si>
    <t>Cybele Bandeira Correia</t>
  </si>
  <si>
    <t>23144793353</t>
  </si>
  <si>
    <t>cybelel@bnb.gov.br</t>
  </si>
  <si>
    <t>5585988811220</t>
  </si>
  <si>
    <t>d4a7945cd5232f5e9a4f91839eddf5cb</t>
  </si>
  <si>
    <t>ID-23144793353</t>
  </si>
  <si>
    <t>COM69FE44A0136BB</t>
  </si>
  <si>
    <t>08/05/2026 17:16</t>
  </si>
  <si>
    <t>Luiz Fernando Rezende</t>
  </si>
  <si>
    <t>01398238759</t>
  </si>
  <si>
    <t>lrezende@deloitte.com</t>
  </si>
  <si>
    <t>5511964708307</t>
  </si>
  <si>
    <t>5d30c569a824c2f0de791a318ab52bf3</t>
  </si>
  <si>
    <t>ID-01398238759</t>
  </si>
  <si>
    <t>COM69FE437406E1E</t>
  </si>
  <si>
    <t>08/05/2026 17:11</t>
  </si>
  <si>
    <t>José Steffen</t>
  </si>
  <si>
    <t>jose.steffen@ciahering.com.br</t>
  </si>
  <si>
    <t>5551992786463</t>
  </si>
  <si>
    <t>66bf9e80d92ce0d782528803ced597b7</t>
  </si>
  <si>
    <t>COM69FE39F90E630</t>
  </si>
  <si>
    <t>08/05/2026 16:31</t>
  </si>
  <si>
    <t>Renato BarbosaRenato Barbosa</t>
  </si>
  <si>
    <t>36170415827</t>
  </si>
  <si>
    <t>renato.barbosa@starbem.app</t>
  </si>
  <si>
    <t>5511989064335</t>
  </si>
  <si>
    <t>659f36088277c54769cc4b0431ccc5e3</t>
  </si>
  <si>
    <t>ID-36170415827</t>
  </si>
  <si>
    <t>COM69FE394571826</t>
  </si>
  <si>
    <t>08/05/2026 16:28</t>
  </si>
  <si>
    <t>MICAEL Gomes Rodrigues</t>
  </si>
  <si>
    <t>65658701368</t>
  </si>
  <si>
    <t>micael@bnb.gov.br</t>
  </si>
  <si>
    <t>5588999227251</t>
  </si>
  <si>
    <t>6f7b400af019be6da5ee6dc36b435775</t>
  </si>
  <si>
    <t>ID-65658701368</t>
  </si>
  <si>
    <t>COM69FE37AEF3C85</t>
  </si>
  <si>
    <t>08/05/2026 16:21</t>
  </si>
  <si>
    <t>Vinícius Paiva Galhardo</t>
  </si>
  <si>
    <t>04977706609</t>
  </si>
  <si>
    <t>vinicius.galhardo@tjmt.jus.br</t>
  </si>
  <si>
    <t>5565999081607</t>
  </si>
  <si>
    <t>8302c27eb4bc7fc8a2e62be7e49ea248</t>
  </si>
  <si>
    <t>ID-04977706609</t>
  </si>
  <si>
    <t>COM69FE3706A76B9</t>
  </si>
  <si>
    <t>08/05/2026 16:18</t>
  </si>
  <si>
    <t>Michell Lotfi Rocha da Silva</t>
  </si>
  <si>
    <t>57093229115</t>
  </si>
  <si>
    <t>michell.silva@tjmt.jus.br</t>
  </si>
  <si>
    <t>5566981111800</t>
  </si>
  <si>
    <t>021db3e36c8f2ec2a42e2d4dc50aa70c</t>
  </si>
  <si>
    <t>ID-57093229115</t>
  </si>
  <si>
    <t>COM69FE359193871</t>
  </si>
  <si>
    <t>08/05/2026 16:12</t>
  </si>
  <si>
    <t>Isabelli Gonçalves Luzia</t>
  </si>
  <si>
    <t>38203368859</t>
  </si>
  <si>
    <t>Isabelli.luzia@bradescoseguros.com.br</t>
  </si>
  <si>
    <t>5511999457350</t>
  </si>
  <si>
    <t>243608b36a353254a95f979624a79596</t>
  </si>
  <si>
    <t>ID-38203368859</t>
  </si>
  <si>
    <t>COM69FE33E95F37D</t>
  </si>
  <si>
    <t>08/05/2026 16:05</t>
  </si>
  <si>
    <t>Jorge Alexandre Martins Ferreira</t>
  </si>
  <si>
    <t>49546333115</t>
  </si>
  <si>
    <t>jorgealexandre.ferreira@tjmt.jus.br</t>
  </si>
  <si>
    <t>e2c183ea2b8487b5812e2d5b2f0ab6c0</t>
  </si>
  <si>
    <t>ID-49546333115</t>
  </si>
  <si>
    <t>COM69FE338C51526</t>
  </si>
  <si>
    <t>08/05/2026 16:03</t>
  </si>
  <si>
    <t>Luiz Octavio O. Saboia Ribeiro</t>
  </si>
  <si>
    <t>56981929104</t>
  </si>
  <si>
    <t>luiz.saboia@tjmt.jus.br</t>
  </si>
  <si>
    <t>5565999937100</t>
  </si>
  <si>
    <t>1394d043207504b5d05d2ae6ef37d4d1</t>
  </si>
  <si>
    <t>ID-56981929104</t>
  </si>
  <si>
    <t>COM69FE331EDD63F</t>
  </si>
  <si>
    <t>08/05/2026 16:01</t>
  </si>
  <si>
    <t>Patrícia Ferraz</t>
  </si>
  <si>
    <t>09293605759</t>
  </si>
  <si>
    <t>PatriciaFerraz@natura.net</t>
  </si>
  <si>
    <t>58cb9f37392373c158a5554b6d3253d3</t>
  </si>
  <si>
    <t>25/03/2026</t>
  </si>
  <si>
    <t>ID-09293605759</t>
  </si>
  <si>
    <t>COM69FE32CE7F4AA</t>
  </si>
  <si>
    <t>08/05/2026 16:00</t>
  </si>
  <si>
    <t>Fernanda Demarque</t>
  </si>
  <si>
    <t>34733847807</t>
  </si>
  <si>
    <t>FernandaDemarque@natura.net</t>
  </si>
  <si>
    <t>c8fdbf1e9dd8dc2a640cff385ed7276d</t>
  </si>
  <si>
    <t>ID-34733847807</t>
  </si>
  <si>
    <t>COM69FE328724634</t>
  </si>
  <si>
    <t>08/05/2026 15:59</t>
  </si>
  <si>
    <t>Daniela Cabral Pereira</t>
  </si>
  <si>
    <t>29046028879</t>
  </si>
  <si>
    <t>Daniela.cabral@natura.net</t>
  </si>
  <si>
    <t>88227bf7b8ae687d285d96b87d1df718</t>
  </si>
  <si>
    <t>ID-29046028879</t>
  </si>
  <si>
    <t>COM69FE3201D1C63</t>
  </si>
  <si>
    <t>08/05/2026 15:57</t>
  </si>
  <si>
    <t>02549002750</t>
  </si>
  <si>
    <t>a1f9a40d79f8b4d5c1e48bac21514043</t>
  </si>
  <si>
    <t>ID-02549002750</t>
  </si>
  <si>
    <t>COM69FE31AB4665C</t>
  </si>
  <si>
    <t>08/05/2026 15:55</t>
  </si>
  <si>
    <t>Bruna Argento de Almeida</t>
  </si>
  <si>
    <t>16594253794</t>
  </si>
  <si>
    <t>bruna.argento@btgpactual.com</t>
  </si>
  <si>
    <t>585a93bba21c7a06d8c0ed84ab0050f6</t>
  </si>
  <si>
    <t>ID-16594253794</t>
  </si>
  <si>
    <t>COM69FE3163AE8CE</t>
  </si>
  <si>
    <t>08/05/2026 15:54</t>
  </si>
  <si>
    <t>Nozomu Niwa</t>
  </si>
  <si>
    <t>19147561858</t>
  </si>
  <si>
    <t>nozomu.niwa@btgpactual.com</t>
  </si>
  <si>
    <t>44e76949a34bda4c5987a0212d4e9ab9</t>
  </si>
  <si>
    <t>ID-19147561858</t>
  </si>
  <si>
    <t>COM69FE3101ADA2C</t>
  </si>
  <si>
    <t>08/05/2026 15:52</t>
  </si>
  <si>
    <t>Monalisa Alcantara</t>
  </si>
  <si>
    <t>23012449892</t>
  </si>
  <si>
    <t>monalisa.alcantara@tecnobank.com.br</t>
  </si>
  <si>
    <t>5511941717870</t>
  </si>
  <si>
    <t>6a9b8fd893fc36f5b18221552c76d28f</t>
  </si>
  <si>
    <t>08/05/2025</t>
  </si>
  <si>
    <t>ID-23012449892</t>
  </si>
  <si>
    <t>COM69FE207605BD0</t>
  </si>
  <si>
    <t>08/05/2026 14:42</t>
  </si>
  <si>
    <t>5511336787001</t>
  </si>
  <si>
    <t>Evento: 50371042 - 1 Ingresso Interactive</t>
  </si>
  <si>
    <t>c2c24dfd2e51e5100ab2cdb6d85981d9</t>
  </si>
  <si>
    <t>ORD8LQ1GH2C1Z176</t>
  </si>
  <si>
    <t>08/05/2026 14:28</t>
  </si>
  <si>
    <t>PIX</t>
  </si>
  <si>
    <t>pix</t>
  </si>
  <si>
    <t>Felipe Brito de Souza Alves</t>
  </si>
  <si>
    <t>29735518899</t>
  </si>
  <si>
    <t>felipebsa@gmail.com</t>
  </si>
  <si>
    <t>74988583137</t>
  </si>
  <si>
    <t>47240000</t>
  </si>
  <si>
    <t>Rua Mario Lins</t>
  </si>
  <si>
    <t>198</t>
  </si>
  <si>
    <t>Centro</t>
  </si>
  <si>
    <t>Pilão Arcado</t>
  </si>
  <si>
    <t>BA</t>
  </si>
  <si>
    <t>adfc94240426f5dbfe8de8876749417b</t>
  </si>
  <si>
    <t>OFF_VC_AIFESTIVAL_STARTSE</t>
  </si>
  <si>
    <t>09/04/2025</t>
  </si>
  <si>
    <t>ID-29735518899</t>
  </si>
  <si>
    <t>COM69FDF49319E77</t>
  </si>
  <si>
    <t>08/05/2026 11:34</t>
  </si>
  <si>
    <t>JOSENILDO FEIJO DA SILVA</t>
  </si>
  <si>
    <t>50010603468</t>
  </si>
  <si>
    <t>josenildo.silva@sfiemt.ind.br</t>
  </si>
  <si>
    <t>551199998755</t>
  </si>
  <si>
    <t>9c519ce6f16653efa2a9f3d9baff7e38</t>
  </si>
  <si>
    <t>ID-50010603468</t>
  </si>
  <si>
    <t>COM69FDD56F41287</t>
  </si>
  <si>
    <t>08/05/2026 09:22</t>
  </si>
  <si>
    <t>AI para Negócios - Imersão Presencial -  10 e 11 de Junho de 2026</t>
  </si>
  <si>
    <t>imersao-presencial-de-ai-ed10a26</t>
  </si>
  <si>
    <t>Adelita M Rauber</t>
  </si>
  <si>
    <t>23.623.741/0001-24</t>
  </si>
  <si>
    <t>FEDERACAO BRASILEIRA DAS ASSOCIACOES DOS DISTRIBUIDORES DOS PRODUTOS HEINEKEN BRASIL - FEBRADISK</t>
  </si>
  <si>
    <t>febradisk@febradisk.com.br</t>
  </si>
  <si>
    <t>5555984089280</t>
  </si>
  <si>
    <t>551197731008</t>
  </si>
  <si>
    <t>13211223</t>
  </si>
  <si>
    <t>JOAO ANTONIO MECCATTI</t>
  </si>
  <si>
    <t>1601</t>
  </si>
  <si>
    <t>GALPAO1 SALA B</t>
  </si>
  <si>
    <t>CASA BRANCA</t>
  </si>
  <si>
    <t>Jundiaí</t>
  </si>
  <si>
    <t>AI para Negócios - Imersão Presencial - 10 e 11 de Junho de 2026</t>
  </si>
  <si>
    <t>a0b9e73bc06f5cae9e3080f83d380cdf</t>
  </si>
  <si>
    <t>10/06/2026</t>
  </si>
  <si>
    <t>ID-23623741000124</t>
  </si>
  <si>
    <t>COM69FDD40E26808</t>
  </si>
  <si>
    <t>08/05/2026 09:16</t>
  </si>
  <si>
    <t>Maria Clara Bravin Farias</t>
  </si>
  <si>
    <t>05.524.572/0001-93</t>
  </si>
  <si>
    <t>ICONIC LUBRIFICANTES S.A.</t>
  </si>
  <si>
    <t>maria.cfarias@iconic.com.br</t>
  </si>
  <si>
    <t>5521986458233</t>
  </si>
  <si>
    <t>552125105925</t>
  </si>
  <si>
    <t>22640102</t>
  </si>
  <si>
    <t>DAS AMERICAS</t>
  </si>
  <si>
    <t>03434</t>
  </si>
  <si>
    <t>BLC 7 4 ANDAR SALAS 401 A 408</t>
  </si>
  <si>
    <t>BARRA DA TIJUCA</t>
  </si>
  <si>
    <t>78b4b0ef343a48e410dfaf13dd743d22</t>
  </si>
  <si>
    <t>17/05/2022</t>
  </si>
  <si>
    <t>ID-05524572000193</t>
  </si>
  <si>
    <t>COM69FDCECD3DFFB</t>
  </si>
  <si>
    <t>08/05/2026 08:53</t>
  </si>
  <si>
    <t>Alexandre Gonçalves</t>
  </si>
  <si>
    <t>17766955857</t>
  </si>
  <si>
    <t>goncalves_alexandre_s@cat.com</t>
  </si>
  <si>
    <t>5519983485590</t>
  </si>
  <si>
    <t>904405291641f2811a30c3e3e5459353</t>
  </si>
  <si>
    <t>ID-17766955857</t>
  </si>
  <si>
    <t>COM69FCFF8060282</t>
  </si>
  <si>
    <t>07/05/2026 18:09</t>
  </si>
  <si>
    <t>07/05/2026</t>
  </si>
  <si>
    <t>Alex Matilha</t>
  </si>
  <si>
    <t>29083525830</t>
  </si>
  <si>
    <t>Alex.matilha@arcelormittal.com.br</t>
  </si>
  <si>
    <t>5527992345575</t>
  </si>
  <si>
    <t>1f75e39e0580863a77b8ace6202e24e9</t>
  </si>
  <si>
    <t>ID-29083525830</t>
  </si>
  <si>
    <t>COM69FCF497970EE</t>
  </si>
  <si>
    <t>07/05/2026 17:22</t>
  </si>
  <si>
    <t>Melissa Antunes Moreira</t>
  </si>
  <si>
    <t>11.417.016/0001-10</t>
  </si>
  <si>
    <t>SCANIA BANCO S.A.</t>
  </si>
  <si>
    <t>melissa.moreira@scania.com</t>
  </si>
  <si>
    <t>5511992261543</t>
  </si>
  <si>
    <t>551132140820</t>
  </si>
  <si>
    <t>09810000</t>
  </si>
  <si>
    <t>JOSE ODORIZZI</t>
  </si>
  <si>
    <t>151</t>
  </si>
  <si>
    <t>VILA EURO</t>
  </si>
  <si>
    <t>São Bernardo do Campo</t>
  </si>
  <si>
    <t>57092a94fd2eff2c32aff182c165f427</t>
  </si>
  <si>
    <t>28/03/2024</t>
  </si>
  <si>
    <t>ID-11417016000110</t>
  </si>
  <si>
    <t>COM69FCF3F933BB3</t>
  </si>
  <si>
    <t>07/05/2026 17:20</t>
  </si>
  <si>
    <t>96.479.258/0001-91</t>
  </si>
  <si>
    <t>SCANIA ADMINISTRADORA DE CONSORCIOS LTDA</t>
  </si>
  <si>
    <t>551141026160</t>
  </si>
  <si>
    <t>09810902</t>
  </si>
  <si>
    <t>ASSUNCAO</t>
  </si>
  <si>
    <t>6a572ff51c4a40353d5ab5c2805ab900</t>
  </si>
  <si>
    <t>29/10/2024</t>
  </si>
  <si>
    <t>ID-96479258000191</t>
  </si>
  <si>
    <t>COM69FCE4C213474</t>
  </si>
  <si>
    <t>07/05/2026 16:15</t>
  </si>
  <si>
    <t>Elaine Domingos</t>
  </si>
  <si>
    <t>61.198.164/0001-60</t>
  </si>
  <si>
    <t>PORTO SEGURO COMPANHIA DE SEGUROS GERAIS</t>
  </si>
  <si>
    <t>elaine.domingos@portoseguro.com.br</t>
  </si>
  <si>
    <t>5511966558926</t>
  </si>
  <si>
    <t>551123936762</t>
  </si>
  <si>
    <t>01205001</t>
  </si>
  <si>
    <t>RIO BRANCO</t>
  </si>
  <si>
    <t>1489</t>
  </si>
  <si>
    <t>RUA GUAIANASES, 1238</t>
  </si>
  <si>
    <t>CAMPOS ELISEOS</t>
  </si>
  <si>
    <t>fc76bf785990f5f7a6114cb9a383deb9</t>
  </si>
  <si>
    <t>19/06/2017</t>
  </si>
  <si>
    <t>ID-61198164000160</t>
  </si>
  <si>
    <t>COM69FCD85AA3C1E</t>
  </si>
  <si>
    <t>07/05/2026 15:22</t>
  </si>
  <si>
    <t>Augusto Guimarães</t>
  </si>
  <si>
    <t>02073441670</t>
  </si>
  <si>
    <t>Augusto.guimares@martins.com.br</t>
  </si>
  <si>
    <t>5534996314244</t>
  </si>
  <si>
    <t>8f59b83419c2abc52aba93fcf0c37f2b</t>
  </si>
  <si>
    <t>ID-02073441670</t>
  </si>
  <si>
    <t>COM69FCD76D5072F</t>
  </si>
  <si>
    <t>07/05/2026 15:18</t>
  </si>
  <si>
    <t>Fabíola Galante Zampieri</t>
  </si>
  <si>
    <t>31019414820</t>
  </si>
  <si>
    <t>fabi.g.zampieri@medtronic.com</t>
  </si>
  <si>
    <t>5511993117185</t>
  </si>
  <si>
    <t>48c4ac40731d53619bbc1abea50bed2d</t>
  </si>
  <si>
    <t>ID-31019414820</t>
  </si>
  <si>
    <t>COM69FCD6177F184</t>
  </si>
  <si>
    <t>07/05/2026 15:12</t>
  </si>
  <si>
    <t>Vinicius da Silva Rodrigues</t>
  </si>
  <si>
    <t>05972886669</t>
  </si>
  <si>
    <t>vinicius.rodrigues@sebraemg.com.br</t>
  </si>
  <si>
    <t>551199999993</t>
  </si>
  <si>
    <t>c347eb637c9e48eee7fdc706e3ffe7ba</t>
  </si>
  <si>
    <t>ID-05972886669</t>
  </si>
  <si>
    <t>COM69FCB6DA6C8CB</t>
  </si>
  <si>
    <t>07/05/2026 12:59</t>
  </si>
  <si>
    <t>Carlos Eduardo Nahssen Maselli</t>
  </si>
  <si>
    <t>38879121871</t>
  </si>
  <si>
    <t>Carlos.maselli@volkswagen.com.br</t>
  </si>
  <si>
    <t>5511996859555</t>
  </si>
  <si>
    <t>76479d60bf072c241e6ec793fc5cca62</t>
  </si>
  <si>
    <t>ID-38879121871</t>
  </si>
  <si>
    <t>COM69FCB6856B27E</t>
  </si>
  <si>
    <t>07/05/2026 12:57</t>
  </si>
  <si>
    <t>Diego Dionisio Carbonari da Silva</t>
  </si>
  <si>
    <t>34744161898</t>
  </si>
  <si>
    <t>Diego.silva@volkswagen.com.br</t>
  </si>
  <si>
    <t>5511994206668</t>
  </si>
  <si>
    <t>11b49c09ffc848b686ccea7db5efeadf</t>
  </si>
  <si>
    <t>ID-34744161898</t>
  </si>
  <si>
    <t>COM69FCB37E318E4</t>
  </si>
  <si>
    <t>07/05/2026 12:45</t>
  </si>
  <si>
    <t>Paloma Camargo Antonio</t>
  </si>
  <si>
    <t>28362638818</t>
  </si>
  <si>
    <t>abfm@abfm.com.br</t>
  </si>
  <si>
    <t>5511943936547</t>
  </si>
  <si>
    <t>6866cb1232ee432a007900e4c532b7bf</t>
  </si>
  <si>
    <t>ID-28362638818</t>
  </si>
  <si>
    <t>COM69FCB2E574D40</t>
  </si>
  <si>
    <t>07/05/2026 12:42</t>
  </si>
  <si>
    <t>Mauricio candi</t>
  </si>
  <si>
    <t>37734101828</t>
  </si>
  <si>
    <t>Mauricio@rojemac.com.br</t>
  </si>
  <si>
    <t>5511996860504</t>
  </si>
  <si>
    <t>dee8e69d72e6fb6990eb27fd7b37745d</t>
  </si>
  <si>
    <t>31/07/2025</t>
  </si>
  <si>
    <t>ID-37734101828</t>
  </si>
  <si>
    <t>COM69FCAF8ECD4DE</t>
  </si>
  <si>
    <t>07/05/2026 12:28</t>
  </si>
  <si>
    <t>Caio Junqueira Volpe</t>
  </si>
  <si>
    <t>37095247846</t>
  </si>
  <si>
    <t>caio.volpe@dell.com</t>
  </si>
  <si>
    <t>5511988551115</t>
  </si>
  <si>
    <t>9b283c59bdca7eb68f338c0cfbfdd4c7</t>
  </si>
  <si>
    <t>ID-37095247846</t>
  </si>
  <si>
    <t>COM69FCAF2C238B2</t>
  </si>
  <si>
    <t>07/05/2026 12:26</t>
  </si>
  <si>
    <t>Thiago Mathias Cunha</t>
  </si>
  <si>
    <t>00862558000</t>
  </si>
  <si>
    <t>t.cunha@dell.com</t>
  </si>
  <si>
    <t>5511950373740</t>
  </si>
  <si>
    <t>0e51d84a425a5e612848acb30185ae34</t>
  </si>
  <si>
    <t>ID-00862558000</t>
  </si>
  <si>
    <t>COM69FCAEC37240E</t>
  </si>
  <si>
    <t>07/05/2026 12:24</t>
  </si>
  <si>
    <t>Julian Andrew Hoche</t>
  </si>
  <si>
    <t>33048079858</t>
  </si>
  <si>
    <t>julian.andrew@dafiti.com.br</t>
  </si>
  <si>
    <t>5511997912519</t>
  </si>
  <si>
    <t>e5aa34c15b9fee66d7dfe4a14fb6a3d4</t>
  </si>
  <si>
    <t>ID-33048079858</t>
  </si>
  <si>
    <t>COM69FCAE51A99EF</t>
  </si>
  <si>
    <t>07/05/2026 12:22</t>
  </si>
  <si>
    <t>Maria Luisa Carrasco Chiconello</t>
  </si>
  <si>
    <t>44311162812</t>
  </si>
  <si>
    <t>maria.chiconello@dafiti.com.br</t>
  </si>
  <si>
    <t>5519998091212</t>
  </si>
  <si>
    <t>55d8e4734cc0d8cf0e1406feb856520c</t>
  </si>
  <si>
    <t>ID-44311162812</t>
  </si>
  <si>
    <t>COM69FCAA5897E80</t>
  </si>
  <si>
    <t>07/05/2026 12:06</t>
  </si>
  <si>
    <t>Monica Paula</t>
  </si>
  <si>
    <t>31226377823</t>
  </si>
  <si>
    <t>monica.paula@decathlon.com</t>
  </si>
  <si>
    <t>5511994313374</t>
  </si>
  <si>
    <t>0b311e6d0fbeb83f6bbc4f6d4eedc8ef</t>
  </si>
  <si>
    <t>ID-31226377823</t>
  </si>
  <si>
    <t>COM69FCA985A8EEA</t>
  </si>
  <si>
    <t>07/05/2026 12:02</t>
  </si>
  <si>
    <t>Larissa Pache Pechtoll</t>
  </si>
  <si>
    <t>36339882897</t>
  </si>
  <si>
    <t>larissa.pechtoll@plurix.com</t>
  </si>
  <si>
    <t>5511991600667</t>
  </si>
  <si>
    <t>11b60e2c565fd92bd3cebffdcde40778</t>
  </si>
  <si>
    <t>02/08/2024</t>
  </si>
  <si>
    <t>ID-36339882897</t>
  </si>
  <si>
    <t>COM69FCA93A1711A</t>
  </si>
  <si>
    <t>07/05/2026 12:01</t>
  </si>
  <si>
    <t>Luiz Claudio Monta Rossi</t>
  </si>
  <si>
    <t>30388560886</t>
  </si>
  <si>
    <t>luiz.rossi@vr.com.br</t>
  </si>
  <si>
    <t>5511995125279</t>
  </si>
  <si>
    <t>6849e67334a9caa2366abdf306e0b25c</t>
  </si>
  <si>
    <t>ID-30388560886</t>
  </si>
  <si>
    <t>COM69FCA89822E6F</t>
  </si>
  <si>
    <t>07/05/2026 11:58</t>
  </si>
  <si>
    <t>MIchella D Epiro Turim</t>
  </si>
  <si>
    <t>22794767895</t>
  </si>
  <si>
    <t>MIchella.turim@ifood.com.br</t>
  </si>
  <si>
    <t>5511981632199</t>
  </si>
  <si>
    <t>9c9c02bb3a6dd077591b34a16fae2ef1</t>
  </si>
  <si>
    <t>ID-22794767895</t>
  </si>
  <si>
    <t>COM69FCA8157D694</t>
  </si>
  <si>
    <t>07/05/2026 11:56</t>
  </si>
  <si>
    <t>5511912131610</t>
  </si>
  <si>
    <t>477166e2fb6864adca711763ba2d4235</t>
  </si>
  <si>
    <t>COM69FCA78F2A6D1</t>
  </si>
  <si>
    <t>07/05/2026 11:54</t>
  </si>
  <si>
    <t>Mauricio Gonzalez Nardelli</t>
  </si>
  <si>
    <t>31004547153</t>
  </si>
  <si>
    <t>mauricionardelli@correios.com.br</t>
  </si>
  <si>
    <t>5561992926084</t>
  </si>
  <si>
    <t>5a7364c6753549b729f1fb3fbf8b7f7e</t>
  </si>
  <si>
    <t>ID-31004547153</t>
  </si>
  <si>
    <t>COM69FCA708808CA</t>
  </si>
  <si>
    <t>07/05/2026 11:51</t>
  </si>
  <si>
    <t>Natalia Teles da Mota</t>
  </si>
  <si>
    <t>99525887120</t>
  </si>
  <si>
    <t>natalia.mota@correios.com.br</t>
  </si>
  <si>
    <t>5561984254054</t>
  </si>
  <si>
    <t>9c1e4c7a47d0912d7c5a62080daa67d2</t>
  </si>
  <si>
    <t>ID-99525887120</t>
  </si>
  <si>
    <t>COM69FCA5ECAAD7A</t>
  </si>
  <si>
    <t>07/05/2026 11:47</t>
  </si>
  <si>
    <t>EVALDO TADEU GOMES ROSA</t>
  </si>
  <si>
    <t>57143722120</t>
  </si>
  <si>
    <t>evaldo.rosa@sfiemt.ind.br</t>
  </si>
  <si>
    <t>5511941717878</t>
  </si>
  <si>
    <t>20b1984eccf6ec33b487d00a062c9a11</t>
  </si>
  <si>
    <t>ID-57143722120</t>
  </si>
  <si>
    <t>COM69FC9FC3E7DCD</t>
  </si>
  <si>
    <t>07/05/2026 11:20</t>
  </si>
  <si>
    <t>Aldo Souza</t>
  </si>
  <si>
    <t>42151961087</t>
  </si>
  <si>
    <t>aldo.souza@febradisk.com.br</t>
  </si>
  <si>
    <t>5511995494518</t>
  </si>
  <si>
    <t>8dfdd52c3b2184964c670645ae94c28c</t>
  </si>
  <si>
    <t>ID-42151961087</t>
  </si>
  <si>
    <t>COM69FC9A27AA608</t>
  </si>
  <si>
    <t>07/05/2026 10:56</t>
  </si>
  <si>
    <t>Elisa Nunes Fróes</t>
  </si>
  <si>
    <t>03294507607</t>
  </si>
  <si>
    <t>Elisa.froes@sebraemg.com.br</t>
  </si>
  <si>
    <t>551199999991</t>
  </si>
  <si>
    <t>129e8cb82863c647998b5a5f1335e330</t>
  </si>
  <si>
    <t>ID-03294507607</t>
  </si>
  <si>
    <t>COM69FC967BE5DBC</t>
  </si>
  <si>
    <t>07/05/2026 10:41</t>
  </si>
  <si>
    <t>Carlos Kazunari Takahashi</t>
  </si>
  <si>
    <t>37439524837</t>
  </si>
  <si>
    <t>carloskt@sebraesp.com.br</t>
  </si>
  <si>
    <t>551199999999</t>
  </si>
  <si>
    <t>3b68a3d8696d8de37dfbd5e9ba09d833</t>
  </si>
  <si>
    <t>ID-37439524837</t>
  </si>
  <si>
    <t>COM69FC95ACDAC28</t>
  </si>
  <si>
    <t>07/05/2026 10:37</t>
  </si>
  <si>
    <t>ca3036229cc809aa64e43c287e888a3c</t>
  </si>
  <si>
    <t>COM69FC952AAE0D5</t>
  </si>
  <si>
    <t>07/05/2026 10:35</t>
  </si>
  <si>
    <t>Juliana Frata</t>
  </si>
  <si>
    <t>33087937843</t>
  </si>
  <si>
    <t>juliana.frata@basf.com</t>
  </si>
  <si>
    <t>5511995390265</t>
  </si>
  <si>
    <t>d01f65aed104195eee8c51f7ea7367aa</t>
  </si>
  <si>
    <t>ID-33087937843</t>
  </si>
  <si>
    <t>COM69FC94B9CE7FD</t>
  </si>
  <si>
    <t>07/05/2026 10:33</t>
  </si>
  <si>
    <t>Ana Somense</t>
  </si>
  <si>
    <t>30709256850</t>
  </si>
  <si>
    <t>ana.somense@camil.com.br</t>
  </si>
  <si>
    <t>5513991467189</t>
  </si>
  <si>
    <t>2f0c6e9916bc04ffeaa14ca8a7a79284</t>
  </si>
  <si>
    <t>ID-30709256850</t>
  </si>
  <si>
    <t>COM69FBD068B42C1</t>
  </si>
  <si>
    <t>06/05/2026 20:36</t>
  </si>
  <si>
    <t>StartSe Board Program - Turma 16 - 2026</t>
  </si>
  <si>
    <t>board-program-ed4a26</t>
  </si>
  <si>
    <t>Itallo Adriano Rocha</t>
  </si>
  <si>
    <t>21249189829</t>
  </si>
  <si>
    <t>itallo.rocha@spcbrasil.com.br</t>
  </si>
  <si>
    <t>5511973262846</t>
  </si>
  <si>
    <t>0b9ad50b1ceff685da393c76caf9e0f4</t>
  </si>
  <si>
    <t>26/10/2026</t>
  </si>
  <si>
    <t>19/12/2025</t>
  </si>
  <si>
    <t>ID-21249189829</t>
  </si>
  <si>
    <t>COM69FBA374D6CE6</t>
  </si>
  <si>
    <t>06/05/2026 17:24</t>
  </si>
  <si>
    <t>13</t>
  </si>
  <si>
    <t>Mariana Geisel Martins</t>
  </si>
  <si>
    <t>61.186.680/0001-74</t>
  </si>
  <si>
    <t>BANCO BMG S.A</t>
  </si>
  <si>
    <t>mariana.geisel@bancobmg.com.br</t>
  </si>
  <si>
    <t>5531988930880</t>
  </si>
  <si>
    <t>551128477486</t>
  </si>
  <si>
    <t>04543900</t>
  </si>
  <si>
    <t>PRES JUSCELINO KUBITSCHEK</t>
  </si>
  <si>
    <t>1830</t>
  </si>
  <si>
    <t>ANDAR 9 10 14 SALA 94 101 102 103</t>
  </si>
  <si>
    <t>VILA NOVA CONCEICAO</t>
  </si>
  <si>
    <t>13 ingressos Festival AI - Categoria Interactive</t>
  </si>
  <si>
    <t>eec4eb6d15514f8f92b608c7da488aa6</t>
  </si>
  <si>
    <t>07/08/2017</t>
  </si>
  <si>
    <t>ID-61186680000174</t>
  </si>
  <si>
    <t>COM69FB9831EB147</t>
  </si>
  <si>
    <t>06/05/2026 16:36</t>
  </si>
  <si>
    <t>Marcela Rabolini</t>
  </si>
  <si>
    <t>22652966006</t>
  </si>
  <si>
    <t>marcela.rabolini@gm.com</t>
  </si>
  <si>
    <t>549341383183</t>
  </si>
  <si>
    <t>09550-050</t>
  </si>
  <si>
    <t>Avenida Goiás</t>
  </si>
  <si>
    <t>1772</t>
  </si>
  <si>
    <t>Barcelona</t>
  </si>
  <si>
    <t>GM</t>
  </si>
  <si>
    <t>3c65029af420600eb406799d65567328</t>
  </si>
  <si>
    <t>ID-22652966006</t>
  </si>
  <si>
    <t>COM69FB6B96DA02A</t>
  </si>
  <si>
    <t>06/05/2026 13:25</t>
  </si>
  <si>
    <t>MATHEUS DEBACCO MESQUITA</t>
  </si>
  <si>
    <t>93934874053</t>
  </si>
  <si>
    <t>matheus.debacco@noroestebebidas.com.br</t>
  </si>
  <si>
    <t>5555999721000</t>
  </si>
  <si>
    <t>ae70afa8e90b3c13147950c91e1f3d00</t>
  </si>
  <si>
    <t>ID-93934874053</t>
  </si>
  <si>
    <t>COM69FB6AF6A028F</t>
  </si>
  <si>
    <t>06/05/2026 13:23</t>
  </si>
  <si>
    <t>5a7bad91d6b118724ae505eaf8877ca7</t>
  </si>
  <si>
    <t>COM69FB6ACD29B5C</t>
  </si>
  <si>
    <t>06/05/2026 13:22</t>
  </si>
  <si>
    <t>Ricardo Alves da Silva</t>
  </si>
  <si>
    <t>30106444859</t>
  </si>
  <si>
    <t>alves.ricardo@amil.com.br</t>
  </si>
  <si>
    <t>5511954824785</t>
  </si>
  <si>
    <t>2d854bf0b4df6966af4bbadecf39d4f6</t>
  </si>
  <si>
    <t>ID-30106444859</t>
  </si>
  <si>
    <t>COM69FB69FE192EA</t>
  </si>
  <si>
    <t>06/05/2026 13:19</t>
  </si>
  <si>
    <t>Sidney Dias Possato</t>
  </si>
  <si>
    <t>31951613899</t>
  </si>
  <si>
    <t>Sidney.possato@santander.com.br</t>
  </si>
  <si>
    <t>5511991081001</t>
  </si>
  <si>
    <t>35c47020bfe8253a4a64f4d998486783</t>
  </si>
  <si>
    <t>ID-31951613899</t>
  </si>
  <si>
    <t>COM69FB69C51734D</t>
  </si>
  <si>
    <t>06/05/2026 13:18</t>
  </si>
  <si>
    <t>Kathleen Hernandez Guimaraes</t>
  </si>
  <si>
    <t>35527759869</t>
  </si>
  <si>
    <t>Kaguimaraes@santander.com.br</t>
  </si>
  <si>
    <t>5511947694664</t>
  </si>
  <si>
    <t>97cae675a1acf948d83ad9932cb095dd</t>
  </si>
  <si>
    <t>10/09/2024</t>
  </si>
  <si>
    <t>ID-35527759869</t>
  </si>
  <si>
    <t>COM69FB68DC56848</t>
  </si>
  <si>
    <t>06/05/2026 13:14</t>
  </si>
  <si>
    <t>Cristiane Costa Dantas</t>
  </si>
  <si>
    <t>21324329882</t>
  </si>
  <si>
    <t>Cristiane.dantas@santander.com.br</t>
  </si>
  <si>
    <t>5511981263665</t>
  </si>
  <si>
    <t>09d9995a81f9b2b3cde8c250cd5da71d</t>
  </si>
  <si>
    <t>ID-21324329882</t>
  </si>
  <si>
    <t>COM69FB684B82A52</t>
  </si>
  <si>
    <t>06/05/2026 13:11</t>
  </si>
  <si>
    <t>Daniela Chagas Santos</t>
  </si>
  <si>
    <t>31573794880</t>
  </si>
  <si>
    <t>Daniela.chagas.santos@santander.com.br</t>
  </si>
  <si>
    <t>5511952621984</t>
  </si>
  <si>
    <t>11e3f5c05d4d8de8a0dbae6f043668e7</t>
  </si>
  <si>
    <t>ID-31573794880</t>
  </si>
  <si>
    <t>COM69FB67C8B8C2F</t>
  </si>
  <si>
    <t>06/05/2026 13:09</t>
  </si>
  <si>
    <t>Beatriz Santangelo Mauricio</t>
  </si>
  <si>
    <t>39750203852</t>
  </si>
  <si>
    <t>beatrizsantangelo.m00@gmail.com</t>
  </si>
  <si>
    <t>5511976991125</t>
  </si>
  <si>
    <t>81b093be09e09ad51eb91def64acd367</t>
  </si>
  <si>
    <t>ID-39750203852</t>
  </si>
  <si>
    <t>COM69FB65961A15B</t>
  </si>
  <si>
    <t>06/05/2026 13:00</t>
  </si>
  <si>
    <t>Iara Paula de Rezende</t>
  </si>
  <si>
    <t>22428199846</t>
  </si>
  <si>
    <t>Iara.rezende@chubb.com</t>
  </si>
  <si>
    <t>5511989467506</t>
  </si>
  <si>
    <t>c1cab6566809157aa30a2e0449a455bb</t>
  </si>
  <si>
    <t>ID-22428199846</t>
  </si>
  <si>
    <t>COM69FB61B96EBE3</t>
  </si>
  <si>
    <t>06/05/2026 12:43</t>
  </si>
  <si>
    <t>Priscila Aparecida de Lima Maciel Agis</t>
  </si>
  <si>
    <t>22498213805</t>
  </si>
  <si>
    <t>priscila.lima@agis.com.br</t>
  </si>
  <si>
    <t>5519984191185</t>
  </si>
  <si>
    <t>812792ac23d66ae2b55f6f3e45a966a7</t>
  </si>
  <si>
    <t>ID-22498213805</t>
  </si>
  <si>
    <t>COM69FB614F1C8F6</t>
  </si>
  <si>
    <t>06/05/2026 12:42</t>
  </si>
  <si>
    <t>Fabiana RecheAgis</t>
  </si>
  <si>
    <t>21416654852</t>
  </si>
  <si>
    <t>fabiana.reche@agis.com.br</t>
  </si>
  <si>
    <t>5519991876111</t>
  </si>
  <si>
    <t>3f4a74d7ffd85bf9675567cbc0cb8dd8</t>
  </si>
  <si>
    <t>ID-21416654852</t>
  </si>
  <si>
    <t>COM69FB6066A3065</t>
  </si>
  <si>
    <t>06/05/2026 12:38</t>
  </si>
  <si>
    <t>André Leonardo</t>
  </si>
  <si>
    <t>25863988827</t>
  </si>
  <si>
    <t>andrel.leonardo@gmail.com</t>
  </si>
  <si>
    <t>5511987145777</t>
  </si>
  <si>
    <t>4eb88958072a6387f686fb84290e04f8</t>
  </si>
  <si>
    <t>14/07/2023</t>
  </si>
  <si>
    <t>ID-25863988827</t>
  </si>
  <si>
    <t>COM69FB5FC9E04D0</t>
  </si>
  <si>
    <t>06/05/2026 12:35</t>
  </si>
  <si>
    <t>Carolina Fonseca</t>
  </si>
  <si>
    <t>08327367757</t>
  </si>
  <si>
    <t>Carolina.fonseca@givaudan.com</t>
  </si>
  <si>
    <t>5519989045374</t>
  </si>
  <si>
    <t>42d74d59bac4fde33f4f52784831bc62</t>
  </si>
  <si>
    <t>31/03/2023</t>
  </si>
  <si>
    <t>ID-08327367757</t>
  </si>
  <si>
    <t>COM69FB5F51CDA38</t>
  </si>
  <si>
    <t>06/05/2026 12:33</t>
  </si>
  <si>
    <t>Jefferson Lobo</t>
  </si>
  <si>
    <t>02789519960</t>
  </si>
  <si>
    <t>jefferson.lobo@sistemafiep.org.br</t>
  </si>
  <si>
    <t>5545999864213</t>
  </si>
  <si>
    <t>ff2e407fd45ab736792e4fcbfc396a2b</t>
  </si>
  <si>
    <t>30/05/2024</t>
  </si>
  <si>
    <t>ID-02789519960</t>
  </si>
  <si>
    <t>COM69FB5ECBE0629</t>
  </si>
  <si>
    <t>06/05/2026 12:31</t>
  </si>
  <si>
    <t>3</t>
  </si>
  <si>
    <t>1e8699ddabac5d49394c2aeb090988a9</t>
  </si>
  <si>
    <t>COM69FB5D3711A30</t>
  </si>
  <si>
    <t>06/05/2026 12:24</t>
  </si>
  <si>
    <t>Silvana Pampu</t>
  </si>
  <si>
    <t>00407473955</t>
  </si>
  <si>
    <t>Silvana.pampu@renault.com</t>
  </si>
  <si>
    <t>5541984424682</t>
  </si>
  <si>
    <t>8c40424ee53e8d50407096e3221ad284</t>
  </si>
  <si>
    <t>08/06/2019</t>
  </si>
  <si>
    <t>ID-00407473955</t>
  </si>
  <si>
    <t>COM69FB561599DE9</t>
  </si>
  <si>
    <t>06/05/2026 11:54</t>
  </si>
  <si>
    <t>Alan Lomonico Peruci</t>
  </si>
  <si>
    <t>21544711883</t>
  </si>
  <si>
    <t>alan.peruci@dasa.com.br</t>
  </si>
  <si>
    <t>5511988708092</t>
  </si>
  <si>
    <t>8db5006d3a0c48e7bebe44e5520498f2</t>
  </si>
  <si>
    <t>ID-21544711883</t>
  </si>
  <si>
    <t>COM69FB558137531</t>
  </si>
  <si>
    <t>06/05/2026 11:51</t>
  </si>
  <si>
    <t>Emanuela Rosa Ramos Alfaro</t>
  </si>
  <si>
    <t>22863039830</t>
  </si>
  <si>
    <t>emanuela.ramos@nava.com.br</t>
  </si>
  <si>
    <t>5511970275813</t>
  </si>
  <si>
    <t>6bf866702bec8ca0472c5594f90d971c</t>
  </si>
  <si>
    <t>04/09/2024</t>
  </si>
  <si>
    <t>ID-22863039830</t>
  </si>
  <si>
    <t>COM69FB5394479ED</t>
  </si>
  <si>
    <t>06/05/2026 11:43</t>
  </si>
  <si>
    <t>Cesar Gasparoti</t>
  </si>
  <si>
    <t>19030837888</t>
  </si>
  <si>
    <t>gasparoticesara@johndeere.com</t>
  </si>
  <si>
    <t>5519997640732</t>
  </si>
  <si>
    <t>14e73b01bb4df432cec637a4f1e270bb</t>
  </si>
  <si>
    <t>28/10/2024</t>
  </si>
  <si>
    <t>ID-19030837888</t>
  </si>
  <si>
    <t>COM69FB5069E5479</t>
  </si>
  <si>
    <t>06/05/2026 11:30</t>
  </si>
  <si>
    <t>Alcides Corazza Junior</t>
  </si>
  <si>
    <t>21827832886</t>
  </si>
  <si>
    <t>alcides.corazza@gruporzk.com.br</t>
  </si>
  <si>
    <t>5511964023119</t>
  </si>
  <si>
    <t>7923593462099f0cfb3e6743c06c3118</t>
  </si>
  <si>
    <t>05/06/2024</t>
  </si>
  <si>
    <t>ID-21827832886</t>
  </si>
  <si>
    <t>COM69FB4FB384831</t>
  </si>
  <si>
    <t>06/05/2026 11:26</t>
  </si>
  <si>
    <t>Juliana Escarabelin Martins</t>
  </si>
  <si>
    <t>34235552899</t>
  </si>
  <si>
    <t>Juliana.escarabelin@senior.com.br</t>
  </si>
  <si>
    <t>5511981427703</t>
  </si>
  <si>
    <t>6daf403af69da5b7d2bf355c0773479b</t>
  </si>
  <si>
    <t>ID-34235552899</t>
  </si>
  <si>
    <t>COM69FB4F272EBD0</t>
  </si>
  <si>
    <t>06/05/2026 11:24</t>
  </si>
  <si>
    <t>Cristiano Morais de Souza</t>
  </si>
  <si>
    <t>16239363812</t>
  </si>
  <si>
    <t>cristiano.morais@cury.net</t>
  </si>
  <si>
    <t>5511983801978</t>
  </si>
  <si>
    <t>09d481b3bd8f7a7c2b50cf6d14076c59</t>
  </si>
  <si>
    <t>ID-16239363812</t>
  </si>
  <si>
    <t>COM69FB4D5426260</t>
  </si>
  <si>
    <t>06/05/2026 11:16</t>
  </si>
  <si>
    <t>Sabrina Ribeiro Garcia</t>
  </si>
  <si>
    <t>06092917696</t>
  </si>
  <si>
    <t>sabrina.ribeiro@cury.net</t>
  </si>
  <si>
    <t>5511970521122</t>
  </si>
  <si>
    <t>ded6d4bfeaea1999cae97794f5a6f13b</t>
  </si>
  <si>
    <t>18/08/2023</t>
  </si>
  <si>
    <t>ID-06092917696</t>
  </si>
  <si>
    <t>COM69FB4C67ECC60</t>
  </si>
  <si>
    <t>06/05/2026 11:12</t>
  </si>
  <si>
    <t>Aliny Rita Alves Katsutani</t>
  </si>
  <si>
    <t>27028743802</t>
  </si>
  <si>
    <t>aliny.alves@tivit.com</t>
  </si>
  <si>
    <t>5511991895394</t>
  </si>
  <si>
    <t>42d0f1fcba612f5367dcb4b21ea4804d</t>
  </si>
  <si>
    <t>26/02/2022</t>
  </si>
  <si>
    <t>ID-27028743802</t>
  </si>
  <si>
    <t>COM69FB4BF1EAFCE</t>
  </si>
  <si>
    <t>06/05/2026 11:10</t>
  </si>
  <si>
    <t>Bruno Emilio de Oliveira</t>
  </si>
  <si>
    <t>30934838836</t>
  </si>
  <si>
    <t>oliveira_bruno_e@cat.com</t>
  </si>
  <si>
    <t>5541996589480</t>
  </si>
  <si>
    <t>c7d2705ecbafbcbecae4fe08feb22736</t>
  </si>
  <si>
    <t>12/03/2024</t>
  </si>
  <si>
    <t>ID-30934838836</t>
  </si>
  <si>
    <t>COM69FB4B73CACC9</t>
  </si>
  <si>
    <t>06/05/2026 11:08</t>
  </si>
  <si>
    <t>Rafael Jeronymo</t>
  </si>
  <si>
    <t>30249472805</t>
  </si>
  <si>
    <t>rjeronymo@cat.com</t>
  </si>
  <si>
    <t>5519983380400</t>
  </si>
  <si>
    <t>d0816188d1a8e825dd795427e7f9043f</t>
  </si>
  <si>
    <t>ID-30249472805</t>
  </si>
  <si>
    <t>COM69FB4A87D7EE5</t>
  </si>
  <si>
    <t>06/05/2026 11:04</t>
  </si>
  <si>
    <t>Karen de Lucena Cavalcanti</t>
  </si>
  <si>
    <t>07458060409</t>
  </si>
  <si>
    <t>Karen.cavalcanti@sicoob.com.br</t>
  </si>
  <si>
    <t>5583999367696</t>
  </si>
  <si>
    <t>2372879ff4493cc6c0fc9c026819fe6b</t>
  </si>
  <si>
    <t>ID-07458060409</t>
  </si>
  <si>
    <t>COM69FB49F202904</t>
  </si>
  <si>
    <t>06/05/2026 11:02</t>
  </si>
  <si>
    <t>Jamille Nassar</t>
  </si>
  <si>
    <t>26480877888</t>
  </si>
  <si>
    <t>jamille.nassar@sescoopsp.coop.br</t>
  </si>
  <si>
    <t>5511994984954</t>
  </si>
  <si>
    <t>b3774204fd9a590466943715bfed97d4</t>
  </si>
  <si>
    <t>ID-26480877888</t>
  </si>
  <si>
    <t>COM69FB318402EF0</t>
  </si>
  <si>
    <t>06/05/2026 09:18</t>
  </si>
  <si>
    <t>Renata Castanha Avediani</t>
  </si>
  <si>
    <t>30491943830</t>
  </si>
  <si>
    <t>renatacastanha@gmail.com</t>
  </si>
  <si>
    <t>5521972326135</t>
  </si>
  <si>
    <t>18eb57fd23b6e676483690eb56d2ef28</t>
  </si>
  <si>
    <t>ID-30491943830</t>
  </si>
  <si>
    <t>COM69FB3031966BD</t>
  </si>
  <si>
    <t>06/05/2026 09:12</t>
  </si>
  <si>
    <t>Adriane Daiana Ramos de Assis</t>
  </si>
  <si>
    <t>36764253838</t>
  </si>
  <si>
    <t>adriane.assis@portoseguro.com.br</t>
  </si>
  <si>
    <t>5511912082828</t>
  </si>
  <si>
    <t>178786c7915598cce288a9759045e282</t>
  </si>
  <si>
    <t>ID-36764253838</t>
  </si>
  <si>
    <t>COM69FB2FA793ED8</t>
  </si>
  <si>
    <t>06/05/2026 09:10</t>
  </si>
  <si>
    <t>Luciana Damasceno</t>
  </si>
  <si>
    <t>19475188878</t>
  </si>
  <si>
    <t>luciana.damasceno@portoseguro.com.br</t>
  </si>
  <si>
    <t>5511950015272</t>
  </si>
  <si>
    <t>11fc6c18465497db0543d4d442ce7e8a</t>
  </si>
  <si>
    <t>ID-19475188878</t>
  </si>
  <si>
    <t>11997543233</t>
  </si>
  <si>
    <t>1133331817</t>
  </si>
  <si>
    <t>COM69FA4256A2488</t>
  </si>
  <si>
    <t>05/05/2026 16:17</t>
  </si>
  <si>
    <t>Evento: 50371051 - Categoria: Interactive | 3 participantes</t>
  </si>
  <si>
    <t>5cfd6ddb0906928e934047565c35262b</t>
  </si>
  <si>
    <t>COM69FA40BC198A5</t>
  </si>
  <si>
    <t>05/05/2026 16:10</t>
  </si>
  <si>
    <t>Evento: 50370924 - 3 participantes - Categoria: Explorer</t>
  </si>
  <si>
    <t>092a1837cdc9ad8500fd5ea982005698</t>
  </si>
  <si>
    <t>COM69FA2C443FF08</t>
  </si>
  <si>
    <t>05/05/2026 14:43</t>
  </si>
  <si>
    <t>Viviane Brasil</t>
  </si>
  <si>
    <t>14.797.724/0001-12</t>
  </si>
  <si>
    <t>SERV DE APOIO AS MICRO E PEQ EMPRESAS DO EST DA BAHIA</t>
  </si>
  <si>
    <t>viviane.brasil@ba.sebrae.com.br</t>
  </si>
  <si>
    <t>557133204406</t>
  </si>
  <si>
    <t>557133204321</t>
  </si>
  <si>
    <t>41760000</t>
  </si>
  <si>
    <t>ARTHUR DE AZEVEDO MACHADO</t>
  </si>
  <si>
    <t>1225</t>
  </si>
  <si>
    <t>COSTA AZUL</t>
  </si>
  <si>
    <t>Salvador</t>
  </si>
  <si>
    <t>Executive Program - 25 a 27 de Maio de 2026 - Emerson Erbete Cardoso Macedo - Programa Presencial em São Paulo - Pagamento conforme boleto</t>
  </si>
  <si>
    <t>750cba870a679814eb65d16b641fd215</t>
  </si>
  <si>
    <t>07/10/2019</t>
  </si>
  <si>
    <t>ID-14797724000112</t>
  </si>
  <si>
    <t>ORDH8T2UJBXTCJZH</t>
  </si>
  <si>
    <t>05/05/2026 14:02</t>
  </si>
  <si>
    <t>05/05/2026</t>
  </si>
  <si>
    <t>28974115835I8TS5A4OE</t>
  </si>
  <si>
    <t>Cleide Mariano</t>
  </si>
  <si>
    <t>22247472842</t>
  </si>
  <si>
    <t>05.341.062/0001-80</t>
  </si>
  <si>
    <t>FEBRAFAR - FEDERACAO BRASILEIRA DAS REDES ASSOCIATIVISTAS E INDEPENDENTES DE FARMACIAS</t>
  </si>
  <si>
    <t>cleide.mariano@farmarcas.com.br</t>
  </si>
  <si>
    <t>11947025181</t>
  </si>
  <si>
    <t>04035001</t>
  </si>
  <si>
    <t>DOMINGOS DE MORAIS</t>
  </si>
  <si>
    <t>2709</t>
  </si>
  <si>
    <t>N/A</t>
  </si>
  <si>
    <t>VILA MARIANA</t>
  </si>
  <si>
    <t>e3c7f09c46de1f8655b8c9421df0d0d5</t>
  </si>
  <si>
    <t>off-aifestival-farmarcas</t>
  </si>
  <si>
    <t>14/10/2019</t>
  </si>
  <si>
    <t>ID-05341062000180</t>
  </si>
  <si>
    <t>COM69FA00FE85573</t>
  </si>
  <si>
    <t>05/05/2026 11:38</t>
  </si>
  <si>
    <t>11966558926</t>
  </si>
  <si>
    <t>1123936762</t>
  </si>
  <si>
    <t>3e9b207688ddf2f65fa0495f9c004955</t>
  </si>
  <si>
    <t>COM69F9FFF849F28</t>
  </si>
  <si>
    <t>05/05/2026 11:34</t>
  </si>
  <si>
    <t>c1b01f0729979e304a8f927075433cda</t>
  </si>
  <si>
    <t>COM69F9E8737CA8E</t>
  </si>
  <si>
    <t>05/05/2026 09:54</t>
  </si>
  <si>
    <t>Camila Martins</t>
  </si>
  <si>
    <t>21788938801</t>
  </si>
  <si>
    <t>camila.martins@br.nestle.com</t>
  </si>
  <si>
    <t>5516997547643</t>
  </si>
  <si>
    <t>bd27d6b80e6ba576bb59990d690efbc8</t>
  </si>
  <si>
    <t>ID-21788938801</t>
  </si>
  <si>
    <t>COM69F9E3EA69620</t>
  </si>
  <si>
    <t>05/05/2026 09:34</t>
  </si>
  <si>
    <t>Jose Mello</t>
  </si>
  <si>
    <t>02190569788</t>
  </si>
  <si>
    <t>jose.mello@prudential.com</t>
  </si>
  <si>
    <t>5511945097518</t>
  </si>
  <si>
    <t>3abe377f9f38b85d5b2be518e5ddc4fe</t>
  </si>
  <si>
    <t>ID-02190569788</t>
  </si>
  <si>
    <t>COM69F9E3086450E</t>
  </si>
  <si>
    <t>05/05/2026 09:31</t>
  </si>
  <si>
    <t>PAULO HENRIQUE WANICK MATTOS</t>
  </si>
  <si>
    <t>88534790787</t>
  </si>
  <si>
    <t>paulo.wanick@arcelormittal.com.br</t>
  </si>
  <si>
    <t>27992923290</t>
  </si>
  <si>
    <t>0411dee2847669da5fb1ded9d7d4c29d</t>
  </si>
  <si>
    <t>ID-88534790787</t>
  </si>
  <si>
    <t>COM69F9E1D1E15B6</t>
  </si>
  <si>
    <t>05/05/2026 09:25</t>
  </si>
  <si>
    <t>Tiago Buischi</t>
  </si>
  <si>
    <t>21743994826</t>
  </si>
  <si>
    <t>tiago.buischi@br.nestle.com</t>
  </si>
  <si>
    <t>5511973160282</t>
  </si>
  <si>
    <t>ee014940b1558e904f177812125756c0</t>
  </si>
  <si>
    <t>ID-21743994826</t>
  </si>
  <si>
    <t>COM69F9E150BE7F9</t>
  </si>
  <si>
    <t>05/05/2026 09:23</t>
  </si>
  <si>
    <t>Yolanda Ferreira da Silva</t>
  </si>
  <si>
    <t>43183286866</t>
  </si>
  <si>
    <t>yolanda.silva@saint-gobain.com</t>
  </si>
  <si>
    <t>5511954674032</t>
  </si>
  <si>
    <t>f470ce15e94888f745ef34da07c189fb</t>
  </si>
  <si>
    <t>ID-43183286866</t>
  </si>
  <si>
    <t>COM69F9E0E75AD37</t>
  </si>
  <si>
    <t>05/05/2026 09:21</t>
  </si>
  <si>
    <t>daniela.chagas.santos@santander.com.br</t>
  </si>
  <si>
    <t>6b7a002d43c18add5333286d3f11d432</t>
  </si>
  <si>
    <t>COM69F9E068346E1</t>
  </si>
  <si>
    <t>05/05/2026 09:19</t>
  </si>
  <si>
    <t>Franco Bria</t>
  </si>
  <si>
    <t>23240254859</t>
  </si>
  <si>
    <t>Franco_bria@hotmail.com</t>
  </si>
  <si>
    <t>5551997922843</t>
  </si>
  <si>
    <t>e887621c58700a3e73104e541955f6fc</t>
  </si>
  <si>
    <t>26/04/2018</t>
  </si>
  <si>
    <t>ID-23240254859</t>
  </si>
  <si>
    <t>COM69F9DFF9838FC</t>
  </si>
  <si>
    <t>05/05/2026 09:18</t>
  </si>
  <si>
    <t>Alexandre Maganhato</t>
  </si>
  <si>
    <t>18176132861</t>
  </si>
  <si>
    <t>amaganhato@atvos.com</t>
  </si>
  <si>
    <t>5511975439696</t>
  </si>
  <si>
    <t>7d735e0f50b157101e8fd1db94cc88c7</t>
  </si>
  <si>
    <t>02/04/2024</t>
  </si>
  <si>
    <t>ID-18176132861</t>
  </si>
  <si>
    <t>COM69F9DF2A8CA40</t>
  </si>
  <si>
    <t>05/05/2026 09:14</t>
  </si>
  <si>
    <t>Priscila Blois</t>
  </si>
  <si>
    <t>21834912806</t>
  </si>
  <si>
    <t>Priscila.blois@kraftheinz.com</t>
  </si>
  <si>
    <t>5511981998397</t>
  </si>
  <si>
    <t>7f10daed707a96c3281f43af8e26c1ed</t>
  </si>
  <si>
    <t>19/11/2024</t>
  </si>
  <si>
    <t>ID-21834912806</t>
  </si>
  <si>
    <t>COM69F9075272D69</t>
  </si>
  <si>
    <t>04/05/2026 17:53</t>
  </si>
  <si>
    <t>Gustavo Vieira Grinstein</t>
  </si>
  <si>
    <t>65.599.953/0001-63</t>
  </si>
  <si>
    <t>CAPGEMINI BRASIL LTDA.</t>
  </si>
  <si>
    <t>gustavo.grinstein@capgemini.com</t>
  </si>
  <si>
    <t>21999719753</t>
  </si>
  <si>
    <t>06454050</t>
  </si>
  <si>
    <t>GRAJAU</t>
  </si>
  <si>
    <t>60</t>
  </si>
  <si>
    <t>ANDAR 14</t>
  </si>
  <si>
    <t>ALPHAVILLE CENTRO INDUSTRIAL E EMPRESARIAL</t>
  </si>
  <si>
    <t>Barueri</t>
  </si>
  <si>
    <t>AI Festival 2026 - Ingresso Explorer | PO/FRS  1000132085</t>
  </si>
  <si>
    <t>548df14f1fa3ffa71880c5cb4cc4bc6b</t>
  </si>
  <si>
    <t>29/08/2025</t>
  </si>
  <si>
    <t>ID-65599953000163</t>
  </si>
  <si>
    <t>COM69F8D0B561956</t>
  </si>
  <si>
    <t>04/05/2026 14:00</t>
  </si>
  <si>
    <t>04/05/2026</t>
  </si>
  <si>
    <t>Luana Leal Cerqueira</t>
  </si>
  <si>
    <t>97700606153</t>
  </si>
  <si>
    <t>luana.cerqueira@basa.com.br</t>
  </si>
  <si>
    <t>559191116622</t>
  </si>
  <si>
    <t>a8f7ae2fc2e8a545435441d5a1150f90</t>
  </si>
  <si>
    <t>ID-97700606153</t>
  </si>
  <si>
    <t>COM69F896BA0D0C9</t>
  </si>
  <si>
    <t>04/05/2026 09:53</t>
  </si>
  <si>
    <t>Leandro Conde</t>
  </si>
  <si>
    <t>41637538855</t>
  </si>
  <si>
    <t>leandro.conde@caseih.com</t>
  </si>
  <si>
    <t>5511941188573</t>
  </si>
  <si>
    <t>8e5a2eed69e9df216fbf0b62a3eeb43b</t>
  </si>
  <si>
    <t>ID-41637538855</t>
  </si>
  <si>
    <t>COM69F896530E977</t>
  </si>
  <si>
    <t>04/05/2026 09:51</t>
  </si>
  <si>
    <t>Guilherme Rubira</t>
  </si>
  <si>
    <t>05480584669</t>
  </si>
  <si>
    <t>guilherme.rubira@newholland.com</t>
  </si>
  <si>
    <t>5541991668705</t>
  </si>
  <si>
    <t>1d53404bcf04c22974c0665c380358f5</t>
  </si>
  <si>
    <t>ID-05480584669</t>
  </si>
  <si>
    <t>COM69F892B14902E</t>
  </si>
  <si>
    <t>04/05/2026 09:36</t>
  </si>
  <si>
    <t>Gabriel Canobre</t>
  </si>
  <si>
    <t>38033762896</t>
  </si>
  <si>
    <t>gabriel.canobre@oracle.com</t>
  </si>
  <si>
    <t>5511982582798</t>
  </si>
  <si>
    <t>economia</t>
  </si>
  <si>
    <t>4c28c834e2ca28a3e81a84bd2d180543</t>
  </si>
  <si>
    <t>ID-38033762896</t>
  </si>
  <si>
    <t>COM69F890B783A8E</t>
  </si>
  <si>
    <t>04/05/2026 09:27</t>
  </si>
  <si>
    <t>Fernanda Toniolo Fernandes</t>
  </si>
  <si>
    <t>32902896808</t>
  </si>
  <si>
    <t>fernanda.toniolo@hapvida.com.br</t>
  </si>
  <si>
    <t>5511953249932</t>
  </si>
  <si>
    <t>9ced169f66fd61dc3e97135d63356f73</t>
  </si>
  <si>
    <t>ID-32902896808</t>
  </si>
  <si>
    <t>COM69F88FCD5BBF1</t>
  </si>
  <si>
    <t>04/05/2026 09:23</t>
  </si>
  <si>
    <t>Antonio Mandalozzo</t>
  </si>
  <si>
    <t>85702161904</t>
  </si>
  <si>
    <t>antonio.mandalozzo@electrolux.com</t>
  </si>
  <si>
    <t>041f6099d70c970c478bc758d509f44e</t>
  </si>
  <si>
    <t>13/11/2023</t>
  </si>
  <si>
    <t>ID-85702161904</t>
  </si>
  <si>
    <t>COM69F88A848D260</t>
  </si>
  <si>
    <t>04/05/2026 09:01</t>
  </si>
  <si>
    <t>Carlos Abramo Pinto</t>
  </si>
  <si>
    <t>26533906801</t>
  </si>
  <si>
    <t>carlos.abramo@oracle.com</t>
  </si>
  <si>
    <t>5511987094426</t>
  </si>
  <si>
    <t>9bf51cf12cb196b132eaf79ad9d60689</t>
  </si>
  <si>
    <t>ID-26533906801</t>
  </si>
  <si>
    <t>COM69F88995CBD5B</t>
  </si>
  <si>
    <t>04/05/2026 08:57</t>
  </si>
  <si>
    <t>Eduardo Alencar</t>
  </si>
  <si>
    <t>19077940855</t>
  </si>
  <si>
    <t>eduardo.alencar@oracle.com</t>
  </si>
  <si>
    <t>5511976147399</t>
  </si>
  <si>
    <t>3b9d6472b905cc68c5f394682398701c</t>
  </si>
  <si>
    <t>ID-19077940855</t>
  </si>
  <si>
    <t>Fabio Bielenki Hadid</t>
  </si>
  <si>
    <t>04475383900</t>
  </si>
  <si>
    <t>fabio.hadid@unimedpr.coop.br</t>
  </si>
  <si>
    <t>5544997727374</t>
  </si>
  <si>
    <t>ID-04475383900</t>
  </si>
  <si>
    <t>COM69F3EEA8D4FA7</t>
  </si>
  <si>
    <t>30/04/2026 21:07</t>
  </si>
  <si>
    <t>AI para Negócios - Imersão Presencial -  28 e 29 de Maio de 2026</t>
  </si>
  <si>
    <t>imersao-presencial-de-ai-ed9a26</t>
  </si>
  <si>
    <t>Rosimery Santos</t>
  </si>
  <si>
    <t>35.993.098/0001-00</t>
  </si>
  <si>
    <t>Z.A. DIGITAL DE SAO PAULO SISTEMA DE ESTACIONAMENTO ROTATIVO S.A.</t>
  </si>
  <si>
    <t>rosimery.o@estapar.com.br</t>
  </si>
  <si>
    <t>11918762546</t>
  </si>
  <si>
    <t>ANDAR 2 BLOCO 3</t>
  </si>
  <si>
    <t>AI para Negócios - Imersão Presencial - 28 e 29 de Maio de 2026 | XPEDOC28002459</t>
  </si>
  <si>
    <t>8f129a3c0a867f4112c44fb42dd6edb9</t>
  </si>
  <si>
    <t>28/05/2026</t>
  </si>
  <si>
    <t>30/04/2026</t>
  </si>
  <si>
    <t>ID-35993098000100</t>
  </si>
  <si>
    <t>COM69F3D6F487D93</t>
  </si>
  <si>
    <t>30/04/2026 19:25</t>
  </si>
  <si>
    <t>Executive Program - 25 a 27 de Maio de 2026 | XPEDOC28002459</t>
  </si>
  <si>
    <t>7c2b6bca76279db2a5b326537277ed1d</t>
  </si>
  <si>
    <t>COM69F3CE1140E56</t>
  </si>
  <si>
    <t>30/04/2026 18:48</t>
  </si>
  <si>
    <t>Diego Pessoa</t>
  </si>
  <si>
    <t>29.341.643/0001-80</t>
  </si>
  <si>
    <t>SPC BRASIL S.A.</t>
  </si>
  <si>
    <t>diego.pessoa@spcbrasil.com.br</t>
  </si>
  <si>
    <t>19971304348</t>
  </si>
  <si>
    <t>1135496800</t>
  </si>
  <si>
    <t>06455020</t>
  </si>
  <si>
    <t>TOCANTINS</t>
  </si>
  <si>
    <t>125</t>
  </si>
  <si>
    <t>ANDAR 15 CONJ 1502</t>
  </si>
  <si>
    <t>53d00308e610365b441212d022519cac</t>
  </si>
  <si>
    <t>16/06/2025</t>
  </si>
  <si>
    <t>ID-29341643000180</t>
  </si>
  <si>
    <t>COM69F3CC367B109</t>
  </si>
  <si>
    <t>30/04/2026 18:40</t>
  </si>
  <si>
    <t>Lilian Aparecida Grein Carneiro Kloss</t>
  </si>
  <si>
    <t>03.407.049/0002-32</t>
  </si>
  <si>
    <t>VOTORANTIM S.A.</t>
  </si>
  <si>
    <t>lilian.kloss@votorantim.com</t>
  </si>
  <si>
    <t>41998693349</t>
  </si>
  <si>
    <t>41991848257</t>
  </si>
  <si>
    <t>82130570</t>
  </si>
  <si>
    <t>CURITIBA /RIO BRANCO DO SUL-PR 092</t>
  </si>
  <si>
    <t>1303</t>
  </si>
  <si>
    <t>BLOCO A</t>
  </si>
  <si>
    <t>ABRANCHES</t>
  </si>
  <si>
    <t>Curitiba</t>
  </si>
  <si>
    <t>30deccbd2db4ba9e08e56b0e1a7c5abe</t>
  </si>
  <si>
    <t>27/10/2021</t>
  </si>
  <si>
    <t>ID-03407049000232</t>
  </si>
  <si>
    <t>COM69F3C9B3E6777</t>
  </si>
  <si>
    <t>30/04/2026 18:29</t>
  </si>
  <si>
    <t>Learning By Doing | Care Plus</t>
  </si>
  <si>
    <t>consulting-ai-sprint-ed8a26_entrega1</t>
  </si>
  <si>
    <t>Marilia Lapelucci</t>
  </si>
  <si>
    <t>02.725.347/0001-27</t>
  </si>
  <si>
    <t>CARE PLUS MEDICINA ASSISTENCIAL LTDA</t>
  </si>
  <si>
    <t>alvaro.carnio@startse.com</t>
  </si>
  <si>
    <t>11916236622</t>
  </si>
  <si>
    <t>1141970000</t>
  </si>
  <si>
    <t>06454040</t>
  </si>
  <si>
    <t>MAMORE</t>
  </si>
  <si>
    <t>687</t>
  </si>
  <si>
    <t>ANDAR 12                  CONJ  1201 1202 1203 1204</t>
  </si>
  <si>
    <t>ALPHAVILLE CENTRO</t>
  </si>
  <si>
    <t>b247ccf44fbab966bc7d3abccb178212</t>
  </si>
  <si>
    <t>30/04/2099</t>
  </si>
  <si>
    <t>22/06/2017</t>
  </si>
  <si>
    <t>ID-02725347000127</t>
  </si>
  <si>
    <t>consulting-ai-sprint-ed8a26_entrega2</t>
  </si>
  <si>
    <t>consulting-ai-sprint-ed8a26_entrega3</t>
  </si>
  <si>
    <t>consulting-ai-sprint-ed8a26</t>
  </si>
  <si>
    <t>31/12/2099</t>
  </si>
  <si>
    <t>COM69F3C5C50180B</t>
  </si>
  <si>
    <t>30/04/2026 18:12</t>
  </si>
  <si>
    <t>AI Transformation Program - Consulting Obramax</t>
  </si>
  <si>
    <t>consulting-ai-sprint-ed7a26</t>
  </si>
  <si>
    <t>Gustavo Rodrigues</t>
  </si>
  <si>
    <t>23.476.033/0001-08</t>
  </si>
  <si>
    <t>BMB MATERIAL DE CONSTRUCAO S.A.</t>
  </si>
  <si>
    <t>11986933755</t>
  </si>
  <si>
    <t>1122190619</t>
  </si>
  <si>
    <t>01503001</t>
  </si>
  <si>
    <t>DA LIBERDADE</t>
  </si>
  <si>
    <t>823</t>
  </si>
  <si>
    <t>ANDAR 5 7 8 E 9           CONJ  51/52 E 71 A 94</t>
  </si>
  <si>
    <t>LIBERDADE</t>
  </si>
  <si>
    <t>9dd07cdcd47d2acff6a386e84680dc95</t>
  </si>
  <si>
    <t>20/07/2023</t>
  </si>
  <si>
    <t>ID-23476033000108</t>
  </si>
  <si>
    <t>corporate-jornada-ed30a26</t>
  </si>
  <si>
    <t>COM69F3C32C4020C</t>
  </si>
  <si>
    <t>30/04/2026 18:01</t>
  </si>
  <si>
    <t>Multimeios</t>
  </si>
  <si>
    <t>multimeios</t>
  </si>
  <si>
    <t>Projeto Piloto Clientes TOTVS</t>
  </si>
  <si>
    <t>corporate-jornada-ed29a26_pagamento1</t>
  </si>
  <si>
    <t>Waldir Ventura</t>
  </si>
  <si>
    <t>53.113.791/0001-22</t>
  </si>
  <si>
    <t>TOTVS S.A.</t>
  </si>
  <si>
    <t>13991450115</t>
  </si>
  <si>
    <t>1140040015</t>
  </si>
  <si>
    <t>02511000</t>
  </si>
  <si>
    <t>BRAZ LEME</t>
  </si>
  <si>
    <t>1000</t>
  </si>
  <si>
    <t>CASA VERDE</t>
  </si>
  <si>
    <t>2bc71cbf7d94356bf0c73c669818015c</t>
  </si>
  <si>
    <t>13/12/2017</t>
  </si>
  <si>
    <t>ID-53113791000122</t>
  </si>
  <si>
    <t>corporate-jornada-ed29a26_pagamento2</t>
  </si>
  <si>
    <t>corporate-jornada-ed29a26</t>
  </si>
  <si>
    <t>COM69F3BFD669ADB</t>
  </si>
  <si>
    <t>30/04/2026 17:47</t>
  </si>
  <si>
    <t>COMPESA | AI Transformation Program</t>
  </si>
  <si>
    <t>consulting-ai-sprint-ed6a26_fase1_entrega1</t>
  </si>
  <si>
    <t>Renan Vasconcelos</t>
  </si>
  <si>
    <t>09.769.035/0001-64</t>
  </si>
  <si>
    <t>COMPANHIA PERNAMBUCANA DE SANEAMENTO</t>
  </si>
  <si>
    <t>renancarvalho@compesa.com.br</t>
  </si>
  <si>
    <t>8134129545</t>
  </si>
  <si>
    <t>50040000</t>
  </si>
  <si>
    <t>CRUZ CABUGA</t>
  </si>
  <si>
    <t>1387</t>
  </si>
  <si>
    <t>Recife</t>
  </si>
  <si>
    <t>PE</t>
  </si>
  <si>
    <t>7b328ad77454ee7916f892b367645e64</t>
  </si>
  <si>
    <t>11/10/2022</t>
  </si>
  <si>
    <t>ID-09769035000164</t>
  </si>
  <si>
    <t>consulting-ai-sprint-ed6a26_fase1_entrega2</t>
  </si>
  <si>
    <t>consulting-ai-sprint-ed6a26_fase1_entrega3</t>
  </si>
  <si>
    <t>consulting-ai-sprint-ed6a26_fase1_entrega4</t>
  </si>
  <si>
    <t>consulting-ai-sprint-ed6a26_fase2_entrega1</t>
  </si>
  <si>
    <t>consulting-ai-sprint-ed6a26_fase2_entrega2</t>
  </si>
  <si>
    <t>consulting-ai-sprint-ed6a26_fase2_entrega3</t>
  </si>
  <si>
    <t>consulting-ai-sprint-ed6a26_fase2_entrega4</t>
  </si>
  <si>
    <t>consulting-ai-sprint-ed6a26_fase2_entrega5</t>
  </si>
  <si>
    <t>consulting-ai-sprint-ed6a26_fase2_entrega6</t>
  </si>
  <si>
    <t>consulting-ai-sprint-ed6a26_fase2_entrega7</t>
  </si>
  <si>
    <t>consulting-ai-sprint-ed6a26_fase2_entrega8</t>
  </si>
  <si>
    <t>consulting-ai-sprint-ed6a26_fase2_entrega9</t>
  </si>
  <si>
    <t>consulting-ai-sprint-ed6a26_fase2_entrega10</t>
  </si>
  <si>
    <t>consulting-ai-sprint-ed6a26_fase2_entrega11</t>
  </si>
  <si>
    <t>consulting-ai-sprint-ed6a26_fase2_entrega12</t>
  </si>
  <si>
    <t>consulting-ai-sprint-ed6a26_fase3_entrega1</t>
  </si>
  <si>
    <t>consulting-ai-sprint-ed6a26_fase3_entrega2</t>
  </si>
  <si>
    <t>consulting-ai-sprint-ed6a26_fase3_entrega3</t>
  </si>
  <si>
    <t>consulting-ai-sprint-ed6a26_fase3_entrega4</t>
  </si>
  <si>
    <t>consulting-ai-sprint-ed6a26_fase3_entrega5</t>
  </si>
  <si>
    <t>consulting-ai-sprint-ed6a26_fase3_entrega6</t>
  </si>
  <si>
    <t>consulting-ai-sprint-ed6a26_fase3_entrega7</t>
  </si>
  <si>
    <t>consulting-ai-sprint-ed6a26_fase3_entrega8</t>
  </si>
  <si>
    <t>consulting-ai-sprint-ed6a26_fase3_entrega9</t>
  </si>
  <si>
    <t>consulting-ai-sprint-ed6a26_fase4_entrega1</t>
  </si>
  <si>
    <t>consulting-ai-sprint-ed6a26_fase4_entrega2</t>
  </si>
  <si>
    <t>consulting-ai-sprint-ed6a26_fase4_entrega3</t>
  </si>
  <si>
    <t>consulting-ai-sprint-ed6a26_fase4_entrega4</t>
  </si>
  <si>
    <t>consulting-ai-sprint-ed6a26_fase4_entrega5</t>
  </si>
  <si>
    <t>consulting-ai-sprint-ed6a26_fase4_entrega6</t>
  </si>
  <si>
    <t>consulting-ai-sprint-ed6a26_fase4_entrega7</t>
  </si>
  <si>
    <t>consulting-ai-sprint-ed6a26</t>
  </si>
  <si>
    <t>COM69F3BDCC67416</t>
  </si>
  <si>
    <t>30/04/2026 17:38</t>
  </si>
  <si>
    <t>Jornada IA - Liderança Bradesco - Workshop AI_turma1</t>
  </si>
  <si>
    <t>corporate-jornada-ed27a26_Workshop-AI_turma1</t>
  </si>
  <si>
    <t>Juliana de Oliveira Gonçalves</t>
  </si>
  <si>
    <t>julianao.goncalves@bradesco.com.br</t>
  </si>
  <si>
    <t>11989844989</t>
  </si>
  <si>
    <t>1133678700</t>
  </si>
  <si>
    <t>EVENTO XXXXX</t>
  </si>
  <si>
    <t>c76bd04feda92065959908c49c4022f4</t>
  </si>
  <si>
    <t>Jornada IA - Liderança Bradesco - Workshop AI_turma2</t>
  </si>
  <si>
    <t>corporate-jornada-ed27a26_Workshop-AI_turma2</t>
  </si>
  <si>
    <t>Jornada IA - Liderança Bradesco - Workshop Debriefing_Turma 1</t>
  </si>
  <si>
    <t>corporate-jornada-ed27a26_Workshop-Debriefing_Turma-1</t>
  </si>
  <si>
    <t>Jornada IA - Liderança Bradesco - Workshop Debriefing_Turma 2</t>
  </si>
  <si>
    <t>corporate-jornada-ed27a26_Workshop-Debriefing_Turma-2</t>
  </si>
  <si>
    <t>COM69F3B7792DA3C</t>
  </si>
  <si>
    <t>30/04/2026 17:11</t>
  </si>
  <si>
    <t>15</t>
  </si>
  <si>
    <t>Felipe Vasconcelos</t>
  </si>
  <si>
    <t>41.833.837/0001-07</t>
  </si>
  <si>
    <t>NORD PARTICIPACOES LTDA</t>
  </si>
  <si>
    <t>felipe.vasconcelos@startse.com</t>
  </si>
  <si>
    <t>11994952727</t>
  </si>
  <si>
    <t>1130871103</t>
  </si>
  <si>
    <t>04534000</t>
  </si>
  <si>
    <t>JOAQUIM FLORIANO</t>
  </si>
  <si>
    <t>100</t>
  </si>
  <si>
    <t>CONJ 171</t>
  </si>
  <si>
    <t>ITAIM BIBI</t>
  </si>
  <si>
    <t>Imersão China</t>
  </si>
  <si>
    <t>2c95ba33d5583711baa30e6085e27f95</t>
  </si>
  <si>
    <t>https://loja.startse.com.br//processamento/fatura/2c95ba33d5583711baa30e6085e27f95</t>
  </si>
  <si>
    <t>29/04/2026</t>
  </si>
  <si>
    <t>ID-41833837000107</t>
  </si>
  <si>
    <t>COM69F3B44DE9425</t>
  </si>
  <si>
    <t>30/04/2026 16:58</t>
  </si>
  <si>
    <t>BAT - WORKSHOP 5As - Unidade de Produção Agrícola LEAF</t>
  </si>
  <si>
    <t>corporate-workshop-ed36a26</t>
  </si>
  <si>
    <t>Cristiano Munhoz</t>
  </si>
  <si>
    <t>33.009.911/0001-39</t>
  </si>
  <si>
    <t>SOUZA CRUZ LTDA</t>
  </si>
  <si>
    <t>Cristiano_Munhoz@bat.com</t>
  </si>
  <si>
    <t>51999518946</t>
  </si>
  <si>
    <t>2138499047</t>
  </si>
  <si>
    <t>20031170</t>
  </si>
  <si>
    <t>REPUBLICA DO CHILE</t>
  </si>
  <si>
    <t>330</t>
  </si>
  <si>
    <t>BLOCO 1 SALA 3001 SALA 3101</t>
  </si>
  <si>
    <t>CENTRO</t>
  </si>
  <si>
    <t>5c45f5048f0e6cb12eb21f41486e2ef5</t>
  </si>
  <si>
    <t>07/05/2018</t>
  </si>
  <si>
    <t>ID-33009911000139</t>
  </si>
  <si>
    <t>COM69F3B2BF3872D</t>
  </si>
  <si>
    <t>30/04/2026 16:51</t>
  </si>
  <si>
    <t>Jornada Liderar Executivo 2026 - Solvi Ambiental</t>
  </si>
  <si>
    <t>corporate-jornada-ed28a26_entrega1</t>
  </si>
  <si>
    <t>24.554.736/0001-70</t>
  </si>
  <si>
    <t>STARTSE INFORMACOES E SISTEMAS S/A</t>
  </si>
  <si>
    <t>11999457350</t>
  </si>
  <si>
    <t>04578910</t>
  </si>
  <si>
    <t>DAS NACOES UNIDAS</t>
  </si>
  <si>
    <t>EDIF  TORRE NORTE - CENU  CONJ  901 A 902</t>
  </si>
  <si>
    <t>BROOKLIN PAULISTA</t>
  </si>
  <si>
    <t>7455f76221d05b002cba24da4abd2580</t>
  </si>
  <si>
    <t>30/06/2099</t>
  </si>
  <si>
    <t>07/11/2016</t>
  </si>
  <si>
    <t>ID-24554736000170</t>
  </si>
  <si>
    <t>corporate-jornada-ed28a26_entrega2</t>
  </si>
  <si>
    <t>30/08/2099</t>
  </si>
  <si>
    <t>corporate-jornada-ed28a26_entrega3</t>
  </si>
  <si>
    <t>30/10/2099</t>
  </si>
  <si>
    <t>corporate-jornada-ed28a26</t>
  </si>
  <si>
    <t>COM69F3B0794D476</t>
  </si>
  <si>
    <t>30/04/2026 16:41</t>
  </si>
  <si>
    <t>31988930880</t>
  </si>
  <si>
    <t>1128477486</t>
  </si>
  <si>
    <t>6 Ingressos Festival AI - Categoria Interactive: R$2.850,00 por participante</t>
  </si>
  <si>
    <t>4d67620b2c7e91e807b0b345867767c8</t>
  </si>
  <si>
    <t>COM69F3AFDD9B70E</t>
  </si>
  <si>
    <t>30/04/2026 16:39</t>
  </si>
  <si>
    <t>Sebrae MT | Desdobramento Estratégico</t>
  </si>
  <si>
    <t>consulting-strategy-deliver-ed3a26_pagamento-01</t>
  </si>
  <si>
    <t>Ricardo Willian Santiago</t>
  </si>
  <si>
    <t>03.534.450/0001-52</t>
  </si>
  <si>
    <t>SERVICO DE APOIO AS MICRO E PEQ. EMPRESAS DO ESTADO DE MATO GROSSO</t>
  </si>
  <si>
    <t>ricardo.santiago@mt.sebrae.com.br</t>
  </si>
  <si>
    <t>65981126467</t>
  </si>
  <si>
    <t>6536485250</t>
  </si>
  <si>
    <t>78049939</t>
  </si>
  <si>
    <t>HISTORIADOR RUBENS DE MENDONCA</t>
  </si>
  <si>
    <t>3999</t>
  </si>
  <si>
    <t>CENTRO POLITICO ADMINISTRATIVO</t>
  </si>
  <si>
    <t>Cuiabá</t>
  </si>
  <si>
    <t>MT</t>
  </si>
  <si>
    <t>e865d19f2f9d77e26026611cd8025414</t>
  </si>
  <si>
    <t>10/07/2026</t>
  </si>
  <si>
    <t>StartSe Consulting,StartSe Consulting,StartSe Consulting,StartSe Consulting,StartSe Consulting,StartSe Consulting</t>
  </si>
  <si>
    <t>16/01/2020</t>
  </si>
  <si>
    <t>ID-03534450000152</t>
  </si>
  <si>
    <t>consulting-strategy-deliver-ed3a26_pagamento-02</t>
  </si>
  <si>
    <t>10/08/2026</t>
  </si>
  <si>
    <t>consulting-strategy-deliver-ed3a26_pagamento-03</t>
  </si>
  <si>
    <t>10/09/2026</t>
  </si>
  <si>
    <t>consulting-strategy-deliver-ed3a26_pagamento-04-</t>
  </si>
  <si>
    <t>10/10/2026</t>
  </si>
  <si>
    <t>consulting-strategy-deliver-ed3a26_pagamento-05</t>
  </si>
  <si>
    <t>10/11/2026</t>
  </si>
  <si>
    <t>consulting-strategy-deliver-ed3a26_pagamento-06</t>
  </si>
  <si>
    <t>10/12/2026</t>
  </si>
  <si>
    <t>COM69F3AE2A98894</t>
  </si>
  <si>
    <t>30/04/2026 16:31</t>
  </si>
  <si>
    <t>Unimed VTRP | Executive in company [2 dias]</t>
  </si>
  <si>
    <t>corporate-workshop-ed39a26</t>
  </si>
  <si>
    <t>Marina Arnhold</t>
  </si>
  <si>
    <t>87.300.448/0001-09</t>
  </si>
  <si>
    <t>UNIMED - COOPERATIVA DE SERVICOS DE SAUDE DOS VALES DO TAQUARI E RIO PARDO LTDA.</t>
  </si>
  <si>
    <t>marina.arnhold@unimedvtrp.com.br</t>
  </si>
  <si>
    <t>5192749462</t>
  </si>
  <si>
    <t>5137147100</t>
  </si>
  <si>
    <t>95913148</t>
  </si>
  <si>
    <t>PIRAI</t>
  </si>
  <si>
    <t>155</t>
  </si>
  <si>
    <t>SAO CRISTOVAO</t>
  </si>
  <si>
    <t>Lajeado</t>
  </si>
  <si>
    <t>50f1a8973045d610f6c1b8d5b7f17835</t>
  </si>
  <si>
    <t>08/02/2018</t>
  </si>
  <si>
    <t>ID-87300448000109</t>
  </si>
  <si>
    <t>COM69F3A797191AF</t>
  </si>
  <si>
    <t>30/04/2026 16:03</t>
  </si>
  <si>
    <t>Workshop AI - ELO / SP</t>
  </si>
  <si>
    <t>corporate-jornada-ed26a26_pagamento1</t>
  </si>
  <si>
    <t>Paula Montoni</t>
  </si>
  <si>
    <t>09.227.084/0001-75</t>
  </si>
  <si>
    <t>ELO SERVICOS S.A.</t>
  </si>
  <si>
    <t>paula.montoni@elo.com.br</t>
  </si>
  <si>
    <t>21971523772</t>
  </si>
  <si>
    <t>1152423300</t>
  </si>
  <si>
    <t>06455030</t>
  </si>
  <si>
    <t>XINGU</t>
  </si>
  <si>
    <t>512</t>
  </si>
  <si>
    <t>ANDAR 5 E 6</t>
  </si>
  <si>
    <t>Workshop AI - ELO / SP, Workshop AI - ELO / SP</t>
  </si>
  <si>
    <t>38d160ee3cf9091c6469ce86b9dce022</t>
  </si>
  <si>
    <t>10/09/2018</t>
  </si>
  <si>
    <t>ID-09227084000175</t>
  </si>
  <si>
    <t>corporate-jornada-ed26a26_pagamento2</t>
  </si>
  <si>
    <t>27/05/2099</t>
  </si>
  <si>
    <t>COM69F39D4B6888E</t>
  </si>
  <si>
    <t>30/04/2026 15:19</t>
  </si>
  <si>
    <t>Imersão China [Beef Club] | MSD</t>
  </si>
  <si>
    <t>corporate-china-xperience-ed8a26</t>
  </si>
  <si>
    <t>Lais Vieira</t>
  </si>
  <si>
    <t>07.954.091/0001-43</t>
  </si>
  <si>
    <t>MERCK SHARP &amp;amp; DOHME SAUDE ANIMAL LTDA</t>
  </si>
  <si>
    <t>lais.vieira@msd.com</t>
  </si>
  <si>
    <t>19971456361</t>
  </si>
  <si>
    <t>1151897700</t>
  </si>
  <si>
    <t>12730340</t>
  </si>
  <si>
    <t>CORONEL BENTO SOARES</t>
  </si>
  <si>
    <t>530</t>
  </si>
  <si>
    <t>ANEXO PARTE SALA GERENCIA DE PLANTA</t>
  </si>
  <si>
    <t>ITAGACABA</t>
  </si>
  <si>
    <t>Cruzeiro</t>
  </si>
  <si>
    <t>da73c676bd9ab9560b7868beb33835bb</t>
  </si>
  <si>
    <t>02/11/2026</t>
  </si>
  <si>
    <t>https://loja.startse.com.br//processamento/fatura/da73c676bd9ab9560b7868beb33835bb</t>
  </si>
  <si>
    <t>14/03/2019</t>
  </si>
  <si>
    <t>ID-07954091000143</t>
  </si>
  <si>
    <t>COM69F394A14367B</t>
  </si>
  <si>
    <t>30/04/2026 14:42</t>
  </si>
  <si>
    <t>c86567e308420356b292ec620380ff05</t>
  </si>
  <si>
    <t>COM69F38F1055403</t>
  </si>
  <si>
    <t>30/04/2026 14:19</t>
  </si>
  <si>
    <t>Programa de liderança - AeC</t>
  </si>
  <si>
    <t>corporate-jornada-ed24a26_pagamento1</t>
  </si>
  <si>
    <t>Jacikelly Lucio</t>
  </si>
  <si>
    <t>02.455.233/0001-04</t>
  </si>
  <si>
    <t>AEC CENTRO DE CONTATOS S/A</t>
  </si>
  <si>
    <t>jacikelly.gomes@aec.com.br</t>
  </si>
  <si>
    <t>8391233088</t>
  </si>
  <si>
    <t>3135157000</t>
  </si>
  <si>
    <t>30150050</t>
  </si>
  <si>
    <t>SAPUCAI</t>
  </si>
  <si>
    <t>429</t>
  </si>
  <si>
    <t>FLORESTA</t>
  </si>
  <si>
    <t>Belo Horizonte</t>
  </si>
  <si>
    <t>MG</t>
  </si>
  <si>
    <t>aeb5dbacf8cdf0d976959c4d7f5da589</t>
  </si>
  <si>
    <t>18/06/2099</t>
  </si>
  <si>
    <t>14/11/2019</t>
  </si>
  <si>
    <t>ID-02455233000104</t>
  </si>
  <si>
    <t>corporate-jornada-ed24a26_pagamento2</t>
  </si>
  <si>
    <t>corporate-jornada-ed24a26</t>
  </si>
  <si>
    <t>COM69F38105A4D83</t>
  </si>
  <si>
    <t>30/04/2026 13:19</t>
  </si>
  <si>
    <t>Diogo Marcondes Gonçalves Monteiro</t>
  </si>
  <si>
    <t>36805412870</t>
  </si>
  <si>
    <t>diogo.monteiro@bayer.com</t>
  </si>
  <si>
    <t>5511987942324</t>
  </si>
  <si>
    <t>38604e6c8b5365a8792439146182ac5d</t>
  </si>
  <si>
    <t>ID-36805412870</t>
  </si>
  <si>
    <t>COM69F37CFD33B9A</t>
  </si>
  <si>
    <t>30/04/2026 13:02</t>
  </si>
  <si>
    <t>Grasielle Abreu E Silva Paviani Zanoni</t>
  </si>
  <si>
    <t>06313394933</t>
  </si>
  <si>
    <t>grasielle.silva@cnh.com</t>
  </si>
  <si>
    <t>5515996900906</t>
  </si>
  <si>
    <t>bdcf137426a3383d05aa6ea157c5c722</t>
  </si>
  <si>
    <t>ID-06313394933</t>
  </si>
  <si>
    <t>ORDA91FEKI10DCB8</t>
  </si>
  <si>
    <t>30/04/2026 12:39</t>
  </si>
  <si>
    <t>28974115835I48INQ1PE</t>
  </si>
  <si>
    <t>Renato Lima De Mauro Jr</t>
  </si>
  <si>
    <t>38312455841</t>
  </si>
  <si>
    <t>renato.demauro@hotmail.com</t>
  </si>
  <si>
    <t>11991939484</t>
  </si>
  <si>
    <t>04709010</t>
  </si>
  <si>
    <t>Rua do Estilo Barroco</t>
  </si>
  <si>
    <t>467</t>
  </si>
  <si>
    <t>34</t>
  </si>
  <si>
    <t>Chácara Santo Antônio (Zona Sul)</t>
  </si>
  <si>
    <t>c2f1a8554c857e2a004f1fb3e3ac7842</t>
  </si>
  <si>
    <t>off-brasilata-ai</t>
  </si>
  <si>
    <t>ID-38312455841</t>
  </si>
  <si>
    <t>COM69F372E230506</t>
  </si>
  <si>
    <t>30/04/2026 12:18</t>
  </si>
  <si>
    <t>Adriana Florizi</t>
  </si>
  <si>
    <t>14045784802</t>
  </si>
  <si>
    <t>adriana.florizi@oracle.com</t>
  </si>
  <si>
    <t>11974091968</t>
  </si>
  <si>
    <t>df16820aab01062e7ce893a6db161a91</t>
  </si>
  <si>
    <t>ID-14045784802</t>
  </si>
  <si>
    <t>COM69F371500617B</t>
  </si>
  <si>
    <t>30/04/2026 12:12</t>
  </si>
  <si>
    <t>NIELLEN FRANCINI SOUZA DOS SANTOS</t>
  </si>
  <si>
    <t>36158173894</t>
  </si>
  <si>
    <t>niellen.santos@bayer.com</t>
  </si>
  <si>
    <t>11941850059</t>
  </si>
  <si>
    <t>2960125537e537bdd0f11615929485ea</t>
  </si>
  <si>
    <t>ID-36158173894</t>
  </si>
  <si>
    <t>COM69F36FE85078A</t>
  </si>
  <si>
    <t>30/04/2026 12:06</t>
  </si>
  <si>
    <t>Jaqueline Machado</t>
  </si>
  <si>
    <t>28499817882</t>
  </si>
  <si>
    <t>Jaqueline.machado@btgpactual.com</t>
  </si>
  <si>
    <t>5511964332116</t>
  </si>
  <si>
    <t>ecd2628e7f9ca158c9a7e2c38bf4e5b1</t>
  </si>
  <si>
    <t>ID-28499817882</t>
  </si>
  <si>
    <t>ORDQXYJY75RG6DFD</t>
  </si>
  <si>
    <t>30/04/2026 12:05</t>
  </si>
  <si>
    <t>28974115835I48IMCMOE</t>
  </si>
  <si>
    <t>JULIANA CORDEIRO</t>
  </si>
  <si>
    <t>31600276865</t>
  </si>
  <si>
    <t>juliana.cordeiro@brasilata.com.br</t>
  </si>
  <si>
    <t>11966481513</t>
  </si>
  <si>
    <t>05025020</t>
  </si>
  <si>
    <t>Rua Guiara</t>
  </si>
  <si>
    <t>371</t>
  </si>
  <si>
    <t>ap 42</t>
  </si>
  <si>
    <t>Vila Pompéia</t>
  </si>
  <si>
    <t>7d86e8c0dec1f8f183d51315fa59295c</t>
  </si>
  <si>
    <t>ID-31600276865</t>
  </si>
  <si>
    <t>COM69F36F4BBFEAC</t>
  </si>
  <si>
    <t>30/04/2026 12:03</t>
  </si>
  <si>
    <t>Vanessa Cristina da Silva</t>
  </si>
  <si>
    <t>26348092801</t>
  </si>
  <si>
    <t>Vanessa.silva6@assai.com.br</t>
  </si>
  <si>
    <t>5511940455033</t>
  </si>
  <si>
    <t>84567b0fe7325497a4325c0dce4849d3</t>
  </si>
  <si>
    <t>22/11/2018</t>
  </si>
  <si>
    <t>ID-26348092801</t>
  </si>
  <si>
    <t>COM69F36ED25473C</t>
  </si>
  <si>
    <t>30/04/2026 12:01</t>
  </si>
  <si>
    <t>Soraya Bahde</t>
  </si>
  <si>
    <t>30852448830</t>
  </si>
  <si>
    <t>soraya.bahde@bradesco.com.br</t>
  </si>
  <si>
    <t>5511942353344</t>
  </si>
  <si>
    <t>3e0d69e42f8eb0ab7c66db48361f7374</t>
  </si>
  <si>
    <t>ID-30852448830</t>
  </si>
  <si>
    <t>COM69F36DA2A2E02</t>
  </si>
  <si>
    <t>30/04/2026 11:56</t>
  </si>
  <si>
    <t>Imersão China Exclusiva | Franqueados MC Donalds</t>
  </si>
  <si>
    <t>corporate-china-xperience-ed2a26</t>
  </si>
  <si>
    <t>Luisa Santi</t>
  </si>
  <si>
    <t>42.591.651/0001-43</t>
  </si>
  <si>
    <t>ARCOS DOURADOS COMERCIO DE ALIMENTOS SA</t>
  </si>
  <si>
    <t>luisa.sens@br.mcd.com</t>
  </si>
  <si>
    <t>11941132386</t>
  </si>
  <si>
    <t>1141969800</t>
  </si>
  <si>
    <t>06454070</t>
  </si>
  <si>
    <t>AMAZONAS</t>
  </si>
  <si>
    <t>253</t>
  </si>
  <si>
    <t>ALPHAVILLE INDUSTRIAL</t>
  </si>
  <si>
    <t>a5f320fa85947d5f53b85a2d40e24b8f</t>
  </si>
  <si>
    <t>07/09/2026</t>
  </si>
  <si>
    <t>https://loja.startse.com.br//processamento/fatura/a5f320fa85947d5f53b85a2d40e24b8f</t>
  </si>
  <si>
    <t>08/08/2018</t>
  </si>
  <si>
    <t>ID-42591651000143</t>
  </si>
  <si>
    <t>COM69F36D0CA5EF4</t>
  </si>
  <si>
    <t>30/04/2026 11:54</t>
  </si>
  <si>
    <t>11336787001</t>
  </si>
  <si>
    <t>Evento: 50370912 - AI Festival 2026 - 3 Ingressos - Categoria Explorer</t>
  </si>
  <si>
    <t>17573bb46e747297e2c4a515f3d64bf6</t>
  </si>
  <si>
    <t>COM69F2A90429848</t>
  </si>
  <si>
    <t>29/04/2026 21:57</t>
  </si>
  <si>
    <t>Bárbara Crespo Rocha</t>
  </si>
  <si>
    <t>01482522063</t>
  </si>
  <si>
    <t>barbarascrespo@gmail.com</t>
  </si>
  <si>
    <t>5551999921779</t>
  </si>
  <si>
    <t>50a760fef090a40f593011ebf162f758</t>
  </si>
  <si>
    <t>ID-01482522063</t>
  </si>
  <si>
    <t>COM69F2A3DF821BA</t>
  </si>
  <si>
    <t>29/04/2026 21:35</t>
  </si>
  <si>
    <t>Rodrigo Antelo Callisperis</t>
  </si>
  <si>
    <t>17333650871</t>
  </si>
  <si>
    <t>Rodrigo.callisperis@assai.com.br</t>
  </si>
  <si>
    <t>5511942556009</t>
  </si>
  <si>
    <t>d06287456681dc124362e4b71dd4301a</t>
  </si>
  <si>
    <t>ID-17333650871</t>
  </si>
  <si>
    <t>COM69F2A26D70059</t>
  </si>
  <si>
    <t>29/04/2026 21:29</t>
  </si>
  <si>
    <t>Mario Lavacca</t>
  </si>
  <si>
    <t>29566906803</t>
  </si>
  <si>
    <t>mario.lavacca@basf.com</t>
  </si>
  <si>
    <t>5511999982476</t>
  </si>
  <si>
    <t>183326f1e7d0c76cd5bcf556b797f27c</t>
  </si>
  <si>
    <t>ID-29566906803</t>
  </si>
  <si>
    <t>COM69F2A10ACAE1C</t>
  </si>
  <si>
    <t>29/04/2026 21:23</t>
  </si>
  <si>
    <t>Eduardo Vasconcelos</t>
  </si>
  <si>
    <t>14672228878</t>
  </si>
  <si>
    <t>Vasco@bancobmg.com.br</t>
  </si>
  <si>
    <t>5511998238713</t>
  </si>
  <si>
    <t>c16a5e1af395d0269b86bc9d67165968</t>
  </si>
  <si>
    <t>ID-14672228878</t>
  </si>
  <si>
    <t>COM69F29BC558765</t>
  </si>
  <si>
    <t>29/04/2026 21:01</t>
  </si>
  <si>
    <t>AI for Leaders - 2026</t>
  </si>
  <si>
    <t>ai-for-leaders-ed1a26</t>
  </si>
  <si>
    <t>Evandro Santos Nascimento</t>
  </si>
  <si>
    <t>03847934520</t>
  </si>
  <si>
    <t>evandro@sebraeprev.com.br</t>
  </si>
  <si>
    <t>5561999873166</t>
  </si>
  <si>
    <t>70770-503</t>
  </si>
  <si>
    <t>Quadra SEPN 515 Bloco C</t>
  </si>
  <si>
    <t>Asa Norte</t>
  </si>
  <si>
    <t>Brasília</t>
  </si>
  <si>
    <t>DF</t>
  </si>
  <si>
    <t>AI For Leaders</t>
  </si>
  <si>
    <t>0a70a419f5ca4531719760b0712a8259</t>
  </si>
  <si>
    <t>13/01/2026</t>
  </si>
  <si>
    <t>ID-03847934520</t>
  </si>
  <si>
    <t>COM69F27213AC10D</t>
  </si>
  <si>
    <t>29/04/2026 18:03</t>
  </si>
  <si>
    <t>16</t>
  </si>
  <si>
    <t>Sebrae AM | Vagas IA para negócios</t>
  </si>
  <si>
    <t>corporate-melhor-escolha-ia-para-negocios-ed2a26</t>
  </si>
  <si>
    <t>Frank Vidinha de Souza</t>
  </si>
  <si>
    <t>04.322.004/0001-47</t>
  </si>
  <si>
    <t>SERVICO DE APOIO AS MICROS E PEQ EMPRESAS DO AMAZONAS</t>
  </si>
  <si>
    <t>beta.frank.ugp@am.sebrae.com.br</t>
  </si>
  <si>
    <t>9221217317</t>
  </si>
  <si>
    <t>69010170</t>
  </si>
  <si>
    <t>LEONARDO MALCHER</t>
  </si>
  <si>
    <t>924</t>
  </si>
  <si>
    <t>Manaus</t>
  </si>
  <si>
    <t>AM</t>
  </si>
  <si>
    <t>7042649f4473ec7ff403f0b92b876b5b</t>
  </si>
  <si>
    <t>05/10/2021</t>
  </si>
  <si>
    <t>ID-04322004000147</t>
  </si>
  <si>
    <t>COM69F26BBC537C8</t>
  </si>
  <si>
    <t>29/04/2026 17:36</t>
  </si>
  <si>
    <t>Oracle l Missão Vale do Silício GTC NVidia I Acompanhamento StartSe</t>
  </si>
  <si>
    <t>corporate-vale-xperience-ed2a26</t>
  </si>
  <si>
    <t>Agustina Zappacosta</t>
  </si>
  <si>
    <t>agustina.zappacosta@oracle.com</t>
  </si>
  <si>
    <t>11910554869</t>
  </si>
  <si>
    <t>Rua Dr Jose Aureo Bustamante</t>
  </si>
  <si>
    <t>Anexo Morumbi Business Cen</t>
  </si>
  <si>
    <t>Santo Amaro</t>
  </si>
  <si>
    <t>67434feea0dcdf5a84d2d2bd7d622038</t>
  </si>
  <si>
    <t>15/03/2026</t>
  </si>
  <si>
    <t>ORDP2MF79LV5BJGU</t>
  </si>
  <si>
    <t>29/04/2026 16:09</t>
  </si>
  <si>
    <t>00092267025</t>
  </si>
  <si>
    <t>financeiro@nordresearch.com.br</t>
  </si>
  <si>
    <t>11964287510</t>
  </si>
  <si>
    <t>CONJ  171</t>
  </si>
  <si>
    <t>0db4c45534cba52ccd17c0ecd72c9804</t>
  </si>
  <si>
    <t>https://loja.startse.com.br//processamento/fatura/0db4c45534cba52ccd17c0ecd72c9804</t>
  </si>
  <si>
    <t>ORDH4BVMP8JE3AP0</t>
  </si>
  <si>
    <t>29/04/2026 16:05</t>
  </si>
  <si>
    <t>21775358836</t>
  </si>
  <si>
    <t>f63f999e7e435e2c22c101b9d5e42b5b</t>
  </si>
  <si>
    <t>https://loja.startse.com.br//processamento/fatura/f63f999e7e435e2c22c101b9d5e42b5b</t>
  </si>
  <si>
    <t>ORD66FX4C6VONTDZ</t>
  </si>
  <si>
    <t>29/04/2026 16:02</t>
  </si>
  <si>
    <t>02486196757</t>
  </si>
  <si>
    <t>3382deedda3ce44a2d7efeee94cc7bfc</t>
  </si>
  <si>
    <t>https://loja.startse.com.br//processamento/fatura/3382deedda3ce44a2d7efeee94cc7bfc</t>
  </si>
  <si>
    <t>ORD8F2EFYDH6F458</t>
  </si>
  <si>
    <t>29/04/2026 15:49</t>
  </si>
  <si>
    <t>34631193824</t>
  </si>
  <si>
    <t>54d391006de6037455371d4906876a7f</t>
  </si>
  <si>
    <t>https://loja.startse.com.br//processamento/fatura/54d391006de6037455371d4906876a7f</t>
  </si>
  <si>
    <t>COM69F23DE68FAC2</t>
  </si>
  <si>
    <t>29/04/2026 14:20</t>
  </si>
  <si>
    <t>Qualicorp | Oficina de Líderes | Raphaela Mello</t>
  </si>
  <si>
    <t>corporate-jornada-ed23a26_pagamento-01</t>
  </si>
  <si>
    <t>Gabriela Rodrigues Paiva</t>
  </si>
  <si>
    <t>11.992.680/0001-93</t>
  </si>
  <si>
    <t>QUALICORP CONSULTORIA E CORRETORA DE SEGUROS S.A.</t>
  </si>
  <si>
    <t>grpaiva@qualicorp.com.br</t>
  </si>
  <si>
    <t>11958292397</t>
  </si>
  <si>
    <t>1131914000</t>
  </si>
  <si>
    <t>01310914</t>
  </si>
  <si>
    <t>PAULISTA</t>
  </si>
  <si>
    <t>1106</t>
  </si>
  <si>
    <t>ANDAR 12 - PARTE</t>
  </si>
  <si>
    <t>BELA VISTA</t>
  </si>
  <si>
    <t>Qualicorp | Oficina de Líderes</t>
  </si>
  <si>
    <t>2c839839f682ef5f6b4b7233e01304f7</t>
  </si>
  <si>
    <t>19/01/2021</t>
  </si>
  <si>
    <t>ID-11992680000193</t>
  </si>
  <si>
    <t>corporate-jornada-ed23a26_pagamento-02</t>
  </si>
  <si>
    <t>ORDX4EP4HHXQ7WG4</t>
  </si>
  <si>
    <t>29/04/2026 11:42</t>
  </si>
  <si>
    <t>28987210985I389269NC</t>
  </si>
  <si>
    <t>Marcos Hofig</t>
  </si>
  <si>
    <t>08194419883</t>
  </si>
  <si>
    <t>mhofig@gmail.com</t>
  </si>
  <si>
    <t>11988508551</t>
  </si>
  <si>
    <t>01453030</t>
  </si>
  <si>
    <t>Rua Jacurici</t>
  </si>
  <si>
    <t>215</t>
  </si>
  <si>
    <t>ap 191</t>
  </si>
  <si>
    <t>Itaim Bibi</t>
  </si>
  <si>
    <t>12ba2e0522692cc00b2d559a3cf0c448</t>
  </si>
  <si>
    <t>https://loja.startse.com.br//processamento/fatura/12ba2e0522692cc00b2d559a3cf0c448</t>
  </si>
  <si>
    <t>ID-08194419883</t>
  </si>
  <si>
    <t>COM69F2107200168</t>
  </si>
  <si>
    <t>29/04/2026 11:06</t>
  </si>
  <si>
    <t>EVENTO: 50370721 - Festival AI 2026: 5 ingressos Interactive - R$ 2.850,00 por participante</t>
  </si>
  <si>
    <t>260d8c9175af0c19b3bf185812beb17b</t>
  </si>
  <si>
    <t>ORDFFCKKF7CYJTRO</t>
  </si>
  <si>
    <t>28/04/2026 20:12</t>
  </si>
  <si>
    <t>28/04/2026</t>
  </si>
  <si>
    <t>28987210985I2AAP15PC</t>
  </si>
  <si>
    <t>Marcelo Montalvão Machado</t>
  </si>
  <si>
    <t>00453330509</t>
  </si>
  <si>
    <t>marcelo@machadoadvogados.com</t>
  </si>
  <si>
    <t>61981113357</t>
  </si>
  <si>
    <t>70274090</t>
  </si>
  <si>
    <t>Quadra SQS 211 Bloco I</t>
  </si>
  <si>
    <t>606</t>
  </si>
  <si>
    <t>Asa Sul</t>
  </si>
  <si>
    <t>5032b91c81f1aa7589a1c7e2497847dd</t>
  </si>
  <si>
    <t>https://loja.startse.com.br//processamento/fatura/5032b91c81f1aa7589a1c7e2497847dd</t>
  </si>
  <si>
    <t>18/01/2019</t>
  </si>
  <si>
    <t>ID-00453330509</t>
  </si>
  <si>
    <t>COM69F101890C6A0</t>
  </si>
  <si>
    <t>28/04/2026 15:50</t>
  </si>
  <si>
    <t>Programa de Liderança Tecnobank - São Paulo / SP</t>
  </si>
  <si>
    <t>corporate-workshop-ed35a26_pagamento-01</t>
  </si>
  <si>
    <t>09.016.926/0001-40</t>
  </si>
  <si>
    <t>TECNOBANK TECNOLOGIA BANCARIA S.A.</t>
  </si>
  <si>
    <t>11993055712</t>
  </si>
  <si>
    <t>1131852770</t>
  </si>
  <si>
    <t>04547005</t>
  </si>
  <si>
    <t>GOMES DE CARVALHO</t>
  </si>
  <si>
    <t>1356</t>
  </si>
  <si>
    <t>ANDAR 9 CONJ 92</t>
  </si>
  <si>
    <t>VILA OLIMPIA</t>
  </si>
  <si>
    <t>4dce631b61320458f298d771d2b7556b</t>
  </si>
  <si>
    <t>04/05/2018</t>
  </si>
  <si>
    <t>ID-09016926000140</t>
  </si>
  <si>
    <t>corporate-workshop-ed35a26_pagamento-02</t>
  </si>
  <si>
    <t>ORDLFPEWUGDCDUKZ</t>
  </si>
  <si>
    <t>28/04/2026 15:25</t>
  </si>
  <si>
    <t>28974115835I2A94GD3C</t>
  </si>
  <si>
    <t>Luiz Felipe Silva Mattos</t>
  </si>
  <si>
    <t>09498114757</t>
  </si>
  <si>
    <t>luiz.mattos@arcelormittal.com.br</t>
  </si>
  <si>
    <t>27999735938</t>
  </si>
  <si>
    <t>29101780</t>
  </si>
  <si>
    <t>RUA  GOIANIA</t>
  </si>
  <si>
    <t>300</t>
  </si>
  <si>
    <t>APTO 1003</t>
  </si>
  <si>
    <t>ITAPUA</t>
  </si>
  <si>
    <t>Vila Velha</t>
  </si>
  <si>
    <t>ES</t>
  </si>
  <si>
    <t>09fe8203850a1dac5cbfdd703fc205d6</t>
  </si>
  <si>
    <t>arcelormittaldescontoAI</t>
  </si>
  <si>
    <t>ID-09498114757</t>
  </si>
  <si>
    <t>COM69F0EB24213CF</t>
  </si>
  <si>
    <t>28/04/2026 14:15</t>
  </si>
  <si>
    <t>Tatiana Carvalho Lima de Alencar Matos</t>
  </si>
  <si>
    <t>81688679120</t>
  </si>
  <si>
    <t>Tatiana.matos@sicoob.com.br</t>
  </si>
  <si>
    <t>5561996243660</t>
  </si>
  <si>
    <t>f9b6f5d6b2238c3f5331bdb204b065a6</t>
  </si>
  <si>
    <t>ID-81688679120</t>
  </si>
  <si>
    <t>COM69F0E97B8469C</t>
  </si>
  <si>
    <t>28/04/2026 14:08</t>
  </si>
  <si>
    <t>Michelle Cristina de Mattos</t>
  </si>
  <si>
    <t>71650539134</t>
  </si>
  <si>
    <t>Michelle.cristina@sicoob.com.br</t>
  </si>
  <si>
    <t>5561981517226</t>
  </si>
  <si>
    <t>Avenida das Nações Unidas 12901</t>
  </si>
  <si>
    <t>98a9c1ee7971de6738a0477ba68ada4d</t>
  </si>
  <si>
    <t>ID-71650539134</t>
  </si>
  <si>
    <t>ORDOKDRYQECOSEPO</t>
  </si>
  <si>
    <t>28/04/2026 09:26</t>
  </si>
  <si>
    <t>28987210985I2A6PABIC</t>
  </si>
  <si>
    <t>amex</t>
  </si>
  <si>
    <t>Paola Mendes de Oliveira Freitas</t>
  </si>
  <si>
    <t>61090476191</t>
  </si>
  <si>
    <t>04.719.284/0001-21</t>
  </si>
  <si>
    <t>Freedom Motors Ltda</t>
  </si>
  <si>
    <t>diretoria@freedomhonda.com.br</t>
  </si>
  <si>
    <t>61996554106</t>
  </si>
  <si>
    <t>71200035</t>
  </si>
  <si>
    <t>Quadra SIA Quadra 3-C A/e 19 loja</t>
  </si>
  <si>
    <t>75</t>
  </si>
  <si>
    <t>Freedom Honda</t>
  </si>
  <si>
    <t>Zona Industrial (Guará)</t>
  </si>
  <si>
    <t>f7e15f0daa397d5f79a458be66063f22</t>
  </si>
  <si>
    <t>https://loja.startse.com.br//processamento/fatura/f7e15f0daa397d5f79a458be66063f22</t>
  </si>
  <si>
    <t>23/05/2019</t>
  </si>
  <si>
    <t>ID-04719284000121</t>
  </si>
  <si>
    <t>ORDQTHAT37R07SIT</t>
  </si>
  <si>
    <t>28/04/2026 09:19</t>
  </si>
  <si>
    <t>28987210985I2A6OB3SC</t>
  </si>
  <si>
    <t>Christian Montalvao e Silva</t>
  </si>
  <si>
    <t>55396194120</t>
  </si>
  <si>
    <t>christianb@freedomhonda.com.br</t>
  </si>
  <si>
    <t>028076561f6ab4e87bb6b4c23ce84d65</t>
  </si>
  <si>
    <t>https://loja.startse.com.br//processamento/fatura/028076561f6ab4e87bb6b4c23ce84d65</t>
  </si>
  <si>
    <t>ORDNY4LLZ4OR7N9W</t>
  </si>
  <si>
    <t>27/04/2026 18:05</t>
  </si>
  <si>
    <t>27/04/2026</t>
  </si>
  <si>
    <t>AI for Leaders - Atualização 2025</t>
  </si>
  <si>
    <t>ai-for-leaders-ed3a25</t>
  </si>
  <si>
    <t>35723762893</t>
  </si>
  <si>
    <t>grodrigues1988@gmail.com</t>
  </si>
  <si>
    <t>9ffd349ebc3061a217d7864e9b95f7e3</t>
  </si>
  <si>
    <t>CORTESIAOBRAMAX</t>
  </si>
  <si>
    <t>15/05/2025</t>
  </si>
  <si>
    <t>ID-35723762893</t>
  </si>
  <si>
    <t>COM69EFB21A10F3F</t>
  </si>
  <si>
    <t>27/04/2026 15:59</t>
  </si>
  <si>
    <t>Flavia Azevedo Moreira de Morais</t>
  </si>
  <si>
    <t>87441241120</t>
  </si>
  <si>
    <t>famorais@sesicni.com.br</t>
  </si>
  <si>
    <t>556198356677</t>
  </si>
  <si>
    <t>70040-903</t>
  </si>
  <si>
    <t>SBN Quadra 1 Bloco C</t>
  </si>
  <si>
    <t>n/a</t>
  </si>
  <si>
    <t>Executive Program</t>
  </si>
  <si>
    <t>399761a84840654786f48a936393c111</t>
  </si>
  <si>
    <t>ID-87441241120</t>
  </si>
  <si>
    <t>COM69EFACF1B7637</t>
  </si>
  <si>
    <t>27/04/2026 15:37</t>
  </si>
  <si>
    <t>Luci Silva e Castro</t>
  </si>
  <si>
    <t>00.360.305/0001-04</t>
  </si>
  <si>
    <t>CAIXA ECONOMICA FEDERAL</t>
  </si>
  <si>
    <t>fundosdeinvestimento@caixa.gov.br</t>
  </si>
  <si>
    <t>11974853282</t>
  </si>
  <si>
    <t>70092900</t>
  </si>
  <si>
    <t>SETOR SBS</t>
  </si>
  <si>
    <t>QUADRA4 BLOCO A ANDAR TODOS</t>
  </si>
  <si>
    <t>ASA SUL</t>
  </si>
  <si>
    <t>1db69fae9de8bfb37e4106aabd7b79a8</t>
  </si>
  <si>
    <t>20/11/2017</t>
  </si>
  <si>
    <t>ID-00360305000104</t>
  </si>
  <si>
    <t>COM69EF7B8B0EE42</t>
  </si>
  <si>
    <t>27/04/2026 12:06</t>
  </si>
  <si>
    <t>Paola Morschel Jagher</t>
  </si>
  <si>
    <t>04031908946</t>
  </si>
  <si>
    <t>paola.jagher@cnh.com</t>
  </si>
  <si>
    <t>554184130265</t>
  </si>
  <si>
    <t>5b0524aeae7a19316537beb9d56a480e</t>
  </si>
  <si>
    <t>ID-04031908946</t>
  </si>
  <si>
    <t>COM69EF7A7A057A3</t>
  </si>
  <si>
    <t>27/04/2026 12:02</t>
  </si>
  <si>
    <t>Flavia David de Denucci Martins</t>
  </si>
  <si>
    <t>02145619763</t>
  </si>
  <si>
    <t>flavia.david@portoseguro.com.br</t>
  </si>
  <si>
    <t>5521982676065</t>
  </si>
  <si>
    <t>f923a11cf3831e7bf02520a994d239db</t>
  </si>
  <si>
    <t>ID-02145619763</t>
  </si>
  <si>
    <t>COM69EF4EDD3DD64</t>
  </si>
  <si>
    <t>27/04/2026 08:56</t>
  </si>
  <si>
    <t>José Antunes Coimbra Neto</t>
  </si>
  <si>
    <t>05541984793</t>
  </si>
  <si>
    <t>jose.coimbra@selic.anbima.com.br</t>
  </si>
  <si>
    <t>5521999645261</t>
  </si>
  <si>
    <t>4f033b3e7ce057fef37df2229d465f37</t>
  </si>
  <si>
    <t>08/11/2023</t>
  </si>
  <si>
    <t>ID-05541984793</t>
  </si>
  <si>
    <t>COM69EBAC15235A0</t>
  </si>
  <si>
    <t>24/04/2026 14:44</t>
  </si>
  <si>
    <t>24/04/2026</t>
  </si>
  <si>
    <t>Palestra Piero - SANTANDER - SP</t>
  </si>
  <si>
    <t>corporate-palestra-ed22a26</t>
  </si>
  <si>
    <t>Kathleen Guimarães</t>
  </si>
  <si>
    <t>90.400.888/0001-42</t>
  </si>
  <si>
    <t>BANCO SANTANDER (BRASIL) S.A.</t>
  </si>
  <si>
    <t>kaguimaraes@santander.com.br</t>
  </si>
  <si>
    <t>11947694664</t>
  </si>
  <si>
    <t>1140043535</t>
  </si>
  <si>
    <t>04543011</t>
  </si>
  <si>
    <t>2041</t>
  </si>
  <si>
    <t>CONJ 281 BLOCO A COND WTORRE JK</t>
  </si>
  <si>
    <t>2c57f4d4f37af1a1a2b5906b7163fd00</t>
  </si>
  <si>
    <t>08/11/2016</t>
  </si>
  <si>
    <t>ID-90400888000142</t>
  </si>
  <si>
    <t>ORD3FSIMECVRDMUE</t>
  </si>
  <si>
    <t>24/04/2026 14:13</t>
  </si>
  <si>
    <t>28974115835HULESTS1E</t>
  </si>
  <si>
    <t>PROFECTUM TECNOLOGIA DA INFORMACAO LTDA</t>
  </si>
  <si>
    <t>03404179358</t>
  </si>
  <si>
    <t>30.482.215/0001-57</t>
  </si>
  <si>
    <t>admfinanceiro@profectum.com.br</t>
  </si>
  <si>
    <t>85981029522</t>
  </si>
  <si>
    <t>61775060</t>
  </si>
  <si>
    <t>CALIXTO MACHADO</t>
  </si>
  <si>
    <t>21</t>
  </si>
  <si>
    <t>SALA  C</t>
  </si>
  <si>
    <t>PIRES FACANHA</t>
  </si>
  <si>
    <t>Eusébio</t>
  </si>
  <si>
    <t>CE</t>
  </si>
  <si>
    <t>6343cf0bb650d986cdc3087dd4230a29</t>
  </si>
  <si>
    <t>Exclusivo_vip_festivalia2026</t>
  </si>
  <si>
    <t>20/09/2024</t>
  </si>
  <si>
    <t>ID-30482215000157</t>
  </si>
  <si>
    <t>ORDS5WTCDIXD81U7</t>
  </si>
  <si>
    <t>24/04/2026 14:02</t>
  </si>
  <si>
    <t>28974115835HULETEAME</t>
  </si>
  <si>
    <t>Tino Aldo Mantarro</t>
  </si>
  <si>
    <t>00817682813</t>
  </si>
  <si>
    <t>tinoamantarro@gmail.com</t>
  </si>
  <si>
    <t>11945443883</t>
  </si>
  <si>
    <t>06706085</t>
  </si>
  <si>
    <t>Rua Bartolomeu Bueno da Silva</t>
  </si>
  <si>
    <t>105</t>
  </si>
  <si>
    <t>São Paulo II</t>
  </si>
  <si>
    <t>Cotia</t>
  </si>
  <si>
    <t>372b8317bea07e6de67750aa3cc5fb46</t>
  </si>
  <si>
    <t>ESPECIAL_FERBITT_INTERACTIVE</t>
  </si>
  <si>
    <t>ID-00817682813</t>
  </si>
  <si>
    <t>COM69EB7E42619B9</t>
  </si>
  <si>
    <t>24/04/2026 11:29</t>
  </si>
  <si>
    <t>Gabriela Di Rissio</t>
  </si>
  <si>
    <t>38369082807</t>
  </si>
  <si>
    <t>gabriela.rissio@volkswagen.com.br</t>
  </si>
  <si>
    <t>5511989264420</t>
  </si>
  <si>
    <t>2f65f08575b319605778d002eb78661f</t>
  </si>
  <si>
    <t>ID-38369082807</t>
  </si>
  <si>
    <t>COM69EA5C9363C84</t>
  </si>
  <si>
    <t>23/04/2026 14:53</t>
  </si>
  <si>
    <t>71981035781</t>
  </si>
  <si>
    <t>1141967437</t>
  </si>
  <si>
    <t>Alameda Grajau</t>
  </si>
  <si>
    <t>Andar 14</t>
  </si>
  <si>
    <t>Alphaville Centro Industrial e Empresarial</t>
  </si>
  <si>
    <t>AI Festival 2026 - Ingresso Explorer | Pedido: 4500153882</t>
  </si>
  <si>
    <t>1c1751fe76f288c9869fbebc815522ae</t>
  </si>
  <si>
    <t>ORDY9ORGIIXFIWH6</t>
  </si>
  <si>
    <t>23/04/2026 09:52</t>
  </si>
  <si>
    <t>23/04/2026</t>
  </si>
  <si>
    <t>Lucas Humberto Coelho Frota</t>
  </si>
  <si>
    <t>08404768331</t>
  </si>
  <si>
    <t>07.599.186/0001-96</t>
  </si>
  <si>
    <t>Dissobel</t>
  </si>
  <si>
    <t>lucksbrasil123@gmail.com</t>
  </si>
  <si>
    <t>88999222502</t>
  </si>
  <si>
    <t>62050382</t>
  </si>
  <si>
    <t>Avenida Senador Fernandes Távora</t>
  </si>
  <si>
    <t>402</t>
  </si>
  <si>
    <t>Sinhá Sabóia</t>
  </si>
  <si>
    <t>Sobral</t>
  </si>
  <si>
    <t>fa5248c33d4e80982a273b348de633ac</t>
  </si>
  <si>
    <t>19/12/2024</t>
  </si>
  <si>
    <t>ID-07599186000196</t>
  </si>
  <si>
    <t>COM69EA13531D3E0</t>
  </si>
  <si>
    <t>23/04/2026 09:40</t>
  </si>
  <si>
    <t>Viviane Midori Kadowaki Rassi</t>
  </si>
  <si>
    <t>28980488874</t>
  </si>
  <si>
    <t>vkadowaki@sicoob.com.br</t>
  </si>
  <si>
    <t>5516981632557</t>
  </si>
  <si>
    <t>ff2a5dc4c62c63938613f1efc84194a8</t>
  </si>
  <si>
    <t>ID-28980488874</t>
  </si>
  <si>
    <t>COM69EA09A45DFA2</t>
  </si>
  <si>
    <t>23/04/2026 08:59</t>
  </si>
  <si>
    <t>Antonio do Amaral Júnior</t>
  </si>
  <si>
    <t>20253186854</t>
  </si>
  <si>
    <t>ajunior@unimedpr.coop.br</t>
  </si>
  <si>
    <t>5519982145655</t>
  </si>
  <si>
    <t>3862f1a1c85dda2ba84239777a82ec37</t>
  </si>
  <si>
    <t>ID-20253186854</t>
  </si>
  <si>
    <t>COM69E935400D722</t>
  </si>
  <si>
    <t>22/04/2026 17:53</t>
  </si>
  <si>
    <t>22/04/2026</t>
  </si>
  <si>
    <t>AI Strategy - 23 de abril de 2026</t>
  </si>
  <si>
    <t>imersao-presencial-strategy-ai-ed1a26</t>
  </si>
  <si>
    <t>Marcelo Tonhazolo</t>
  </si>
  <si>
    <t>13148226836</t>
  </si>
  <si>
    <t>marcelo.tonhazolo@manserv.com.br</t>
  </si>
  <si>
    <t>5511985713562</t>
  </si>
  <si>
    <t>b1e00e72e32d860431a419124ab9e5cb</t>
  </si>
  <si>
    <t>ID-13148226836</t>
  </si>
  <si>
    <t>COM69E906D172115</t>
  </si>
  <si>
    <t>22/04/2026 14:35</t>
  </si>
  <si>
    <t>Workshop Sicredi Central Sul Sudeste - Gestão de Pessoas</t>
  </si>
  <si>
    <t>corporate-workshop-ed3a26</t>
  </si>
  <si>
    <t>Alexandra Godoy</t>
  </si>
  <si>
    <t>10.510.590/0001-56</t>
  </si>
  <si>
    <t>SERVICO NACIONAL DE APRENDIZAGEM DO COOPERATIVISMO DO ESTADO DO RIO GRANDE DO SUL - SESCOOP/RS</t>
  </si>
  <si>
    <t>alexandra_godoy@sicredi.com.br</t>
  </si>
  <si>
    <t>51995634876</t>
  </si>
  <si>
    <t>5133230018</t>
  </si>
  <si>
    <t>90240581</t>
  </si>
  <si>
    <t>BERLIM</t>
  </si>
  <si>
    <t>409</t>
  </si>
  <si>
    <t>ANDAR 3</t>
  </si>
  <si>
    <t>SAO GERALDO</t>
  </si>
  <si>
    <t>Porto Alegre</t>
  </si>
  <si>
    <t>cb2dc8c68c3c3bd129f0a8925d5245fc</t>
  </si>
  <si>
    <t>17/06/2026</t>
  </si>
  <si>
    <t>17/04/2018</t>
  </si>
  <si>
    <t>ID-10510590000156</t>
  </si>
  <si>
    <t>COM69E8E212E0B54</t>
  </si>
  <si>
    <t>22/04/2026 11:58</t>
  </si>
  <si>
    <t>Otávio Mendonça Lucas</t>
  </si>
  <si>
    <t>10882828657</t>
  </si>
  <si>
    <t>otavio.lucas@agrocp.agr.br</t>
  </si>
  <si>
    <t>5535997215271</t>
  </si>
  <si>
    <t>c42f32ea7680c4722384ae186f48a061</t>
  </si>
  <si>
    <t>Junior Borneli</t>
  </si>
  <si>
    <t>ID-10882828657</t>
  </si>
  <si>
    <t>COM69E8E14D7B05F</t>
  </si>
  <si>
    <t>22/04/2026 11:55</t>
  </si>
  <si>
    <t>Tais Verena de Oliveira</t>
  </si>
  <si>
    <t>08076128633</t>
  </si>
  <si>
    <t>tais.oliveira@agrocp.agr.br</t>
  </si>
  <si>
    <t>5535992470074</t>
  </si>
  <si>
    <t>0eea9e53ade2f6490487560d2351e4db</t>
  </si>
  <si>
    <t>ID-08076128633</t>
  </si>
  <si>
    <t>COM69E8DBED6F58A</t>
  </si>
  <si>
    <t>22/04/2026 11:32</t>
  </si>
  <si>
    <t>Rodrigo Peres</t>
  </si>
  <si>
    <t>22358608858</t>
  </si>
  <si>
    <t>rodrigo.peres@claro.com.br</t>
  </si>
  <si>
    <t>5511999763977</t>
  </si>
  <si>
    <t>39cdbafefd3c5bd1e5d9bfed779a0623</t>
  </si>
  <si>
    <t>ID-22358608858</t>
  </si>
  <si>
    <t>COM69E8D6EA64987</t>
  </si>
  <si>
    <t>22/04/2026 11:10</t>
  </si>
  <si>
    <t>PRISCILA HERMSDORFF PONTES</t>
  </si>
  <si>
    <t>11958349961</t>
  </si>
  <si>
    <t>Evento: 50370483 - Participante: Guilherme Mauricio de Lima</t>
  </si>
  <si>
    <t>eb1005383e5ee80ea29ad5a3054419df</t>
  </si>
  <si>
    <t>COM69E664AE47CC4</t>
  </si>
  <si>
    <t>20/04/2026 14:38</t>
  </si>
  <si>
    <t>Tatiana Lira</t>
  </si>
  <si>
    <t>06.665.129/0001-03</t>
  </si>
  <si>
    <t>SERVICO DE APOIO AS MICRO E PEQ EMP DO PIAUI</t>
  </si>
  <si>
    <t>tatiana.lira@pi.sebrae.com.br</t>
  </si>
  <si>
    <t>8694347715</t>
  </si>
  <si>
    <t>8699404040</t>
  </si>
  <si>
    <t>64000300</t>
  </si>
  <si>
    <t>CAMPOS SALES</t>
  </si>
  <si>
    <t>1046</t>
  </si>
  <si>
    <t>Teresina</t>
  </si>
  <si>
    <t>PI</t>
  </si>
  <si>
    <t>AI Festival</t>
  </si>
  <si>
    <t>893ae516aa37ac22ff5a9f2d2c41ceab</t>
  </si>
  <si>
    <t>15/10/2018</t>
  </si>
  <si>
    <t>ID-06665129000103</t>
  </si>
  <si>
    <t>COM69E66376AD23D</t>
  </si>
  <si>
    <t>20/04/2026 14:33</t>
  </si>
  <si>
    <t>20/04/2026</t>
  </si>
  <si>
    <t>Guilherme Queiroz</t>
  </si>
  <si>
    <t>27842218811</t>
  </si>
  <si>
    <t>guilherme.queiroz@medtronic.com</t>
  </si>
  <si>
    <t>5511999718574</t>
  </si>
  <si>
    <t>8af81e125d6d8031b86985a2d15eeae5</t>
  </si>
  <si>
    <t>05/03/2024</t>
  </si>
  <si>
    <t>ID-27842218811</t>
  </si>
  <si>
    <t>COM69E662A545B04</t>
  </si>
  <si>
    <t>20/04/2026 14:30</t>
  </si>
  <si>
    <t>Rafael Tobara</t>
  </si>
  <si>
    <t>rafael.tobara@gmail.com</t>
  </si>
  <si>
    <t>ee4fa16ec86951618d79a3e873b713a7</t>
  </si>
  <si>
    <t>ORDZ2YAYRDE6RY4L</t>
  </si>
  <si>
    <t>20/04/2026 14:00</t>
  </si>
  <si>
    <t>Ana Paula Nascimento Linhares</t>
  </si>
  <si>
    <t>68271557220</t>
  </si>
  <si>
    <t>04.902.979/0001-44</t>
  </si>
  <si>
    <t>BANCO DA AMAZONIA SA</t>
  </si>
  <si>
    <t>anapaula.nascimento@basa.com.br</t>
  </si>
  <si>
    <t>91982320533</t>
  </si>
  <si>
    <t>66017000</t>
  </si>
  <si>
    <t>PRESIDENTE VARGAS</t>
  </si>
  <si>
    <t>800</t>
  </si>
  <si>
    <t>10º andar - Bloco B</t>
  </si>
  <si>
    <t>Belém</t>
  </si>
  <si>
    <t>PA</t>
  </si>
  <si>
    <t>2009db58015d5166d535b855bf08ca0a</t>
  </si>
  <si>
    <t>AI-FESTIVAL26-INTERACTIVE-1</t>
  </si>
  <si>
    <t>ID-04902979000144</t>
  </si>
  <si>
    <t>COM69E6489899CAA</t>
  </si>
  <si>
    <t>20/04/2026 12:39</t>
  </si>
  <si>
    <t>Diego Neufert</t>
  </si>
  <si>
    <t>03072316902</t>
  </si>
  <si>
    <t>neufert@gmail.com</t>
  </si>
  <si>
    <t>242adfcc01ea8262169c657cb3a5559f</t>
  </si>
  <si>
    <t>ID-03072316902</t>
  </si>
  <si>
    <t>COM69E636F2D3B15</t>
  </si>
  <si>
    <t>20/04/2026 11:23</t>
  </si>
  <si>
    <t>Daniel Camarotto Mota</t>
  </si>
  <si>
    <t>30404520880</t>
  </si>
  <si>
    <t>daniel.mota@itau-unibanco.com.br</t>
  </si>
  <si>
    <t>5511975788659</t>
  </si>
  <si>
    <t>c2d1af93643766ed61a13b2fc4d79d10</t>
  </si>
  <si>
    <t>16/10/2024</t>
  </si>
  <si>
    <t>ID-30404520880</t>
  </si>
  <si>
    <t>COM69E63624A2273</t>
  </si>
  <si>
    <t>20/04/2026 11:20</t>
  </si>
  <si>
    <t>Paula Montoni Fontes</t>
  </si>
  <si>
    <t>12297566719</t>
  </si>
  <si>
    <t>5521971523772</t>
  </si>
  <si>
    <t>0c545dc677495f6515904a067179ea63</t>
  </si>
  <si>
    <t>ID-12297566719</t>
  </si>
  <si>
    <t>COM69E6349517772</t>
  </si>
  <si>
    <t>20/04/2026 11:13</t>
  </si>
  <si>
    <t>Augusto Cesar Felippe Borges</t>
  </si>
  <si>
    <t>09393253730</t>
  </si>
  <si>
    <t>augusto.borges@grupobrasanitas.com.br</t>
  </si>
  <si>
    <t>5511945051139</t>
  </si>
  <si>
    <t>b70967a2a175c69cd690f39a4c768d02</t>
  </si>
  <si>
    <t>Luis Fernando Roos Acosta</t>
  </si>
  <si>
    <t>ID-09393253730</t>
  </si>
  <si>
    <t>ORDZDIE6JGSTZF2J</t>
  </si>
  <si>
    <t>20/04/2026 08:29</t>
  </si>
  <si>
    <t>28987210985HQPOD1BBC</t>
  </si>
  <si>
    <t>Silicon Valley Xperience - 31 de Agosto a 4 de Setembro de 2026</t>
  </si>
  <si>
    <t>silicon-valley-xperience-ed6a26</t>
  </si>
  <si>
    <t>Júlio César David Silva</t>
  </si>
  <si>
    <t>16996249848</t>
  </si>
  <si>
    <t>julio_cesar.silva@daimlertruck.com</t>
  </si>
  <si>
    <t>11956574889</t>
  </si>
  <si>
    <t>13333534</t>
  </si>
  <si>
    <t>Rua Durval Sombini</t>
  </si>
  <si>
    <t>345</t>
  </si>
  <si>
    <t>Lote 17 - QuadraA</t>
  </si>
  <si>
    <t>Residencial Duas Marias</t>
  </si>
  <si>
    <t>Indaiatuba</t>
  </si>
  <si>
    <t>e71c4eb1924690571046c8ba3d2c5fa0</t>
  </si>
  <si>
    <t>OFFVALE-GC-MERCEDES-JULIOCESAR</t>
  </si>
  <si>
    <t>31/08/2026</t>
  </si>
  <si>
    <t>https://loja.startse.com.br//processamento/fatura/e71c4eb1924690571046c8ba3d2c5fa0</t>
  </si>
  <si>
    <t>Vale do Silício</t>
  </si>
  <si>
    <t>17/04/2024</t>
  </si>
  <si>
    <t>ID-16996249848</t>
  </si>
  <si>
    <t>COM69E5831451D7F</t>
  </si>
  <si>
    <t>19/04/2026 22:36</t>
  </si>
  <si>
    <t>Paulo Máximo</t>
  </si>
  <si>
    <t>01.844.555/0001-82</t>
  </si>
  <si>
    <t>CNH INDUSTRIAL BRASIL LTDA.</t>
  </si>
  <si>
    <t>paulo.maximo@cnh.com</t>
  </si>
  <si>
    <t>4196100110</t>
  </si>
  <si>
    <t>3121043392</t>
  </si>
  <si>
    <t>34006049</t>
  </si>
  <si>
    <t>OSCAR NIEMEYER</t>
  </si>
  <si>
    <t>132</t>
  </si>
  <si>
    <t>SALA 801</t>
  </si>
  <si>
    <t>VALE DO SERENO</t>
  </si>
  <si>
    <t>Nova Lima</t>
  </si>
  <si>
    <t>CNH</t>
  </si>
  <si>
    <t>183fadb4d9b30dbd5740b9e4d0318a1a</t>
  </si>
  <si>
    <t>28/06/2024</t>
  </si>
  <si>
    <t>ID-01844555000182</t>
  </si>
  <si>
    <t>ORDMSK0LMPNC04BX</t>
  </si>
  <si>
    <t>17/04/2026 15:29</t>
  </si>
  <si>
    <t>17/04/2026</t>
  </si>
  <si>
    <t>28974115835HO4EJSTDE</t>
  </si>
  <si>
    <t>Daniel Aleixo</t>
  </si>
  <si>
    <t>41298200873</t>
  </si>
  <si>
    <t>41.068.341/0001-86</t>
  </si>
  <si>
    <t>LBA CONSULTORIA E ASSESSORIA LTDA</t>
  </si>
  <si>
    <t>daniel@lbac.com.br</t>
  </si>
  <si>
    <t>16993374959</t>
  </si>
  <si>
    <t>14024260</t>
  </si>
  <si>
    <t>PROFESSOR JOAO FIUSA</t>
  </si>
  <si>
    <t>1148</t>
  </si>
  <si>
    <t>LBA</t>
  </si>
  <si>
    <t>JARDIM CANADA</t>
  </si>
  <si>
    <t>Ribeirão Preto</t>
  </si>
  <si>
    <t>273c3f5295ab083526dd2142475feaa3</t>
  </si>
  <si>
    <t>ID-41068341000186</t>
  </si>
  <si>
    <t>ORDS7EQU0JVI1NRQ</t>
  </si>
  <si>
    <t>17/04/2026 15:27</t>
  </si>
  <si>
    <t>28974115835HO4EIV82E</t>
  </si>
  <si>
    <t>Caio Menezes</t>
  </si>
  <si>
    <t>10524295646</t>
  </si>
  <si>
    <t>caio.menezes@lbac.com.br</t>
  </si>
  <si>
    <t>35992449586</t>
  </si>
  <si>
    <t>7ca6937d7dd830b1e5d030aa9b210cb5</t>
  </si>
  <si>
    <t>COM69E2649F941CD</t>
  </si>
  <si>
    <t>17/04/2026 13:49</t>
  </si>
  <si>
    <t>Renan Fonteles Albuquerque</t>
  </si>
  <si>
    <t>04838770340</t>
  </si>
  <si>
    <t>renanfa@bnb.gov.br</t>
  </si>
  <si>
    <t>5585987683898</t>
  </si>
  <si>
    <t>60810-670</t>
  </si>
  <si>
    <t>Rua B</t>
  </si>
  <si>
    <t>5700</t>
  </si>
  <si>
    <t>Engenheiro Luciano Cavalcante</t>
  </si>
  <si>
    <t>Fortaleza</t>
  </si>
  <si>
    <t>Strategy AI</t>
  </si>
  <si>
    <t>8aab4034e61bd09ac179e8a8b21f1b34</t>
  </si>
  <si>
    <t>ID-04838770340</t>
  </si>
  <si>
    <t>COM69E25FD8DA1E4</t>
  </si>
  <si>
    <t>17/04/2026 13:29</t>
  </si>
  <si>
    <t>Jorge Américo Marfim Stakowiak</t>
  </si>
  <si>
    <t>27418129858</t>
  </si>
  <si>
    <t>jorge.stakowiak@gruposc.com.br</t>
  </si>
  <si>
    <t>5511995136191</t>
  </si>
  <si>
    <t>32484e205f80ee07ec3f1b3813ca98ab</t>
  </si>
  <si>
    <t>ID-27418129858</t>
  </si>
  <si>
    <t>COM69E2462473985</t>
  </si>
  <si>
    <t>17/04/2026 11:39</t>
  </si>
  <si>
    <t>Victor Antônio Costa</t>
  </si>
  <si>
    <t>69535795104</t>
  </si>
  <si>
    <t>victor.costa@sebraego.com.br</t>
  </si>
  <si>
    <t>5562982021229</t>
  </si>
  <si>
    <t>74215-095</t>
  </si>
  <si>
    <t>Avenida T 3</t>
  </si>
  <si>
    <t>s/n</t>
  </si>
  <si>
    <t>Setor Bueno</t>
  </si>
  <si>
    <t>Goiânia</t>
  </si>
  <si>
    <t>GO</t>
  </si>
  <si>
    <t>Strategy.AI</t>
  </si>
  <si>
    <t>27ebb2f941162ab514e75bf62dd0bd84</t>
  </si>
  <si>
    <t>ID-69535795104</t>
  </si>
  <si>
    <t>COM69E241F6E08D9</t>
  </si>
  <si>
    <t>17/04/2026 11:21</t>
  </si>
  <si>
    <t>HR Powerup</t>
  </si>
  <si>
    <t>hr-powerup-ed1a26</t>
  </si>
  <si>
    <t>Danielle Matos da Cunha Lima</t>
  </si>
  <si>
    <t>07.625.772/0001-68</t>
  </si>
  <si>
    <t>SPACE EMPREENDIMENTOS E PARTICIPACOES LTDA</t>
  </si>
  <si>
    <t>danielle.matos@algarempreendimentos.com.br</t>
  </si>
  <si>
    <t>34999920251</t>
  </si>
  <si>
    <t>3432911400</t>
  </si>
  <si>
    <t>38406642</t>
  </si>
  <si>
    <t>FLORIANO PEIXOTO</t>
  </si>
  <si>
    <t>5525</t>
  </si>
  <si>
    <t>STAND 2 SALA 2</t>
  </si>
  <si>
    <t>MARILEUSA</t>
  </si>
  <si>
    <t>Uberlândia</t>
  </si>
  <si>
    <t>c41ecffa1852faa59c27e333ea9ddd1b</t>
  </si>
  <si>
    <t>23/03/2026</t>
  </si>
  <si>
    <t>ID-07625772000168</t>
  </si>
  <si>
    <t>COM69E23A09CA1A0</t>
  </si>
  <si>
    <t>17/04/2026 10:47</t>
  </si>
  <si>
    <t>Mariane Oliveira Machado</t>
  </si>
  <si>
    <t>71.208.516/0001-74</t>
  </si>
  <si>
    <t>ALGAR TELECOM S/A</t>
  </si>
  <si>
    <t>mariane.oliveira@algar.com.br</t>
  </si>
  <si>
    <t>34998883650</t>
  </si>
  <si>
    <t>3432562963</t>
  </si>
  <si>
    <t>38400668</t>
  </si>
  <si>
    <t>JOSE ALVES GARCIA</t>
  </si>
  <si>
    <t>415</t>
  </si>
  <si>
    <t>BRASIL</t>
  </si>
  <si>
    <t>HR Powerup | Pedido de compras: 4500474908</t>
  </si>
  <si>
    <t>0d11cff1bf3d9877e844440066d6b10a</t>
  </si>
  <si>
    <t>16/03/2018</t>
  </si>
  <si>
    <t>ID-71208516000174</t>
  </si>
  <si>
    <t>COM69E177695B361</t>
  </si>
  <si>
    <t>16/04/2026 20:57</t>
  </si>
  <si>
    <t>China Xperience - 14 a 18 de Setembro de 2026</t>
  </si>
  <si>
    <t>china-xperience-ed7a26</t>
  </si>
  <si>
    <t>Fiorella Peroni</t>
  </si>
  <si>
    <t>05201859860</t>
  </si>
  <si>
    <t>fiorella.peroni@oracle.com</t>
  </si>
  <si>
    <t>11999999999</t>
  </si>
  <si>
    <t>Fiorella Peroni l Oracle l China</t>
  </si>
  <si>
    <t>32ad60b873e0de1a5c9c52ef14b820ec</t>
  </si>
  <si>
    <t>14/09/2026</t>
  </si>
  <si>
    <t>https://loja.startse.com.br//processamento/fatura/32ad60b873e0de1a5c9c52ef14b820ec</t>
  </si>
  <si>
    <t>16/04/2026</t>
  </si>
  <si>
    <t>ID-05201859860</t>
  </si>
  <si>
    <t>COM69E149A006B2D</t>
  </si>
  <si>
    <t>16/04/2026 17:42</t>
  </si>
  <si>
    <t>Cecilia Ines Weber</t>
  </si>
  <si>
    <t>89.086.144/0011-98</t>
  </si>
  <si>
    <t>RANDONCORP S.A.</t>
  </si>
  <si>
    <t>cecilia.ines@randoncorp.com</t>
  </si>
  <si>
    <t>5432394177</t>
  </si>
  <si>
    <t>5432392000</t>
  </si>
  <si>
    <t>95055010</t>
  </si>
  <si>
    <t>ABRAMO RANDON</t>
  </si>
  <si>
    <t>770</t>
  </si>
  <si>
    <t>ANDAR: PRIMEIRO</t>
  </si>
  <si>
    <t>INTERLAGOS</t>
  </si>
  <si>
    <t>Caxias do Sul</t>
  </si>
  <si>
    <t>HR Powerup | Número do Pedido:4504114908</t>
  </si>
  <si>
    <t>5c4f7136d617be9424de501de63ea233</t>
  </si>
  <si>
    <t>ID-89086144001198</t>
  </si>
  <si>
    <t>COM69E11D0CE0E71</t>
  </si>
  <si>
    <t>16/04/2026 14:31</t>
  </si>
  <si>
    <t>Jana Morais</t>
  </si>
  <si>
    <t>01288069588</t>
  </si>
  <si>
    <t>Jana.morais@pmi.com</t>
  </si>
  <si>
    <t>5511953108658</t>
  </si>
  <si>
    <t>bdbf37e4332bc5e72de4dbf3eb56aad6</t>
  </si>
  <si>
    <t>ID-01288069588</t>
  </si>
  <si>
    <t>COM69E0F8E304413</t>
  </si>
  <si>
    <t>16/04/2026 11:57</t>
  </si>
  <si>
    <t>Eduardo de Mello Rollo</t>
  </si>
  <si>
    <t>27926279803</t>
  </si>
  <si>
    <t>eduardo.rollo@assai.com.br</t>
  </si>
  <si>
    <t>559999999888</t>
  </si>
  <si>
    <t>8bb2d1719afaa5c66f6b1e176b456524</t>
  </si>
  <si>
    <t>ID-27926279803</t>
  </si>
  <si>
    <t>COM69E0F6C9AB80F</t>
  </si>
  <si>
    <t>16/04/2026 11:48</t>
  </si>
  <si>
    <t>Damian Préve</t>
  </si>
  <si>
    <t>00712660976</t>
  </si>
  <si>
    <t>preve@bb.com.br</t>
  </si>
  <si>
    <t>5561995189911</t>
  </si>
  <si>
    <t>f2e3ffc8fc73fb6c01068f2f398109f8</t>
  </si>
  <si>
    <t>ID-00712660976</t>
  </si>
  <si>
    <t>COM69E0F6374313B</t>
  </si>
  <si>
    <t>16/04/2026 11:46</t>
  </si>
  <si>
    <t>Ana Paula Santos de Oliveira</t>
  </si>
  <si>
    <t>04699547958</t>
  </si>
  <si>
    <t>anaoliveiraa@bb.com.br</t>
  </si>
  <si>
    <t>5561999708188</t>
  </si>
  <si>
    <t>0176b4379ef61a7b9d11b72174c25ff1</t>
  </si>
  <si>
    <t>ID-04699547958</t>
  </si>
  <si>
    <t>COM69E0F569E00A3</t>
  </si>
  <si>
    <t>16/04/2026 11:42</t>
  </si>
  <si>
    <t>Gustavo Blattner</t>
  </si>
  <si>
    <t>28563072803</t>
  </si>
  <si>
    <t>gustavo.blattner@ipiranga.ipiranga</t>
  </si>
  <si>
    <t>5511975873530</t>
  </si>
  <si>
    <t>97e6940736ad6a72a769838707797dfe</t>
  </si>
  <si>
    <t>ID-28563072803</t>
  </si>
  <si>
    <t>COM69E0F5307C2DD</t>
  </si>
  <si>
    <t>16/04/2026 11:41</t>
  </si>
  <si>
    <t>Suyane Kanitz Ricci</t>
  </si>
  <si>
    <t>86224735115</t>
  </si>
  <si>
    <t>sricci@senaicni.com.br</t>
  </si>
  <si>
    <t>5506133171222</t>
  </si>
  <si>
    <t>6def6fba3bb8787fa82a2d20822ad049</t>
  </si>
  <si>
    <t>ID-86224735115</t>
  </si>
  <si>
    <t>COM69E0F173AD9AF</t>
  </si>
  <si>
    <t>16/04/2026 11:25</t>
  </si>
  <si>
    <t>Ana Carolina Cassinelli</t>
  </si>
  <si>
    <t>30962890855</t>
  </si>
  <si>
    <t>ana.cassinelli@simpar.com.br</t>
  </si>
  <si>
    <t>5511982078104</t>
  </si>
  <si>
    <t>7520a731d643da454609b12b0a063ab8</t>
  </si>
  <si>
    <t>ID-30962890855</t>
  </si>
  <si>
    <t>COM69E0EFD3632EB</t>
  </si>
  <si>
    <t>16/04/2026 11:18</t>
  </si>
  <si>
    <t>Marco Antonio Costa Guimaraes</t>
  </si>
  <si>
    <t>07986199881</t>
  </si>
  <si>
    <t>marco.guimaraes@br.nestle.com</t>
  </si>
  <si>
    <t>5511976976020</t>
  </si>
  <si>
    <t>1f68b5e6be1f0a5d53681201e0e7d291</t>
  </si>
  <si>
    <t>ID-07986199881</t>
  </si>
  <si>
    <t>COM69E0EAF9172D2</t>
  </si>
  <si>
    <t>16/04/2026 10:58</t>
  </si>
  <si>
    <t>Elayne Cristina Rodrigues Drumond</t>
  </si>
  <si>
    <t>02847082670</t>
  </si>
  <si>
    <t>Elayne.drumond@segurosunimed.com.br</t>
  </si>
  <si>
    <t>5531998237432</t>
  </si>
  <si>
    <t>f179d656f7500b8a8452919c7821317c</t>
  </si>
  <si>
    <t>ID-02847082670</t>
  </si>
  <si>
    <t>COM69E0E9E089802</t>
  </si>
  <si>
    <t>16/04/2026 10:53</t>
  </si>
  <si>
    <t>Eduardo Vasconcelos Antônio</t>
  </si>
  <si>
    <t>4cf80292496c90821c277257e5fbaa4a</t>
  </si>
  <si>
    <t>COM69E0E94A496AB</t>
  </si>
  <si>
    <t>16/04/2026 10:51</t>
  </si>
  <si>
    <t>eaf06cb3da8c11e72a43cd8ba5980dea</t>
  </si>
  <si>
    <t>15/04/2026</t>
  </si>
  <si>
    <t>COM69DFED48E6D4C</t>
  </si>
  <si>
    <t>15/04/2026 16:55</t>
  </si>
  <si>
    <t>Bruno Alves do Nascimento</t>
  </si>
  <si>
    <t>08383498705</t>
  </si>
  <si>
    <t>brunoalves@bb.com.br</t>
  </si>
  <si>
    <t>5561991003021</t>
  </si>
  <si>
    <t>70040-912</t>
  </si>
  <si>
    <t>SAUN Quadra 5 Lote B Torres I, II e III</t>
  </si>
  <si>
    <t>78bb5822ca82fe2eb8f68cf558718031</t>
  </si>
  <si>
    <t>27/08/2021</t>
  </si>
  <si>
    <t>ID-08383498705</t>
  </si>
  <si>
    <t>COM69DFDCCD935D2</t>
  </si>
  <si>
    <t>15/04/2026 15:45</t>
  </si>
  <si>
    <t>Andréa Castejon</t>
  </si>
  <si>
    <t>20541137867</t>
  </si>
  <si>
    <t>andrea.castejon@pmi.com</t>
  </si>
  <si>
    <t>5511975673071</t>
  </si>
  <si>
    <t>3ddaa1e5088a8a210a2f1f3b72b4e47f</t>
  </si>
  <si>
    <t>ID-20541137867</t>
  </si>
  <si>
    <t>COM69DE2F4A3DC90</t>
  </si>
  <si>
    <t>14/04/2026 09:12</t>
  </si>
  <si>
    <t>14/04/2026</t>
  </si>
  <si>
    <t>Aline Ferreira Carvalho</t>
  </si>
  <si>
    <t>33658278897</t>
  </si>
  <si>
    <t>aline.a.ferreira-carvalho@itau-unibanco.com.br</t>
  </si>
  <si>
    <t>5511985432482</t>
  </si>
  <si>
    <t>bdcba4329d5f5fb340b6f3cffa516e26</t>
  </si>
  <si>
    <t>09/03/2023</t>
  </si>
  <si>
    <t>ID-33658278897</t>
  </si>
  <si>
    <t>COM69DD566966DFF</t>
  </si>
  <si>
    <t>13/04/2026 17:47</t>
  </si>
  <si>
    <t>13/04/2026</t>
  </si>
  <si>
    <t>Mateus De Melo Araujo</t>
  </si>
  <si>
    <t>05028879664</t>
  </si>
  <si>
    <t>mateus.melo@sebraemg.com.br</t>
  </si>
  <si>
    <t>5531971237834</t>
  </si>
  <si>
    <t>30431-285</t>
  </si>
  <si>
    <t>Avenida Barão Homem de Melo</t>
  </si>
  <si>
    <t>329</t>
  </si>
  <si>
    <t>Nova Granada</t>
  </si>
  <si>
    <t>feb9de288df54c31b8d5ed271840fe25</t>
  </si>
  <si>
    <t>ID-05028879664</t>
  </si>
  <si>
    <t>COM69DD46D6BFE1A</t>
  </si>
  <si>
    <t>13/04/2026 16:41</t>
  </si>
  <si>
    <t>Michel Antonio Martinelli</t>
  </si>
  <si>
    <t>00232014019</t>
  </si>
  <si>
    <t>michel.martinelli@unimedsc.coop.br</t>
  </si>
  <si>
    <t>47992188393</t>
  </si>
  <si>
    <t>7d87cd447a8c8ad957536c635ae92335</t>
  </si>
  <si>
    <t>ID-00232014019</t>
  </si>
  <si>
    <t>COM69DD39963C64A</t>
  </si>
  <si>
    <t>13/04/2026 15:44</t>
  </si>
  <si>
    <t>Ana Tumolin</t>
  </si>
  <si>
    <t>32739970870</t>
  </si>
  <si>
    <t>ana.tumolin@ifood.com.br</t>
  </si>
  <si>
    <t>5519997208919</t>
  </si>
  <si>
    <t>05c868ceb5b3cec92218419ba18c8b0d</t>
  </si>
  <si>
    <t>ID-32739970870</t>
  </si>
  <si>
    <t>COM69DD390C65C21</t>
  </si>
  <si>
    <t>13/04/2026 15:42</t>
  </si>
  <si>
    <t>Marcelo Wendling</t>
  </si>
  <si>
    <t>81531443087</t>
  </si>
  <si>
    <t>Marcelo.wendling@olxbr.com</t>
  </si>
  <si>
    <t>5551997063840</t>
  </si>
  <si>
    <t>e11ebdfdc5289c778b1fef2be332dd61</t>
  </si>
  <si>
    <t>14/12/2016</t>
  </si>
  <si>
    <t>ID-81531443087</t>
  </si>
  <si>
    <t>Imersão Multiagentes - Presencial - 15 de Abril de 2026</t>
  </si>
  <si>
    <t>imersao-multiagentes-ed4a26</t>
  </si>
  <si>
    <t>Mariana Geisel</t>
  </si>
  <si>
    <t>ANDAR 9 10 14 SALA 94 BLOCO 01</t>
  </si>
  <si>
    <t>COM69DD0455D7835</t>
  </si>
  <si>
    <t>13/04/2026 11:57</t>
  </si>
  <si>
    <t>Workshop Learning AI - CHUBB - Pagamento 01</t>
  </si>
  <si>
    <t>corporate-workshop-ed32a26_pagamento01</t>
  </si>
  <si>
    <t>Camila Souza</t>
  </si>
  <si>
    <t>03.502.099/0001-18</t>
  </si>
  <si>
    <t>CHUBB SEGUROS BRASIL S.A.</t>
  </si>
  <si>
    <t>camila.souza@chubb.com</t>
  </si>
  <si>
    <t>11991957409</t>
  </si>
  <si>
    <t>1145044400</t>
  </si>
  <si>
    <t>04794000</t>
  </si>
  <si>
    <t>14401</t>
  </si>
  <si>
    <t>EDIF PQ CIDADE TB3 JATOBAANDAR 1 E 2</t>
  </si>
  <si>
    <t>VILA GERTRUDES</t>
  </si>
  <si>
    <t>Workshop Learning AI - CHUBB</t>
  </si>
  <si>
    <t>22661a0004cab4a4ed27e03ee000546d</t>
  </si>
  <si>
    <t>22/05/2026</t>
  </si>
  <si>
    <t>25/07/2019</t>
  </si>
  <si>
    <t>ID-03502099000118</t>
  </si>
  <si>
    <t>Workshop Learning AI - CHUBB - Pagamento 02</t>
  </si>
  <si>
    <t>corporate-workshop-ed32a26_pagamento02</t>
  </si>
  <si>
    <t>COM69DCFB9EA7486</t>
  </si>
  <si>
    <t>13/04/2026 11:20</t>
  </si>
  <si>
    <t>1 Vaga Multiagentes: Kelly Cristina Ferreira Cruz</t>
  </si>
  <si>
    <t>7463993735a5d5e5294cab5409f506ad</t>
  </si>
  <si>
    <t>COM69DCEF374DB48</t>
  </si>
  <si>
    <t>13/04/2026 10:27</t>
  </si>
  <si>
    <t>Rogério Souza Bulhões</t>
  </si>
  <si>
    <t>28528950808</t>
  </si>
  <si>
    <t>rogerio.bulhoes@bancobmg.com.br</t>
  </si>
  <si>
    <t>5511975575449</t>
  </si>
  <si>
    <t>5a04fde80b1d0c96a05190a519f6deae</t>
  </si>
  <si>
    <t>ID-28528950808</t>
  </si>
  <si>
    <t>COM69DCEC391D586</t>
  </si>
  <si>
    <t>13/04/2026 10:14</t>
  </si>
  <si>
    <t>Daniela Zylberkan</t>
  </si>
  <si>
    <t>35866426870</t>
  </si>
  <si>
    <t>daniela.zylberkan@ifood.com.br</t>
  </si>
  <si>
    <t>5527999848361</t>
  </si>
  <si>
    <t>76ec78445d1cffdb336bb323a117b47a</t>
  </si>
  <si>
    <t>ID-35866426870</t>
  </si>
  <si>
    <t>COM69D940C241893</t>
  </si>
  <si>
    <t>10/04/2026 15:26</t>
  </si>
  <si>
    <t>10/04/2026</t>
  </si>
  <si>
    <t>Akira Nakamori</t>
  </si>
  <si>
    <t>13274984809</t>
  </si>
  <si>
    <t>akira.nakamori@ishidabrasil.com.br</t>
  </si>
  <si>
    <t>5511991276670</t>
  </si>
  <si>
    <t>8d9dfa389b4f2961c614d207a906eddd</t>
  </si>
  <si>
    <t>ID-13274984809</t>
  </si>
  <si>
    <t>ORDD2XG781MQ9U0M</t>
  </si>
  <si>
    <t>10/04/2026 14:31</t>
  </si>
  <si>
    <t>28974115835HHJCPD9LE</t>
  </si>
  <si>
    <t>AI para Negócios - Imersão Presencial - 13 e 14 de Abril de 2026</t>
  </si>
  <si>
    <t>imersao-presencial-de-ai-ed6a26</t>
  </si>
  <si>
    <t>escarabelin@gmail.com</t>
  </si>
  <si>
    <t>11981427703</t>
  </si>
  <si>
    <t>13206610</t>
  </si>
  <si>
    <t>Rua João Leme do Prado</t>
  </si>
  <si>
    <t>226</t>
  </si>
  <si>
    <t>Vila Jundiainópolis</t>
  </si>
  <si>
    <t>06a45047538c8b718713d4b68d0ee61e</t>
  </si>
  <si>
    <t>Juliana10</t>
  </si>
  <si>
    <t>COM69D9328845AB9</t>
  </si>
  <si>
    <t>10/04/2026 14:25</t>
  </si>
  <si>
    <t>João Luiz Dellu Siqueira</t>
  </si>
  <si>
    <t>22084735823</t>
  </si>
  <si>
    <t>jlsiqueira@iguatemi.com.br</t>
  </si>
  <si>
    <t>5511957687759</t>
  </si>
  <si>
    <t>c8ed0f697142bd7e8811db0c6745a539</t>
  </si>
  <si>
    <t>05/11/2017</t>
  </si>
  <si>
    <t>ID-22084735823</t>
  </si>
  <si>
    <t>COM69D931F91A9AA</t>
  </si>
  <si>
    <t>10/04/2026 14:23</t>
  </si>
  <si>
    <t>Rodrigo Sampaio</t>
  </si>
  <si>
    <t>26516725802</t>
  </si>
  <si>
    <t>Rodrigo.sampaio@allcare.com.br</t>
  </si>
  <si>
    <t>5521982817766</t>
  </si>
  <si>
    <t>7ef136ba94299bb65f207cf75b821b3b</t>
  </si>
  <si>
    <t>ID-26516725802</t>
  </si>
  <si>
    <t>COM69D9309B3FE0A</t>
  </si>
  <si>
    <t>10/04/2026 14:17</t>
  </si>
  <si>
    <t>Cintia Maria Silva Guberovic</t>
  </si>
  <si>
    <t>ecebf30548327731ce04f976c59f1192</t>
  </si>
  <si>
    <t>COM69D92FF5D3523</t>
  </si>
  <si>
    <t>10/04/2026 14:14</t>
  </si>
  <si>
    <t>6c6fe0b084649c8c1519c153f5b90800</t>
  </si>
  <si>
    <t>COM69D92D00A90C5</t>
  </si>
  <si>
    <t>10/04/2026 14:01</t>
  </si>
  <si>
    <t>Carlos Akira Kato</t>
  </si>
  <si>
    <t>62.603.055/0001-43</t>
  </si>
  <si>
    <t>ISHIDA DO BRASIL LTDA</t>
  </si>
  <si>
    <t>carlos.kato@ishidabrasil.com.br</t>
  </si>
  <si>
    <t>1128991853</t>
  </si>
  <si>
    <t>1126455000</t>
  </si>
  <si>
    <t>06210108</t>
  </si>
  <si>
    <t>HENRY FORD</t>
  </si>
  <si>
    <t>803</t>
  </si>
  <si>
    <t>GALPAO04 E 05</t>
  </si>
  <si>
    <t>PRESIDENTE ALTINO</t>
  </si>
  <si>
    <t>Osasco</t>
  </si>
  <si>
    <t>AI Strategy - 23 de abril de 2026 | PC 32774</t>
  </si>
  <si>
    <t>d7ffad63cfde786cc18523f26c1efc01</t>
  </si>
  <si>
    <t>14/03/2024</t>
  </si>
  <si>
    <t>ID-62603055000143</t>
  </si>
  <si>
    <t>COM69D7AB9F97F3C</t>
  </si>
  <si>
    <t>09/04/2026 10:37</t>
  </si>
  <si>
    <t>RUANITA ANICETO DE OLIVEIRA</t>
  </si>
  <si>
    <t>41934963844</t>
  </si>
  <si>
    <t>ruanita.oliveira@digio.com.br</t>
  </si>
  <si>
    <t>5511970883627</t>
  </si>
  <si>
    <t>51cd3eaebe4bc50c871d0aff9e249be9</t>
  </si>
  <si>
    <t>ID-41934963844</t>
  </si>
  <si>
    <t>COM69D7AB1479DBF</t>
  </si>
  <si>
    <t>09/04/2026 10:35</t>
  </si>
  <si>
    <t>FERNANDA DE OLIVEIRA</t>
  </si>
  <si>
    <t>36307417897</t>
  </si>
  <si>
    <t>fernanda.oliveira@digio.com.br</t>
  </si>
  <si>
    <t>5511991940048</t>
  </si>
  <si>
    <t>860da4eb5426c6dcaa1c1f7e3e9d61d8</t>
  </si>
  <si>
    <t>10/03/2021</t>
  </si>
  <si>
    <t>ID-36307417897</t>
  </si>
  <si>
    <t>COM69D7A9A6EC056</t>
  </si>
  <si>
    <t>09/04/2026 10:29</t>
  </si>
  <si>
    <t>09/04/2026</t>
  </si>
  <si>
    <t>Daniela Cabral</t>
  </si>
  <si>
    <t>29104792858</t>
  </si>
  <si>
    <t>Daniela.cabral@elo.com.br</t>
  </si>
  <si>
    <t>5511981417714</t>
  </si>
  <si>
    <t>c7fc0415b7a1631f42a0ed720791a832</t>
  </si>
  <si>
    <t>ID-29104792858</t>
  </si>
  <si>
    <t>COM69D7A911DB9BA</t>
  </si>
  <si>
    <t>09/04/2026 10:26</t>
  </si>
  <si>
    <t>Danielle Arraes</t>
  </si>
  <si>
    <t>05407825724</t>
  </si>
  <si>
    <t>danielle.arraes@jdecoffee.com</t>
  </si>
  <si>
    <t>5511996708172</t>
  </si>
  <si>
    <t>252b865c32b115f9dd1fb9c40523ea56</t>
  </si>
  <si>
    <t>ID-05407825724</t>
  </si>
  <si>
    <t>COM69D7A89B211D6</t>
  </si>
  <si>
    <t>09/04/2026 10:24</t>
  </si>
  <si>
    <t>Rafaella Carvalho</t>
  </si>
  <si>
    <t>09101021710</t>
  </si>
  <si>
    <t>rafaella.carvalho@cyrela.com.br</t>
  </si>
  <si>
    <t>5521973661254</t>
  </si>
  <si>
    <t>AI Strategy - 23 de abril de 2026
Empresa: Cyrela</t>
  </si>
  <si>
    <t>87c24f92ffe1728b1e1a95aec652dd47</t>
  </si>
  <si>
    <t>ID-09101021710</t>
  </si>
  <si>
    <t>COM69D7A7207D171</t>
  </si>
  <si>
    <t>09/04/2026 10:18</t>
  </si>
  <si>
    <t>Rodrigo Leandro de Souza</t>
  </si>
  <si>
    <t>01945618957</t>
  </si>
  <si>
    <t>rodrigo.souza@gruposc.com.br</t>
  </si>
  <si>
    <t>5511981556507</t>
  </si>
  <si>
    <t>ad7c04dd2d9e319ec50b4cf1c9d91d39</t>
  </si>
  <si>
    <t>ID-01945618957</t>
  </si>
  <si>
    <t>COM69D7A600A7A79</t>
  </si>
  <si>
    <t>09/04/2026 10:13</t>
  </si>
  <si>
    <t>Joseane Quinto</t>
  </si>
  <si>
    <t>69506795134</t>
  </si>
  <si>
    <t>joseanequinto@hotmail.com</t>
  </si>
  <si>
    <t>5565996949009</t>
  </si>
  <si>
    <t>db2c1cc3dc67b73c6c44255f23354234</t>
  </si>
  <si>
    <t>18/11/2019</t>
  </si>
  <si>
    <t>ID-69506795134</t>
  </si>
  <si>
    <t>COM69D7A5344CED9</t>
  </si>
  <si>
    <t>09/04/2026 10:10</t>
  </si>
  <si>
    <t>Leonardo Sotocorno</t>
  </si>
  <si>
    <t>32503062822</t>
  </si>
  <si>
    <t>leonardo.sotocorno@danone.com</t>
  </si>
  <si>
    <t>5511973421410</t>
  </si>
  <si>
    <t>d30c1ba17e68b4a9b94a1ea061ac3f81</t>
  </si>
  <si>
    <t>ID-32503062822</t>
  </si>
  <si>
    <t>COM69D7A4A4BCA9B</t>
  </si>
  <si>
    <t>09/04/2026 10:07</t>
  </si>
  <si>
    <t>Carlos Eduardo Murrer Gomes</t>
  </si>
  <si>
    <t>04522143940</t>
  </si>
  <si>
    <t>carlos@protrade.com.br</t>
  </si>
  <si>
    <t>5519981616125</t>
  </si>
  <si>
    <t>c8eec0b04febf40591f8fe9f0e770ee3</t>
  </si>
  <si>
    <t>ID-04522143940</t>
  </si>
  <si>
    <t>COM69D7A3BEBA02D</t>
  </si>
  <si>
    <t>09/04/2026 10:03</t>
  </si>
  <si>
    <t>Leonardo Miethke</t>
  </si>
  <si>
    <t>19703631851</t>
  </si>
  <si>
    <t>Leonardo.miethke@zeiss.com</t>
  </si>
  <si>
    <t>5511991610088</t>
  </si>
  <si>
    <t>3d5a172ddd1c1d893d03004dd113cba2</t>
  </si>
  <si>
    <t>ID-19703631851</t>
  </si>
  <si>
    <t>COM69D7A31A9EE19</t>
  </si>
  <si>
    <t>09/04/2026 10:01</t>
  </si>
  <si>
    <t>Carlos Eduardo Teixeira Maia</t>
  </si>
  <si>
    <t>28104302841</t>
  </si>
  <si>
    <t>Carlos.Maia@tivit.com</t>
  </si>
  <si>
    <t>5511976210780</t>
  </si>
  <si>
    <t>c15febc02b184f9cad21aceea5dc9607</t>
  </si>
  <si>
    <t>ID-28104302841</t>
  </si>
  <si>
    <t>ORDQ0KO416EBNEVO</t>
  </si>
  <si>
    <t>09/04/2026 08:07</t>
  </si>
  <si>
    <t>28974115835HGLFCPIIE</t>
  </si>
  <si>
    <t>Juliana Silva Lombardo</t>
  </si>
  <si>
    <t>28064826829</t>
  </si>
  <si>
    <t>juliana.lombardo@institutounibanco.org.br</t>
  </si>
  <si>
    <t>11995402370</t>
  </si>
  <si>
    <t>05639090</t>
  </si>
  <si>
    <t>Rua Francisco Marcondes Vieira</t>
  </si>
  <si>
    <t>91 bloco 3</t>
  </si>
  <si>
    <t>Lar São Paulo</t>
  </si>
  <si>
    <t>e3e4a561e951493470cf021fc65b6153</t>
  </si>
  <si>
    <t>Exc_InstitutoUnibanco</t>
  </si>
  <si>
    <t>ID-28064826829</t>
  </si>
  <si>
    <t>COM69D54BA96325F</t>
  </si>
  <si>
    <t>07/04/2026 15:23</t>
  </si>
  <si>
    <t>AI Festival 2026 - Patrocínio de Ativações</t>
  </si>
  <si>
    <t>evento-ia-ed1a26_patrocinio-ativacao</t>
  </si>
  <si>
    <t>Patrocínio AI Festival 2026
Patrocínio AI Festival 2026
Pagamento 30 dias após o evento</t>
  </si>
  <si>
    <t>ce7a16428906b1a285d874c274f58094</t>
  </si>
  <si>
    <t>COM69D3C48B010E5</t>
  </si>
  <si>
    <t>06/04/2026 11:34</t>
  </si>
  <si>
    <t>06/04/2026</t>
  </si>
  <si>
    <t>Douglas Marinho Martins</t>
  </si>
  <si>
    <t>09292355171</t>
  </si>
  <si>
    <t>douglas.marinho@sebraeprev.com.br</t>
  </si>
  <si>
    <t>5561995878906</t>
  </si>
  <si>
    <t>c4c91572b6d6d06142ca27d6580746da</t>
  </si>
  <si>
    <t>ID-09292355171</t>
  </si>
  <si>
    <t>COM69D3C2F422106</t>
  </si>
  <si>
    <t>06/04/2026 11:28</t>
  </si>
  <si>
    <t>Kleber Coelho Paz</t>
  </si>
  <si>
    <t>45900973468</t>
  </si>
  <si>
    <t>kleberpaz@compesa.com.br</t>
  </si>
  <si>
    <t>5581992321616</t>
  </si>
  <si>
    <t>c7c85188460f9b94d49d5d3dbeadad1e</t>
  </si>
  <si>
    <t>ID-45900973468</t>
  </si>
  <si>
    <t>COM69D3C1F1BF4DF</t>
  </si>
  <si>
    <t>06/04/2026 11:23</t>
  </si>
  <si>
    <t>Ivo Bernard Schotten</t>
  </si>
  <si>
    <t>ivobernard.schotten@galderma.com</t>
  </si>
  <si>
    <t>5511916395992</t>
  </si>
  <si>
    <t>568c2bf9fefd973d785a1eb51f495fb4</t>
  </si>
  <si>
    <t>COM69D3BCFE63EC1</t>
  </si>
  <si>
    <t>06/04/2026 11:02</t>
  </si>
  <si>
    <t>Cibele Cardin</t>
  </si>
  <si>
    <t>10136154840</t>
  </si>
  <si>
    <t>ccardin@careplus.com.br</t>
  </si>
  <si>
    <t>5511981365211</t>
  </si>
  <si>
    <t>37b677345e3a28b24c87a726d262ea79</t>
  </si>
  <si>
    <t>ID-10136154840</t>
  </si>
  <si>
    <t>COM69D3BB7BA25D6</t>
  </si>
  <si>
    <t>06/04/2026 10:56</t>
  </si>
  <si>
    <t>Luiz Camargo</t>
  </si>
  <si>
    <t>05379222889</t>
  </si>
  <si>
    <t>lcamargo@careplus.com.br</t>
  </si>
  <si>
    <t>5511982776297</t>
  </si>
  <si>
    <t>79ecfc69f9b20118c8645163e559a1c7</t>
  </si>
  <si>
    <t>ID-05379222889</t>
  </si>
  <si>
    <t>COM69D3BAE0B9AAF</t>
  </si>
  <si>
    <t>06/04/2026 10:53</t>
  </si>
  <si>
    <t>César Augusto Ferreira</t>
  </si>
  <si>
    <t>25246155889</t>
  </si>
  <si>
    <t>cesar.ferreira@randoncorp.com</t>
  </si>
  <si>
    <t>555491624374</t>
  </si>
  <si>
    <t>8742b250fc3d19460929c36abd1b1f9b</t>
  </si>
  <si>
    <t>31/01/2018</t>
  </si>
  <si>
    <t>ID-25246155889</t>
  </si>
  <si>
    <t>COM69D3B309DD6E0</t>
  </si>
  <si>
    <t>06/04/2026 10:20</t>
  </si>
  <si>
    <t>Ana Paula Antunes Tarcia</t>
  </si>
  <si>
    <t>25808446864</t>
  </si>
  <si>
    <t>ana.tarcia@bv.com.br</t>
  </si>
  <si>
    <t>5511999112782</t>
  </si>
  <si>
    <t>AI Strategy - 23 de abril de 2026
VP de Pessoas, MKT e ESG</t>
  </si>
  <si>
    <t>b7c6f1ad5df7fb3eee5bb32115112238</t>
  </si>
  <si>
    <t>ID-25808446864</t>
  </si>
  <si>
    <t>COM69D3B278407DD</t>
  </si>
  <si>
    <t>06/04/2026 10:17</t>
  </si>
  <si>
    <t>Arethusa Rodrigues Pontes</t>
  </si>
  <si>
    <t>15530577830</t>
  </si>
  <si>
    <t>arethusa.pontes@bv.com.br</t>
  </si>
  <si>
    <t>5511987195696</t>
  </si>
  <si>
    <t>0837a74bbc368c583b0e709f58ed5934</t>
  </si>
  <si>
    <t>ID-15530577830</t>
  </si>
  <si>
    <t>COM69CD44F595590</t>
  </si>
  <si>
    <t>01/04/2026 13:16</t>
  </si>
  <si>
    <t>02/04/2026</t>
  </si>
  <si>
    <t>Pedro Sávio Gama dos Santos Santos</t>
  </si>
  <si>
    <t>00.315.457/0001-95</t>
  </si>
  <si>
    <t>AGROPECUARIA MAGGI LTDA</t>
  </si>
  <si>
    <t>pedro.santos@amaggi.com.br</t>
  </si>
  <si>
    <t>6599273257</t>
  </si>
  <si>
    <t>6536455000</t>
  </si>
  <si>
    <t>78049080</t>
  </si>
  <si>
    <t>ANDRE ANTONIO MAGGI</t>
  </si>
  <si>
    <t>303</t>
  </si>
  <si>
    <t>ALVORADA</t>
  </si>
  <si>
    <t>d6b25cc1c09198e54406f88ba4b96c87</t>
  </si>
  <si>
    <t>16/05/2018</t>
  </si>
  <si>
    <t>ID-00315457000195</t>
  </si>
  <si>
    <t>31/03/2026</t>
  </si>
  <si>
    <t>StartSe Consulting</t>
  </si>
  <si>
    <t>COM69CC3C0AB1F57</t>
  </si>
  <si>
    <t>31/03/2026 18:26</t>
  </si>
  <si>
    <t>SEBRAE MG | Cliente em foco e Desburocratização - pagamento1</t>
  </si>
  <si>
    <t>consulting-strategy-deliver-ed2a26_pagamento1</t>
  </si>
  <si>
    <t>Mateus de Melo Araújo</t>
  </si>
  <si>
    <t>16.589.137/0001-63</t>
  </si>
  <si>
    <t>SERVICO DE APOIO AS MICRO E PEQUENAS EMPRESAS DE MINAS GERAIS - SEBRAE/MG</t>
  </si>
  <si>
    <t>3133799382</t>
  </si>
  <si>
    <t>3133799563</t>
  </si>
  <si>
    <t>30431285</t>
  </si>
  <si>
    <t>BARAO HOMEM DE MELO</t>
  </si>
  <si>
    <t>NOVA GRANADA</t>
  </si>
  <si>
    <t>SEBRAE MG | Cliente em foco e Desburocratização</t>
  </si>
  <si>
    <t>514850850d95121e961af8919b19b315</t>
  </si>
  <si>
    <t>StartSe Consulting,StartSe Consulting,StartSe Consulting,StartSe Consulting,StartSe Consulting,StartSe Consulting,StartSe Consulting,StartSe Consulting,StartSe Consulting</t>
  </si>
  <si>
    <t>11/04/2018</t>
  </si>
  <si>
    <t>ID-16589137000163</t>
  </si>
  <si>
    <t>SEBRAE MG | Cliente em foco e Desburocratização - pagamento2</t>
  </si>
  <si>
    <t>consulting-strategy-deliver-ed2a26_pagamento2</t>
  </si>
  <si>
    <t>13/06/2026</t>
  </si>
  <si>
    <t>SEBRAE MG | Cliente em foco e Desburocratização - pagamento3</t>
  </si>
  <si>
    <t>consulting-strategy-deliver-ed2a26_pagamento3</t>
  </si>
  <si>
    <t>13/07/2026</t>
  </si>
  <si>
    <t>SEBRAE MG | Cliente em foco e Desburocratização - pagamento4</t>
  </si>
  <si>
    <t>consulting-strategy-deliver-ed2a26_pagamento4</t>
  </si>
  <si>
    <t>13/08/2026</t>
  </si>
  <si>
    <t>SEBRAE MG | Cliente em foco e Desburocratização - pagamento5</t>
  </si>
  <si>
    <t>consulting-strategy-deliver-ed2a26_pagamento5</t>
  </si>
  <si>
    <t>13/09/2026</t>
  </si>
  <si>
    <t>SEBRAE MG | Cliente em foco e Desburocratização - pagamento6</t>
  </si>
  <si>
    <t>consulting-strategy-deliver-ed2a26_pagamento6</t>
  </si>
  <si>
    <t>13/10/2026</t>
  </si>
  <si>
    <t>SEBRAE MG | Cliente em foco e Desburocratização - pagamento7</t>
  </si>
  <si>
    <t>consulting-strategy-deliver-ed2a26_pagamento7</t>
  </si>
  <si>
    <t>13/11/2026</t>
  </si>
  <si>
    <t>SEBRAE MG | Cliente em foco e Desburocratização - pagamento8</t>
  </si>
  <si>
    <t>consulting-strategy-deliver-ed2a26_pagamento8</t>
  </si>
  <si>
    <t>13/12/2026</t>
  </si>
  <si>
    <t>SEBRAE MG | Cliente em foco e Desburocratização - pagamento9</t>
  </si>
  <si>
    <t>consulting-strategy-deliver-ed2a26_pagamento9</t>
  </si>
  <si>
    <t>13/01/2027</t>
  </si>
  <si>
    <t>corporate-workshop-ed28a26</t>
  </si>
  <si>
    <t>31/03/2099</t>
  </si>
  <si>
    <t>consulting-ai-sprint-ed5a26_pagamento1</t>
  </si>
  <si>
    <t>consulting-ai-sprint-ed5a26_pagamento2</t>
  </si>
  <si>
    <t>consulting-ai-sprint-ed5a26_pagamento3</t>
  </si>
  <si>
    <t>consulting-ai-sprint-ed5a26_pagamento4</t>
  </si>
  <si>
    <t>consulting-ai-sprint-ed5a26_pagamento5</t>
  </si>
  <si>
    <t>consulting-ai-sprint-ed5a26_pagamento6</t>
  </si>
  <si>
    <t>consulting-ai-sprint-ed5a26_pagamento7</t>
  </si>
  <si>
    <t>- pagamento8SEBRAE MG | Cliente em foco e Desburocratização</t>
  </si>
  <si>
    <t>consulting-ai-sprint-ed5a26_pagamento8</t>
  </si>
  <si>
    <t>consulting-ai-sprint-ed5a26_pagamento9</t>
  </si>
  <si>
    <t>COM69CC34C62E633</t>
  </si>
  <si>
    <t>31/03/2026 17:55</t>
  </si>
  <si>
    <t>Workshop | Scania Serviços Financeiros</t>
  </si>
  <si>
    <t>corporate-workshop-ed29a26</t>
  </si>
  <si>
    <t>Gilberto Rocha</t>
  </si>
  <si>
    <t>gilberto.rocha@scania.com</t>
  </si>
  <si>
    <t>11991414182</t>
  </si>
  <si>
    <t>cb3f06e955b4ec677d580e09df949ffa</t>
  </si>
  <si>
    <t>COM69CC31414B0EC</t>
  </si>
  <si>
    <t>31/03/2026 17:40</t>
  </si>
  <si>
    <t>Mulheres Líderes - Fundação Sicredi | pagamento 01</t>
  </si>
  <si>
    <t>corporate-workshop-ed30a26_pagamento-01</t>
  </si>
  <si>
    <t>Carla Diana Oteiro Borre</t>
  </si>
  <si>
    <t>07.430.210/0001-69</t>
  </si>
  <si>
    <t>FUNDACAO DE DESENVOLVIMENTO EDUCACIONAL E CULTURAL DO SISTEMA DE CREDITO COOPERATIVO - FUNDACAO SICREDI</t>
  </si>
  <si>
    <t>carla_borre@sicredi.com.br</t>
  </si>
  <si>
    <t>62996501493</t>
  </si>
  <si>
    <t>5133584862</t>
  </si>
  <si>
    <t>91060900</t>
  </si>
  <si>
    <t>ASSIS BRASIL</t>
  </si>
  <si>
    <t>3940</t>
  </si>
  <si>
    <t>ANDAR 8</t>
  </si>
  <si>
    <t>SAO SEBASTIAO</t>
  </si>
  <si>
    <t>Mulheres Líderes - Sister Society (GWLN) | Fundação Sicredi</t>
  </si>
  <si>
    <t>3a21b485277000dece2bf51baf30c0ed</t>
  </si>
  <si>
    <t>ID-07430210000169</t>
  </si>
  <si>
    <t>Mulheres Líderes - Fundação Sicredi | pagamento 02</t>
  </si>
  <si>
    <t>corporate-workshop-ed30a26_pagamento-02</t>
  </si>
  <si>
    <t>COM69CC2ED446194</t>
  </si>
  <si>
    <t>31/03/2026 17:30</t>
  </si>
  <si>
    <t>Workshop de AI - Santander</t>
  </si>
  <si>
    <t>corporate-workshop-ed31a26</t>
  </si>
  <si>
    <t>11952621984</t>
  </si>
  <si>
    <t>ea990cb4babe125e2acfb2d2e4fd0944</t>
  </si>
  <si>
    <t>COM69CC2B5628E30</t>
  </si>
  <si>
    <t>31/03/2026 17:15</t>
  </si>
  <si>
    <t>Contrato Guarda-Chuva | Mercedes Daimler Truck</t>
  </si>
  <si>
    <t>corporate-melhor-escolha-ed10a26</t>
  </si>
  <si>
    <t>Vinicius Moura</t>
  </si>
  <si>
    <t>59.104.273/0001-29</t>
  </si>
  <si>
    <t>MERCEDES-BENZ DO BRASIL LTDA.</t>
  </si>
  <si>
    <t>vinicius.moura@daimlertruck.com</t>
  </si>
  <si>
    <t>11985997265</t>
  </si>
  <si>
    <t>1141736060</t>
  </si>
  <si>
    <t>09680900</t>
  </si>
  <si>
    <t>ALFRED JURZYKOWSKI</t>
  </si>
  <si>
    <t>562</t>
  </si>
  <si>
    <t>PAULICEIA</t>
  </si>
  <si>
    <t>797bef7dae88eca35d448cd55c0ef685</t>
  </si>
  <si>
    <t>24/09/2018</t>
  </si>
  <si>
    <t>ID-59104273000129</t>
  </si>
  <si>
    <t>COM69F268F3624C8</t>
  </si>
  <si>
    <t>Business Academy | Mercedes Daimler Truck</t>
  </si>
  <si>
    <t>corporate-jornada-ed25a26</t>
  </si>
  <si>
    <t>alyne.ramaldes@daimlertruck.com</t>
  </si>
  <si>
    <t>11995790150</t>
  </si>
  <si>
    <t>62adb4828b2cc35fada730f2b47aa52a</t>
  </si>
  <si>
    <t>06/08/2026</t>
  </si>
  <si>
    <t>COM69CC25F72FDEB</t>
  </si>
  <si>
    <t>31/03/2026 16:52</t>
  </si>
  <si>
    <t>Letramento C-Level - Marcopolo - Caxias do Sul / RS - Pagamento 01</t>
  </si>
  <si>
    <t>corporate-jornada-ed22a26_pagamento01</t>
  </si>
  <si>
    <t>João Paulo Pohl Ledur</t>
  </si>
  <si>
    <t>88.611.835/0001-29</t>
  </si>
  <si>
    <t>MARCOPOLO SA</t>
  </si>
  <si>
    <t>joao.ledur@marcopolo.com.br</t>
  </si>
  <si>
    <t>5491061685</t>
  </si>
  <si>
    <t>5421014000</t>
  </si>
  <si>
    <t>95086200</t>
  </si>
  <si>
    <t>MARCOPOLO</t>
  </si>
  <si>
    <t>280</t>
  </si>
  <si>
    <t>PLANALTO</t>
  </si>
  <si>
    <t>Letramento C-Level - Marcopolo - Caxias do Sul / RS</t>
  </si>
  <si>
    <t>5761ad1bf7c88ae47ce2a62c4b3b2c58</t>
  </si>
  <si>
    <t>ID-88611835000129</t>
  </si>
  <si>
    <t>Letramento C-Level - Marcopolo - Caxias do Sul / RS - Pagamento 02</t>
  </si>
  <si>
    <t>corporate-jornada-ed22a26_pagamento02</t>
  </si>
  <si>
    <t>24/05/2026</t>
  </si>
  <si>
    <t>COM69CC23030C4F0</t>
  </si>
  <si>
    <t>31/03/2026 16:39</t>
  </si>
  <si>
    <t>Imersão Vale do Silício - Nextgen | Scania</t>
  </si>
  <si>
    <t>corporate-vale-xperience-ed3a26</t>
  </si>
  <si>
    <t>1141026160</t>
  </si>
  <si>
    <t>f303ee0f62391d299dfc4830cf53c351</t>
  </si>
  <si>
    <t>22/08/2026</t>
  </si>
  <si>
    <t>https://loja.startse.com.br//processamento/fatura/f303ee0f62391d299dfc4830cf53c351</t>
  </si>
  <si>
    <t>COM69CD48F101836</t>
  </si>
  <si>
    <t>31/03/2026 13:33</t>
  </si>
  <si>
    <t>Caroline Shiine Gravinez Calado</t>
  </si>
  <si>
    <t>19.093.204/0001-42</t>
  </si>
  <si>
    <t>SKY.ONE TECNOLOGIA EM SOFTWARE S.A.</t>
  </si>
  <si>
    <t>caroline.shiine@skyone.solutions</t>
  </si>
  <si>
    <t>11985421929</t>
  </si>
  <si>
    <t>1121931961</t>
  </si>
  <si>
    <t>04578000</t>
  </si>
  <si>
    <t>12399</t>
  </si>
  <si>
    <t>SALA 142A E 142B ANDAR 14</t>
  </si>
  <si>
    <t>AI Festival 2026 - Patrocínio de Ativações
50% do valor pago em TED até dia 15/04 e o retante dos 50% até dia 11/05</t>
  </si>
  <si>
    <t>fcca7c878083f71cdc2de1fd2da6913b</t>
  </si>
  <si>
    <t>ID-19093204000142</t>
  </si>
  <si>
    <t>COM69CBE993D2674</t>
  </si>
  <si>
    <t>31/03/2026 12:34</t>
  </si>
  <si>
    <t>China Xperience Health Edition</t>
  </si>
  <si>
    <t>china-xperience-ed11a26</t>
  </si>
  <si>
    <t>Rachel Sarti</t>
  </si>
  <si>
    <t>61.486.650/0842-63</t>
  </si>
  <si>
    <t>DIAGNOSTICOS DA AMERICA S.A .</t>
  </si>
  <si>
    <t>rachel.sarti@dasa.com.br</t>
  </si>
  <si>
    <t>11972027013</t>
  </si>
  <si>
    <t>1126302498</t>
  </si>
  <si>
    <t>05425020</t>
  </si>
  <si>
    <t>GILBERTO SABINO</t>
  </si>
  <si>
    <t>EDIF GRAND STATION ANDAR 1 E 2</t>
  </si>
  <si>
    <t>PINHEIROS</t>
  </si>
  <si>
    <t>71e39be917b3b702571e33ec9cc32905</t>
  </si>
  <si>
    <t>01/06/2026</t>
  </si>
  <si>
    <t>https://loja.startse.com.br//processamento/fatura/71e39be917b3b702571e33ec9cc32905</t>
  </si>
  <si>
    <t>03/06/2022</t>
  </si>
  <si>
    <t>ID-61486650084263</t>
  </si>
  <si>
    <t>COM69CD3663EF88C</t>
  </si>
  <si>
    <t>31/03/2026 12:14</t>
  </si>
  <si>
    <t>DL Comunicação e Eventos - Palestra IA - Isabelly Veadrigo</t>
  </si>
  <si>
    <t>corporate-palestra-ed21a26</t>
  </si>
  <si>
    <t>Rogério Aver Pizzolatto</t>
  </si>
  <si>
    <t>88.619.747/0001-73</t>
  </si>
  <si>
    <t>CAMARA DE INDUSTRIA, COMERCIO E SERVICOS DE CAXIAS DO SUL</t>
  </si>
  <si>
    <t>comunicacao2@cic-caxias.com.br</t>
  </si>
  <si>
    <t>54991325211</t>
  </si>
  <si>
    <t>95050520</t>
  </si>
  <si>
    <t>ITALO VICTOR BERSANI</t>
  </si>
  <si>
    <t>1134</t>
  </si>
  <si>
    <t>JARDIM AMERICA</t>
  </si>
  <si>
    <t>DL Comunicação e Eventos - Palestra IA</t>
  </si>
  <si>
    <t>1cf423bed05031520b2aa407c8606f6f</t>
  </si>
  <si>
    <t>18/06/2026</t>
  </si>
  <si>
    <t>ID-88619747000173</t>
  </si>
  <si>
    <t>COM69CB19DE49D1F</t>
  </si>
  <si>
    <t>30/03/2026 21:48</t>
  </si>
  <si>
    <t>30/03/2026</t>
  </si>
  <si>
    <t>André Felipe Hirano</t>
  </si>
  <si>
    <t>22126438880</t>
  </si>
  <si>
    <t>andre.hirano@Hyundai-Brasil.com</t>
  </si>
  <si>
    <t>5519996270162</t>
  </si>
  <si>
    <t>13346-400</t>
  </si>
  <si>
    <t>Avenida Ario Barnabé</t>
  </si>
  <si>
    <t>202</t>
  </si>
  <si>
    <t>Jardim Morada do Sol</t>
  </si>
  <si>
    <t>cc95eae437f5b592c6a23d760ec70904</t>
  </si>
  <si>
    <t>ID-22126438880</t>
  </si>
  <si>
    <t>COM69CB195F03F1B</t>
  </si>
  <si>
    <t>30/03/2026 21:46</t>
  </si>
  <si>
    <t>Data for Leaders - 2026</t>
  </si>
  <si>
    <t>data-for-leaders-ed1a26</t>
  </si>
  <si>
    <t>Marcelo Cunha</t>
  </si>
  <si>
    <t>36278283808</t>
  </si>
  <si>
    <t>marcelo.cunha@Hyundai-Brasil.com</t>
  </si>
  <si>
    <t>5512981193385</t>
  </si>
  <si>
    <t>c43a6eb355ce4a74560a55882ec535a6</t>
  </si>
  <si>
    <t>ID-36278283808</t>
  </si>
  <si>
    <t>COM69C44B3AB1D9C</t>
  </si>
  <si>
    <t>30/03/2026 14:07</t>
  </si>
  <si>
    <t>Andre Edouard Stauffer</t>
  </si>
  <si>
    <t>10042529786</t>
  </si>
  <si>
    <t>36.095.461/0001-32</t>
  </si>
  <si>
    <t>ANDO COMERCIO DE ALIMENTOS LTDA</t>
  </si>
  <si>
    <t>andrestauffer@hotmail.com</t>
  </si>
  <si>
    <t>21995326125</t>
  </si>
  <si>
    <t>2125535597</t>
  </si>
  <si>
    <t>22250040</t>
  </si>
  <si>
    <t>Praia DE BOTAFOGO</t>
  </si>
  <si>
    <t>400</t>
  </si>
  <si>
    <t>LOJA 701 PARTE</t>
  </si>
  <si>
    <t>BOTAFOGO</t>
  </si>
  <si>
    <t>c23392cf7f0deec2b5a377503de7a8ae</t>
  </si>
  <si>
    <t>OFFMCFRANQUEADOS</t>
  </si>
  <si>
    <t>https://loja.startse.com.br//processamento/fatura/c23392cf7f0deec2b5a377503de7a8ae</t>
  </si>
  <si>
    <t>ID-36095461000132</t>
  </si>
  <si>
    <t>COM69CA73720CB10</t>
  </si>
  <si>
    <t>30/03/2026 09:58</t>
  </si>
  <si>
    <t>SEBRAE PA | Workshop AI - In company</t>
  </si>
  <si>
    <t>corporate-workshop-ed27a26</t>
  </si>
  <si>
    <t>Gérson Almeida da Costa</t>
  </si>
  <si>
    <t>05.081.187/0001-19</t>
  </si>
  <si>
    <t>SERVICO DE APOIO AS MICRO E PEQ EMPRESAS DO PARA</t>
  </si>
  <si>
    <t>gerson@pa.sebrae.com.br</t>
  </si>
  <si>
    <t>91984155562</t>
  </si>
  <si>
    <t>66050350</t>
  </si>
  <si>
    <t>MUNICIPALIDADE</t>
  </si>
  <si>
    <t>1461</t>
  </si>
  <si>
    <t>UMARIZAL</t>
  </si>
  <si>
    <t>ec588c321f419369ba2ae3a772808bd6</t>
  </si>
  <si>
    <t>10/03/2026</t>
  </si>
  <si>
    <t>ID-05081187000119</t>
  </si>
  <si>
    <t>COM69C6E259D4496</t>
  </si>
  <si>
    <t>27/03/2026 17:02</t>
  </si>
  <si>
    <t>SEBRAE PA | Multiagentes turmas abertas - Vaga 03</t>
  </si>
  <si>
    <t>corporate-melhor-escolha-ed9a26_vaga03</t>
  </si>
  <si>
    <t>13f55a316bd31bb929fcf1649dfcecd4</t>
  </si>
  <si>
    <t>COM69C6E1C6980BE</t>
  </si>
  <si>
    <t>27/03/2026 17:00</t>
  </si>
  <si>
    <t>SEBRAE PA | Multiagentes turmas abertas - Vaga 02</t>
  </si>
  <si>
    <t>corporate-melhor-escolha-ed9a26_vaga02</t>
  </si>
  <si>
    <t>b88ca6bd10525b136813327192fce007</t>
  </si>
  <si>
    <t>COM69C6E04F0690B</t>
  </si>
  <si>
    <t>27/03/2026 16:53</t>
  </si>
  <si>
    <t>SEBRAE PA | Multiagentes turmas abertas - Vaga 01</t>
  </si>
  <si>
    <t>corporate-melhor-escolha-ed9a26_vaga01</t>
  </si>
  <si>
    <t>6b93509c117f5e95b60a2da934fdfe9e</t>
  </si>
  <si>
    <t>COM69C6DC8ABFC16</t>
  </si>
  <si>
    <t>27/03/2026 16:37</t>
  </si>
  <si>
    <t>Silicon Valley Xperience - 18 a 22 de Maio de 2026</t>
  </si>
  <si>
    <t>silicon-valley-xperience-ed4a26</t>
  </si>
  <si>
    <t>Marina Braga de Melo</t>
  </si>
  <si>
    <t>07.121.494/0001-01</t>
  </si>
  <si>
    <t>SERVICO DE AP AS MIC E PE EMP DO EST DO CEARA SEBRAE CE</t>
  </si>
  <si>
    <t>marina.braga@ce.sebrae.com.br</t>
  </si>
  <si>
    <t>85982282780</t>
  </si>
  <si>
    <t>60110370</t>
  </si>
  <si>
    <t>MONSENHOR TABOSA</t>
  </si>
  <si>
    <t>777</t>
  </si>
  <si>
    <t>MEIRELES</t>
  </si>
  <si>
    <t>8648df7f8fa55d7230861ae0330317a4</t>
  </si>
  <si>
    <t>18/05/2026</t>
  </si>
  <si>
    <t>https://loja.startse.com.br//processamento/fatura/8648df7f8fa55d7230861ae0330317a4</t>
  </si>
  <si>
    <t>17/08/2018</t>
  </si>
  <si>
    <t>ID-07121494000101</t>
  </si>
  <si>
    <t>COM69C5AB57DC12D</t>
  </si>
  <si>
    <t>26/03/2026 18:55</t>
  </si>
  <si>
    <t>Oracle l Patrocínio StartSe Tower</t>
  </si>
  <si>
    <t>patrocinio-ed2a26</t>
  </si>
  <si>
    <t>Naming rights StartSe Tower [Oracle]</t>
  </si>
  <si>
    <t>83ee99347ae070eef5d570641f9d0973</t>
  </si>
  <si>
    <t>01/05/2026</t>
  </si>
  <si>
    <t>COM69C56C7F08115</t>
  </si>
  <si>
    <t>26/03/2026 14:27</t>
  </si>
  <si>
    <t>26/03/2026</t>
  </si>
  <si>
    <t>Felipe Burgatti</t>
  </si>
  <si>
    <t>32437590803</t>
  </si>
  <si>
    <t>felipe.burgatti@oracle.com</t>
  </si>
  <si>
    <t>5511943052308</t>
  </si>
  <si>
    <t>06030-500</t>
  </si>
  <si>
    <t>Rua Júlia Fernandes Lyria</t>
  </si>
  <si>
    <t>A</t>
  </si>
  <si>
    <t>Adalgisa</t>
  </si>
  <si>
    <t>2eb99740da0b3844f83a8dbf4c7faa47</t>
  </si>
  <si>
    <t>ID-32437590803</t>
  </si>
  <si>
    <t>COM69C56A716157B</t>
  </si>
  <si>
    <t>26/03/2026 14:18</t>
  </si>
  <si>
    <t>Bruna Nascimento Osti</t>
  </si>
  <si>
    <t>41640787828</t>
  </si>
  <si>
    <t>bruna.osti@oracle.com</t>
  </si>
  <si>
    <t>5511941533588</t>
  </si>
  <si>
    <t>04733-200</t>
  </si>
  <si>
    <t>Avenida Adolfo Pinheiro</t>
  </si>
  <si>
    <t>800fdaef1271784d5be57fc9c053987b</t>
  </si>
  <si>
    <t>ID-41640787828</t>
  </si>
  <si>
    <t>COM69DEA7A2C151A</t>
  </si>
  <si>
    <t>25/03/2026 17:46</t>
  </si>
  <si>
    <t>Palestra RUSSELL REYNOLDS</t>
  </si>
  <si>
    <t>corporate-palestra-ed19a26</t>
  </si>
  <si>
    <t>Vanessa Silva Delgado</t>
  </si>
  <si>
    <t>01.731.177/0001-20</t>
  </si>
  <si>
    <t>RUSSELL REYNOLDS ASSOCIATES LTDA</t>
  </si>
  <si>
    <t>vanessa.silva@russellreynolds.com</t>
  </si>
  <si>
    <t>11970838859</t>
  </si>
  <si>
    <t>1135662400</t>
  </si>
  <si>
    <t>ANDAR 10 COND WTORREJK TORRE D</t>
  </si>
  <si>
    <t>f4d5153298f543130f3c8cbe313ddbde</t>
  </si>
  <si>
    <t>26/12/2023</t>
  </si>
  <si>
    <t>ID-01731177000120</t>
  </si>
  <si>
    <t>30</t>
  </si>
  <si>
    <t>COM69C3DB0E880A6</t>
  </si>
  <si>
    <t>25/03/2026 09:54</t>
  </si>
  <si>
    <t>Palestra Gustavo Bodra | Assobrasc</t>
  </si>
  <si>
    <t>corporate-palestra-ed20a26</t>
  </si>
  <si>
    <t>Maristela Didone</t>
  </si>
  <si>
    <t>50.591.692/0001-68</t>
  </si>
  <si>
    <t>ASSOCIACAO BRASILEIRA DOS CONCESSIONARIOS SCANIA</t>
  </si>
  <si>
    <t>maristela@assobrasc.com.br</t>
  </si>
  <si>
    <t>11983729764</t>
  </si>
  <si>
    <t>01046000</t>
  </si>
  <si>
    <t>SAO LUIS</t>
  </si>
  <si>
    <t>50</t>
  </si>
  <si>
    <t>19 A CJ 191A B E C</t>
  </si>
  <si>
    <t>VL BUARQUE</t>
  </si>
  <si>
    <t>2812293fd53561f6cd5d67b4bcdc01dc</t>
  </si>
  <si>
    <t>ID-50591692000168</t>
  </si>
  <si>
    <t>COM69C3D9E1F035F</t>
  </si>
  <si>
    <t>25/03/2026 09:49</t>
  </si>
  <si>
    <t>Jornada Distribuidores | Sumitomo Chemical</t>
  </si>
  <si>
    <t>corporate-jornada-ed20a26_pagamento-01-</t>
  </si>
  <si>
    <t>Luiz Serafim</t>
  </si>
  <si>
    <t>07.467.822/0002-07</t>
  </si>
  <si>
    <t>SUMITOMO CHEMICAL BRASIL INDUSTRIA QUIMICA S.A.</t>
  </si>
  <si>
    <t>luis.serafim@sumitomochemical.com</t>
  </si>
  <si>
    <t>55119445628</t>
  </si>
  <si>
    <t>1121650966</t>
  </si>
  <si>
    <t>EDIF ELIJASS GLIKS-MANIS ANDAR 8 E 9</t>
  </si>
  <si>
    <t>70b2f89b9b8a5f58ba2c1c3de4e1a54e</t>
  </si>
  <si>
    <t>01/03/2099</t>
  </si>
  <si>
    <t>26/08/2019</t>
  </si>
  <si>
    <t>ID-07467822000207</t>
  </si>
  <si>
    <t>corporate-jornada-ed20a26_pagamento-02</t>
  </si>
  <si>
    <t>corporate-jornada-ed20a26_pagamento-03</t>
  </si>
  <si>
    <t>01/10/2026</t>
  </si>
  <si>
    <t>ORDKH1VOCC5TQO5K</t>
  </si>
  <si>
    <t>24/03/2026 18:10</t>
  </si>
  <si>
    <t>24/03/2026</t>
  </si>
  <si>
    <t>AI for Leaders - 2ª edição - 2025</t>
  </si>
  <si>
    <t>ai-for-leaders-ed2a25</t>
  </si>
  <si>
    <t>Karla Rosa Aguiar</t>
  </si>
  <si>
    <t>03636215639</t>
  </si>
  <si>
    <t>karlaa@tribanco.com.br</t>
  </si>
  <si>
    <t>62996325040</t>
  </si>
  <si>
    <t>73105909</t>
  </si>
  <si>
    <t>Rodovia DF-150 Km 2,5</t>
  </si>
  <si>
    <t>Grande Colorado (Sobradinho)</t>
  </si>
  <si>
    <t>7c4d79291253cd5cf9e4938a0518baf1</t>
  </si>
  <si>
    <t>OFFTRIBANCO</t>
  </si>
  <si>
    <t>ID-03636215639</t>
  </si>
  <si>
    <t>COM69C2C24265135</t>
  </si>
  <si>
    <t>24/03/2026 13:56</t>
  </si>
  <si>
    <t>RH Leadership Xperience 2026 - Ingresso Explorer</t>
  </si>
  <si>
    <t>evento-rh-ed1a26_explorer</t>
  </si>
  <si>
    <t>Juliana Santos</t>
  </si>
  <si>
    <t>juliana.santos@portoseguro.com.br</t>
  </si>
  <si>
    <t>64d3d97c71b9c412b79b8f8ccdfa8431</t>
  </si>
  <si>
    <t>COM69C2BD1E2F4D3</t>
  </si>
  <si>
    <t>24/03/2026 13:34</t>
  </si>
  <si>
    <t>CARLOS ALEXANDRE FERREIRA SIMOES</t>
  </si>
  <si>
    <t>06.057.223/0305-93</t>
  </si>
  <si>
    <t>SENDAS DISTRIBUIDORA S/A</t>
  </si>
  <si>
    <t>carlos.simoes@assai.com.br</t>
  </si>
  <si>
    <t>11953246833</t>
  </si>
  <si>
    <t>1134115200</t>
  </si>
  <si>
    <t>03527000</t>
  </si>
  <si>
    <t>ARICANDUVA</t>
  </si>
  <si>
    <t>5555</t>
  </si>
  <si>
    <t>ANCORA E PARTE 1</t>
  </si>
  <si>
    <t>VILA ARICANDUVA</t>
  </si>
  <si>
    <t>33ac6e80ce6deea354bd4126c3958d5d</t>
  </si>
  <si>
    <t>23/10/2018</t>
  </si>
  <si>
    <t>ID-06057223030593</t>
  </si>
  <si>
    <t>COM6984E4AD8C492</t>
  </si>
  <si>
    <t>24/03/2026 12:09</t>
  </si>
  <si>
    <t>28987210985H1E8K2V6C</t>
  </si>
  <si>
    <t>KCR COMÉRCIO DE ALIMENTOS LTDA</t>
  </si>
  <si>
    <t>08865604204</t>
  </si>
  <si>
    <t>02.637.777/0008-63</t>
  </si>
  <si>
    <t>KCR COMERCIO DE ALIMENTOS LTDA</t>
  </si>
  <si>
    <t>kfkalif@uol.com.br</t>
  </si>
  <si>
    <t>91981286804</t>
  </si>
  <si>
    <t>9132836141</t>
  </si>
  <si>
    <t>66055050</t>
  </si>
  <si>
    <t>ANTONIO BARRETO</t>
  </si>
  <si>
    <t>166</t>
  </si>
  <si>
    <t>abf97fbd525f25b4147450ae418507fd</t>
  </si>
  <si>
    <t>https://loja.startse.com.br//processamento/fatura/abf97fbd525f25b4147450ae418507fd</t>
  </si>
  <si>
    <t>ID-02637777000863</t>
  </si>
  <si>
    <t>A pagar</t>
  </si>
  <si>
    <t>COM69C13CF6C7006</t>
  </si>
  <si>
    <t>23/03/2026 10:15</t>
  </si>
  <si>
    <t>China Xperience - 17 a 21 de Agosto de 2026</t>
  </si>
  <si>
    <t>china-xperience-ed3a26</t>
  </si>
  <si>
    <t>Fernanda Caroline Lopes Silva</t>
  </si>
  <si>
    <t>05.036.532/0001-00</t>
  </si>
  <si>
    <t>CENTRAL DAS COOPERATIVAS DE CREDITO UNICOOB</t>
  </si>
  <si>
    <t>fernanda.silva@sicoob.com.br</t>
  </si>
  <si>
    <t>44999072085</t>
  </si>
  <si>
    <t>ANDAR 9</t>
  </si>
  <si>
    <t>China Xperience - 25 a 29 de Maio de 2026</t>
  </si>
  <si>
    <t>059c61f6ca8ebcb4575a9090c3919300</t>
  </si>
  <si>
    <t>17/08/2026</t>
  </si>
  <si>
    <t>https://loja.startse.com.br//processamento/fatura/059c61f6ca8ebcb4575a9090c3919300</t>
  </si>
  <si>
    <t>10/01/2018</t>
  </si>
  <si>
    <t>ID-05036532000100</t>
  </si>
  <si>
    <t>COM69BDBB66B7287</t>
  </si>
  <si>
    <t>20/03/2026 18:25</t>
  </si>
  <si>
    <t>20/03/2026</t>
  </si>
  <si>
    <t>Ricardo Alves Almeida</t>
  </si>
  <si>
    <t>89925513120</t>
  </si>
  <si>
    <t>ricardo.a.almeida@caixa.gov.br</t>
  </si>
  <si>
    <t>5561981311862</t>
  </si>
  <si>
    <t>5baa510c4e4657673edb6bb8498f5ecc</t>
  </si>
  <si>
    <t>ID-89925513120</t>
  </si>
  <si>
    <t>11970648961</t>
  </si>
  <si>
    <t>1142345090</t>
  </si>
  <si>
    <t>COM69BC6A98D816C</t>
  </si>
  <si>
    <t>19/03/2026 18:28</t>
  </si>
  <si>
    <t>66b4c174e3853912d1237d48305beffd</t>
  </si>
  <si>
    <t>COM69BC69DBB34E6</t>
  </si>
  <si>
    <t>19/03/2026 18:25</t>
  </si>
  <si>
    <t>StartSe Board Program - Turma 15 - 2026</t>
  </si>
  <si>
    <t>board-program-ed3a26</t>
  </si>
  <si>
    <t>2f6a722488e97a8caa401db275f8e370</t>
  </si>
  <si>
    <t>03/08/2026</t>
  </si>
  <si>
    <t>COM69BC6878DF3C6</t>
  </si>
  <si>
    <t>19/03/2026 18:19</t>
  </si>
  <si>
    <t>StartSe Board Program - Turma 14 - 2026</t>
  </si>
  <si>
    <t>board-program-ed2a26</t>
  </si>
  <si>
    <t>d7c99f63d31ec04fecbdbb098197e484</t>
  </si>
  <si>
    <t>COM69BC49B046054</t>
  </si>
  <si>
    <t>19/03/2026 16:08</t>
  </si>
  <si>
    <t>19/03/2026</t>
  </si>
  <si>
    <t>Esquenta RH Leadership Experience</t>
  </si>
  <si>
    <t>encontro-exclusivo-ed1a26</t>
  </si>
  <si>
    <t>4ae9b34d8bc17fb4d471be40df719c5e</t>
  </si>
  <si>
    <t>COM69BC49785C5EA</t>
  </si>
  <si>
    <t>19/03/2026 16:07</t>
  </si>
  <si>
    <t>Gabriela Silva</t>
  </si>
  <si>
    <t>14.380.200/0001-21</t>
  </si>
  <si>
    <t>IFOOD.COM AGENCIA DE RESTAURANTES ONLINE S.A.</t>
  </si>
  <si>
    <t>gabriela.silva@ifood.com.br</t>
  </si>
  <si>
    <t>11986614635</t>
  </si>
  <si>
    <t>1136343360</t>
  </si>
  <si>
    <t>06020902</t>
  </si>
  <si>
    <t>DOS AUTONOMISTAS 1496</t>
  </si>
  <si>
    <t>1.496</t>
  </si>
  <si>
    <t>VILA YARA</t>
  </si>
  <si>
    <t>a5d71a6bc14c5f56a5ad497e3cb7e154</t>
  </si>
  <si>
    <t>20/05/2019</t>
  </si>
  <si>
    <t>ID-14380200000121</t>
  </si>
  <si>
    <t>COM69BB00779B099</t>
  </si>
  <si>
    <t>18/03/2026 16:43</t>
  </si>
  <si>
    <t>Hyundai | Consultoria TECH - Alocação de Vendas - pagamento 01</t>
  </si>
  <si>
    <t>consulting-tech-strategy-design-ed1a26_pagamento01</t>
  </si>
  <si>
    <t>Renata Ramos</t>
  </si>
  <si>
    <t>10.394.422/0001-42</t>
  </si>
  <si>
    <t>HYUNDAI MOTOR BRASIL MONTADORA DE AUTOMOVEIS LTDA</t>
  </si>
  <si>
    <t>renata.ramos@Hyundai-Brasil.com</t>
  </si>
  <si>
    <t>11998022898</t>
  </si>
  <si>
    <t>1933730000</t>
  </si>
  <si>
    <t>13413900</t>
  </si>
  <si>
    <t>HYUNDAI</t>
  </si>
  <si>
    <t>AGUA SANTA</t>
  </si>
  <si>
    <t>Hyundai | Consultoria TECH - Alocação de Vendas | Consultoria de tecnologia</t>
  </si>
  <si>
    <t>db0e7ea3e9c64a45c93ef24bfedc7967</t>
  </si>
  <si>
    <t>10/04/2025</t>
  </si>
  <si>
    <t>ID-10394422000142</t>
  </si>
  <si>
    <t>Adimplente</t>
  </si>
  <si>
    <t>Hyundai | Consultoria TECH - Alocação de Vendas - pagamento 02</t>
  </si>
  <si>
    <t>consulting-tech-strategy-design-ed1a26_pagamento02</t>
  </si>
  <si>
    <t>Hyundai | Consultoria TECH - Alocação de Vendas - pagamento 03</t>
  </si>
  <si>
    <t>consulting-tech-strategy-design-ed1a26_pagamento03</t>
  </si>
  <si>
    <t>23/05/2026</t>
  </si>
  <si>
    <t>Hyundai | Consultoria TECH - Alocação de Vendas - pagamento 04</t>
  </si>
  <si>
    <t>consulting-tech-strategy-design-ed1a26_pagamento04</t>
  </si>
  <si>
    <t>23/06/2026</t>
  </si>
  <si>
    <t>Hyundai | Consultoria TECH - Alocação de Vendas - pagamento 05</t>
  </si>
  <si>
    <t>consulting-tech-strategy-design-ed1a26_pagamento05</t>
  </si>
  <si>
    <t>23/07/2026</t>
  </si>
  <si>
    <t>Hyundai | Consultoria TECH - Alocação de Vendas - pagamento 06</t>
  </si>
  <si>
    <t>consulting-tech-strategy-design-ed1a26_pagamento06</t>
  </si>
  <si>
    <t>23/08/2026</t>
  </si>
  <si>
    <t>COM69BAFE9B32D35</t>
  </si>
  <si>
    <t>18/03/2026 16:35</t>
  </si>
  <si>
    <t>b315f7e0bf1bef9adc0df2d287e04ca6</t>
  </si>
  <si>
    <t>COM69BADEDCED19C</t>
  </si>
  <si>
    <t>18/03/2026 14:20</t>
  </si>
  <si>
    <t>18/03/2026</t>
  </si>
  <si>
    <t>Sicoob Crediacil</t>
  </si>
  <si>
    <t>36938498890</t>
  </si>
  <si>
    <t>08.795.285/0001-06</t>
  </si>
  <si>
    <t>COOPERATIVA DE CREDITO DE LIVRE ADMISSAO SICOOB CREDIACIL</t>
  </si>
  <si>
    <t>vanessa.lorencetti@sicoob.com.br</t>
  </si>
  <si>
    <t>19998364149</t>
  </si>
  <si>
    <t>13610110</t>
  </si>
  <si>
    <t>JOAO PESSOA</t>
  </si>
  <si>
    <t>539</t>
  </si>
  <si>
    <t>.</t>
  </si>
  <si>
    <t>Leme</t>
  </si>
  <si>
    <t>SICOOB</t>
  </si>
  <si>
    <t>02badf96e97163e42afb1842f1c78582</t>
  </si>
  <si>
    <t>24/06/2021</t>
  </si>
  <si>
    <t>ID-08795285000106</t>
  </si>
  <si>
    <t>COM69BADAC3A306E</t>
  </si>
  <si>
    <t>18/03/2026 14:02</t>
  </si>
  <si>
    <t>Programa de Inteligência Artificial Time G&amp;amp;G e Time HRIS - Hypera Pharma</t>
  </si>
  <si>
    <t>corporate-jornada-ed19a26_pagamento-01</t>
  </si>
  <si>
    <t>Priscilla Rocha</t>
  </si>
  <si>
    <t>02.932.074/0006-04</t>
  </si>
  <si>
    <t>HYPERA S.A.</t>
  </si>
  <si>
    <t>priscilla.perez@brainfarma.ind.br</t>
  </si>
  <si>
    <t>1136275453</t>
  </si>
  <si>
    <t>1136277000</t>
  </si>
  <si>
    <t>05676120</t>
  </si>
  <si>
    <t>MAGALHAES DE CASTRO</t>
  </si>
  <si>
    <t>4800</t>
  </si>
  <si>
    <t>ANDAR 22 / 23 E 25 CONJ 20.1 E 24.1</t>
  </si>
  <si>
    <t>CIDADE JARDIM</t>
  </si>
  <si>
    <t>Programa de Inteligência Artificial Time G&amp;amp;G e Time HRIS - Hypera Pharma | Pedido de Compras 4100165456</t>
  </si>
  <si>
    <t>1a9d5e94a09c112baf1dfe73c02c0f79</t>
  </si>
  <si>
    <t>27/09/2018</t>
  </si>
  <si>
    <t>ID-02932074000604</t>
  </si>
  <si>
    <t>corporate-jornada-ed19a26_pagamento-02</t>
  </si>
  <si>
    <t>COM69B9C10046DC2</t>
  </si>
  <si>
    <t>17/03/2026 18:00</t>
  </si>
  <si>
    <t>Literacia em AI - Lideranças - Capgemini</t>
  </si>
  <si>
    <t>corporate-jornada-ed18a26</t>
  </si>
  <si>
    <t>Bruno Lopes Simon</t>
  </si>
  <si>
    <t>62f0013d44d4894551c6ca49d6e904c3</t>
  </si>
  <si>
    <t>COM69B9B844453D4</t>
  </si>
  <si>
    <t>17/03/2026 17:23</t>
  </si>
  <si>
    <t>Sebrae RR | Jornada Estratégia</t>
  </si>
  <si>
    <t>consulting-strategy-design-ed3a26_pagamento-01--fase-1</t>
  </si>
  <si>
    <t>Oridete Aparecida Corrêa Ramalho</t>
  </si>
  <si>
    <t>04.685.236/0001-60</t>
  </si>
  <si>
    <t>SERVICO DE APOIO AS MICRO E PEQUENAS EMPRESAS DO ESTADO DE RORAIMA</t>
  </si>
  <si>
    <t>detinha@rr.sebrae.com.br</t>
  </si>
  <si>
    <t>9521218000</t>
  </si>
  <si>
    <t>69306705</t>
  </si>
  <si>
    <t>MAJOR WILLIAMS</t>
  </si>
  <si>
    <t>680</t>
  </si>
  <si>
    <t>SAO PEDRO</t>
  </si>
  <si>
    <t>Boa Vista</t>
  </si>
  <si>
    <t>RR</t>
  </si>
  <si>
    <t>27299c86563bb1ffcf538eb539ebd8aa</t>
  </si>
  <si>
    <t>StartSe Consulting,StartSe Consulting,StartSe Consulting,StartSe Consulting,StartSe Consulting,StartSe Consulting,StartSe Consulting,StartSe Consulting,StartSe Consulting,StartSe Consulting,StartSe Consulting,StartSe Consulting,StartSe Consulting,StartSe Consulting</t>
  </si>
  <si>
    <t>17/03/2026</t>
  </si>
  <si>
    <t>ID-04685236000160</t>
  </si>
  <si>
    <t>consulting-strategy-design-ed3a26_pagamento-01--fase-2-</t>
  </si>
  <si>
    <t>consulting-strategy-design-ed3a26_pagamento-01--fase-3</t>
  </si>
  <si>
    <t>consulting-strategy-design-ed3a26_pagamento-02--fase-3</t>
  </si>
  <si>
    <t>consulting-strategy-design-ed3a26_pagamento-03--fase-3</t>
  </si>
  <si>
    <t>consulting-strategy-design-ed3a26_pagamento-04--fase-3</t>
  </si>
  <si>
    <t>consulting-strategy-design-ed3a26_pagamento-05--fase-3</t>
  </si>
  <si>
    <t>consulting-strategy-design-ed3a26_pagamento-06--fase-3</t>
  </si>
  <si>
    <t>consulting-strategy-design-ed3a26_pagamento-07--fase-3</t>
  </si>
  <si>
    <t>consulting-strategy-design-ed3a26_pagamento-08--fase-3</t>
  </si>
  <si>
    <t>consulting-strategy-design-ed3a26_pagamento-09--fase-3</t>
  </si>
  <si>
    <t>consulting-strategy-design-ed3a26_pagamento-10--fase-3</t>
  </si>
  <si>
    <t>consulting-strategy-design-ed3a26_pagamento-11--fase-3</t>
  </si>
  <si>
    <t>consulting-strategy-design-ed3a26_pagamento-12--fase-3</t>
  </si>
  <si>
    <t>COM69B9B45758A31</t>
  </si>
  <si>
    <t>17/03/2026 17:06</t>
  </si>
  <si>
    <t>Workshop AI na Innovation Month Honda - Morumbi/SP</t>
  </si>
  <si>
    <t>corporate-workshop-ed19a26_pagamento01</t>
  </si>
  <si>
    <t>Carolina Melo</t>
  </si>
  <si>
    <t>02.906.820/0001-72</t>
  </si>
  <si>
    <t>HONDA SERVICOS LTDA</t>
  </si>
  <si>
    <t>carolina_melo@honda.com.br</t>
  </si>
  <si>
    <t>11974931362</t>
  </si>
  <si>
    <t>1155769959</t>
  </si>
  <si>
    <t>DOUTOR JOSE AUREO BUSTAMANTE</t>
  </si>
  <si>
    <t>377</t>
  </si>
  <si>
    <t>BLOCO 1 ANDAR 2</t>
  </si>
  <si>
    <t>922636ee7ed1ab3891e9f9368d3563d2</t>
  </si>
  <si>
    <t>05/10/2017</t>
  </si>
  <si>
    <t>ID-02906820000172</t>
  </si>
  <si>
    <t>corporate-workshop-ed19a26_pagamento02</t>
  </si>
  <si>
    <t>COM69B9B35D4919A</t>
  </si>
  <si>
    <t>17/03/2026 17:02</t>
  </si>
  <si>
    <t>José Francisco Fernandes Ribeiro</t>
  </si>
  <si>
    <t>51993511687</t>
  </si>
  <si>
    <t>Francisco.ribeiro@lusobank.com.br</t>
  </si>
  <si>
    <t>5511999451958</t>
  </si>
  <si>
    <t>ba0c9d95401a6da8289f476f4a54c5f7</t>
  </si>
  <si>
    <t>ID-51993511687</t>
  </si>
  <si>
    <t>COM69B998A8C6956</t>
  </si>
  <si>
    <t>17/03/2026 15:08</t>
  </si>
  <si>
    <t>Roberto Armelin</t>
  </si>
  <si>
    <t>Roberto.armelin@saopaulofc.net</t>
  </si>
  <si>
    <t>5511999999952</t>
  </si>
  <si>
    <t>dded83e8399c7c9b57680cd459418928</t>
  </si>
  <si>
    <t>COM69B9938F754E3</t>
  </si>
  <si>
    <t>17/03/2026 14:46</t>
  </si>
  <si>
    <t>Executive Program - 23 a 25 de Março de 2026</t>
  </si>
  <si>
    <t>executive-program-ed3a26</t>
  </si>
  <si>
    <t>FABIO HASSAN GONCALVES CALDEIRA</t>
  </si>
  <si>
    <t>07206373682</t>
  </si>
  <si>
    <t>fabio.hassan@localiza.com</t>
  </si>
  <si>
    <t>5531998523326</t>
  </si>
  <si>
    <t>dd135eb6b4f4d8d18b72f0b281d4768e</t>
  </si>
  <si>
    <t>ID-07206373682</t>
  </si>
  <si>
    <t>COM69B9535442C83</t>
  </si>
  <si>
    <t>17/03/2026 10:12</t>
  </si>
  <si>
    <t>RH Leadership Xperience 2026 - Ingresso Platinum</t>
  </si>
  <si>
    <t>evento-rh-ed1a26_platinum</t>
  </si>
  <si>
    <t>Daniel Matone</t>
  </si>
  <si>
    <t>95570373004</t>
  </si>
  <si>
    <t>43.470.988/0001-65</t>
  </si>
  <si>
    <t>EVEN CONSTRUTORA E INCORPORADORA S/A</t>
  </si>
  <si>
    <t>dmatone@even.com.br</t>
  </si>
  <si>
    <t>51999819612</t>
  </si>
  <si>
    <t>01455000</t>
  </si>
  <si>
    <t>HUNGRIA</t>
  </si>
  <si>
    <t>1400</t>
  </si>
  <si>
    <t>ANDAR 2  CONJ  22  ANDAR 3</t>
  </si>
  <si>
    <t>JARDIM EUROPA</t>
  </si>
  <si>
    <t>a896c516ba9f641af09c18f2728045d2</t>
  </si>
  <si>
    <t>09/02/2018</t>
  </si>
  <si>
    <t>ID-43470988000165</t>
  </si>
  <si>
    <t>COM69B94D223EAD3</t>
  </si>
  <si>
    <t>17/03/2026 09:46</t>
  </si>
  <si>
    <t>Arley Neto</t>
  </si>
  <si>
    <t>17.197.385/0078-00</t>
  </si>
  <si>
    <t>ZURICH MINAS BRASIL SEGUROS S.A.</t>
  </si>
  <si>
    <t>arley.neto@br.zurich.com</t>
  </si>
  <si>
    <t>11952404020</t>
  </si>
  <si>
    <t>1123138682</t>
  </si>
  <si>
    <t>04576010</t>
  </si>
  <si>
    <t>JORNALISTA ROBERTO MARINHO</t>
  </si>
  <si>
    <t>85</t>
  </si>
  <si>
    <t>ANDAR 21 AO 23</t>
  </si>
  <si>
    <t>5336253a36115a27a3cb15dfe79b2234</t>
  </si>
  <si>
    <t>ID-17197385007800</t>
  </si>
  <si>
    <t>COM69B869D3034FB</t>
  </si>
  <si>
    <t>16/03/2026 17:36</t>
  </si>
  <si>
    <t>20</t>
  </si>
  <si>
    <t>Sebrae SP | Vagas Executive Program | 30 vagas</t>
  </si>
  <si>
    <t>corporate-melhor-escolha-ed7a26</t>
  </si>
  <si>
    <t>Jackeline Dantas Martins</t>
  </si>
  <si>
    <t>43.728.245/0001-42</t>
  </si>
  <si>
    <t>SERVICO DE APOIO AS MICRO E PEQUENAS EMPRESAS DO ESTADO DE SAO PAULO</t>
  </si>
  <si>
    <t>jackelinedb@sebraesp.com.br</t>
  </si>
  <si>
    <t>1131774628</t>
  </si>
  <si>
    <t>01504001</t>
  </si>
  <si>
    <t>VERGUEIRO</t>
  </si>
  <si>
    <t>1117</t>
  </si>
  <si>
    <t>PARAISO</t>
  </si>
  <si>
    <t>Sebrae SP | Vagas Executive Program | 30 vagas
Forma de pagamento: 30 dias após emissão da NF via transferência bancária
Nome do participante precisa estar na NF</t>
  </si>
  <si>
    <t>c37b07cd5f18f30ab46a9319fd85426e</t>
  </si>
  <si>
    <t>04/02/2019</t>
  </si>
  <si>
    <t>ID-43728245000142</t>
  </si>
  <si>
    <t>COM69B8539B21A3B</t>
  </si>
  <si>
    <t>16/03/2026 16:01</t>
  </si>
  <si>
    <t>16/03/2026</t>
  </si>
  <si>
    <t>Oscar Lars Rune Jaern</t>
  </si>
  <si>
    <t>23266301811</t>
  </si>
  <si>
    <t>oscar.jaern@scania.com</t>
  </si>
  <si>
    <t>5511998345891</t>
  </si>
  <si>
    <t>651ae903d1526a15f1f644ff187e9778</t>
  </si>
  <si>
    <t>ID-23266301811</t>
  </si>
  <si>
    <t>COM69B848570E76F</t>
  </si>
  <si>
    <t>16/03/2026 15:13</t>
  </si>
  <si>
    <t>Sandra Camargo Vicari</t>
  </si>
  <si>
    <t>07071285870</t>
  </si>
  <si>
    <t>sandra.vicari@assai.com.br</t>
  </si>
  <si>
    <t>551191224016</t>
  </si>
  <si>
    <t>fc818b5916d326682336c36030cabe53</t>
  </si>
  <si>
    <t>ID-07071285870</t>
  </si>
  <si>
    <t>COM69B844A51F09B</t>
  </si>
  <si>
    <t>16/03/2026 14:57</t>
  </si>
  <si>
    <t>Juliana Latre</t>
  </si>
  <si>
    <t>34556846889</t>
  </si>
  <si>
    <t>juliana.latre@reckitt.com</t>
  </si>
  <si>
    <t>5511963000113</t>
  </si>
  <si>
    <t>d23be7cba2a96a7a2f69a5c7520289e3</t>
  </si>
  <si>
    <t>ID-34556846889</t>
  </si>
  <si>
    <t>COM69B834320E1E8</t>
  </si>
  <si>
    <t>16/03/2026 13:47</t>
  </si>
  <si>
    <t>Beatriz Claudino Souza</t>
  </si>
  <si>
    <t>39785148858</t>
  </si>
  <si>
    <t>Beatrizs@suzano.com.br</t>
  </si>
  <si>
    <t>5511996186620</t>
  </si>
  <si>
    <t>579b2f32a8196adbb871112546ec0f7b</t>
  </si>
  <si>
    <t>ID-39785148858</t>
  </si>
  <si>
    <t>COM69B818778BC23</t>
  </si>
  <si>
    <t>16/03/2026 11:49</t>
  </si>
  <si>
    <t>Executive Program - 23 a 25 de Março de 2026 Alexandre Nunes Robazza</t>
  </si>
  <si>
    <t>f54d91a6ad2e8f704dc1f1a1d51c0cce</t>
  </si>
  <si>
    <t>COM69B81448E07D9</t>
  </si>
  <si>
    <t>16/03/2026 11:31</t>
  </si>
  <si>
    <t>Executive Program - 23 a 25 de Março de 2026 Glauco Silva de Carvalho</t>
  </si>
  <si>
    <t>e7046e86dd40c2f337b2b96e86e94dbf</t>
  </si>
  <si>
    <t>COM69B813B2191C9</t>
  </si>
  <si>
    <t>16/03/2026 11:29</t>
  </si>
  <si>
    <t>Executive Program - 23 a 25 de Março de 2026 Marcelo Cardinale Palumbo</t>
  </si>
  <si>
    <t>fc71f32e3310c681baf606ba35fcd42c</t>
  </si>
  <si>
    <t>COM69B81334AECA2</t>
  </si>
  <si>
    <t>16/03/2026 11:27</t>
  </si>
  <si>
    <t>Executive Program - 23 a 25 de Março de 2026 Daniela Matheus Batista Sato</t>
  </si>
  <si>
    <t>79ee99e991bfd9cf2455cc278ef414ae</t>
  </si>
  <si>
    <t>COM69B4854001A57</t>
  </si>
  <si>
    <t>13/03/2026 18:44</t>
  </si>
  <si>
    <t>13/03/2026</t>
  </si>
  <si>
    <t>Bruno Paulo Martins da Silva</t>
  </si>
  <si>
    <t>39391356826</t>
  </si>
  <si>
    <t>bruno.martins@farmarcas.com.br</t>
  </si>
  <si>
    <t>5511950216200</t>
  </si>
  <si>
    <t>154ebeee1ba7dde56480a559216ae6bb</t>
  </si>
  <si>
    <t>ID-39391356826</t>
  </si>
  <si>
    <t>COM69B4837287626</t>
  </si>
  <si>
    <t>13/03/2026 18:36</t>
  </si>
  <si>
    <t>Marlinda Araújo da Silva</t>
  </si>
  <si>
    <t>34432655291</t>
  </si>
  <si>
    <t>marlinda.silva@rr.sebrae.com.br</t>
  </si>
  <si>
    <t>5547999362550</t>
  </si>
  <si>
    <t>db4dfd7526472ece8230a14d4f008e71</t>
  </si>
  <si>
    <t>ID-34432655291</t>
  </si>
  <si>
    <t>COM69B482049A156</t>
  </si>
  <si>
    <t>13/03/2026 18:30</t>
  </si>
  <si>
    <t>Demetrio Teodorov</t>
  </si>
  <si>
    <t>16345068802</t>
  </si>
  <si>
    <t>Demetrio.teodorov@rodobens.com.br</t>
  </si>
  <si>
    <t>5511981422477</t>
  </si>
  <si>
    <t>cf52427f41d2e1631781d7e88442d4c6</t>
  </si>
  <si>
    <t>ID-16345068802</t>
  </si>
  <si>
    <t>COM69B4809B16455</t>
  </si>
  <si>
    <t>13/03/2026 18:24</t>
  </si>
  <si>
    <t>Cristiano Alberto de Souza Pereira</t>
  </si>
  <si>
    <t>07307716798</t>
  </si>
  <si>
    <t>cristiano.pereira@allticonsultoria.com.br</t>
  </si>
  <si>
    <t>5511999999929</t>
  </si>
  <si>
    <t>6cbd060557a0fd666dd770923d8170d9</t>
  </si>
  <si>
    <t>ID-07307716798</t>
  </si>
  <si>
    <t>COM69B47F8A134D7</t>
  </si>
  <si>
    <t>13/03/2026 18:20</t>
  </si>
  <si>
    <t>Imersão Multiagentes - Presencial - 12 de Junho de 2026</t>
  </si>
  <si>
    <t>imersao-multiagentes-ed6a26</t>
  </si>
  <si>
    <t>5511999999985</t>
  </si>
  <si>
    <t>767ba1f409d7a7e4ad7e6aa6d2a400be</t>
  </si>
  <si>
    <t>12/06/2026</t>
  </si>
  <si>
    <t>COM69B47E862DFCF</t>
  </si>
  <si>
    <t>13/03/2026 18:15</t>
  </si>
  <si>
    <t>5511999999953</t>
  </si>
  <si>
    <t>AI para Negócios - Imersão Presencial - 11 e 12 de Maio de 2026</t>
  </si>
  <si>
    <t>0836c7d3d07bd43aad5b63c43c3385e5</t>
  </si>
  <si>
    <t>COM69B478B7CE96F</t>
  </si>
  <si>
    <t>13/03/2026 17:51</t>
  </si>
  <si>
    <t>Ana Caroline Lima Assis</t>
  </si>
  <si>
    <t>44248442850</t>
  </si>
  <si>
    <t>ana.assis@ifood.com.br</t>
  </si>
  <si>
    <t>5511949415605</t>
  </si>
  <si>
    <t>10132f57a263c6750c7fdee4121d004b</t>
  </si>
  <si>
    <t>ID-44248442850</t>
  </si>
  <si>
    <t>ORDVZNXD6SZWHA60</t>
  </si>
  <si>
    <t>13/03/2026 16:55</t>
  </si>
  <si>
    <t>Mariana Toricelli Marischka</t>
  </si>
  <si>
    <t>39305687806</t>
  </si>
  <si>
    <t>mmarischka@careplus.com.br</t>
  </si>
  <si>
    <t>11964112541</t>
  </si>
  <si>
    <t>bcea910f629fabfd3f64e152513e6cf8</t>
  </si>
  <si>
    <t>OFFCAREPLUS100</t>
  </si>
  <si>
    <t>ID-39305687806</t>
  </si>
  <si>
    <t>COM69B4695A73B4A</t>
  </si>
  <si>
    <t>13/03/2026 16:45</t>
  </si>
  <si>
    <t>Rodrigo Nardoni</t>
  </si>
  <si>
    <t>17945173837</t>
  </si>
  <si>
    <t>Rodrigo.nardoni@b3.com.br</t>
  </si>
  <si>
    <t>5511973032810</t>
  </si>
  <si>
    <t>6f436e626efa593253b62583933dc4f4</t>
  </si>
  <si>
    <t>ID-17945173837</t>
  </si>
  <si>
    <t>COM69B429F987727</t>
  </si>
  <si>
    <t>13/03/2026 12:15</t>
  </si>
  <si>
    <t>Flavia Leão</t>
  </si>
  <si>
    <t>00550964924</t>
  </si>
  <si>
    <t>flavia.leao@russellreynolds.com</t>
  </si>
  <si>
    <t>5511999999963</t>
  </si>
  <si>
    <t>e0fd78460164a660e2ec355732d99b24</t>
  </si>
  <si>
    <t>ID-00550964924</t>
  </si>
  <si>
    <t>COM69B42981ABDC6</t>
  </si>
  <si>
    <t>13/03/2026 12:13</t>
  </si>
  <si>
    <t>Mariana Abbud</t>
  </si>
  <si>
    <t>28117129841</t>
  </si>
  <si>
    <t>mariana.abbud@russellreynolds.com</t>
  </si>
  <si>
    <t>5511999999965</t>
  </si>
  <si>
    <t>3e377f207c5aeca5f984e176e3b7465f</t>
  </si>
  <si>
    <t>09/06/2017</t>
  </si>
  <si>
    <t>ID-28117129841</t>
  </si>
  <si>
    <t>COM69B421794C29E</t>
  </si>
  <si>
    <t>13/03/2026 11:38</t>
  </si>
  <si>
    <t>ADRIANA APARECIDA DE OLIVEIRA</t>
  </si>
  <si>
    <t>02489637673</t>
  </si>
  <si>
    <t>adriana.aoliveira@grupofleury.com.br</t>
  </si>
  <si>
    <t>5511999999962</t>
  </si>
  <si>
    <t>d28f2c5b02305e262c1e17e3ab87df67</t>
  </si>
  <si>
    <t>ID-02489637673</t>
  </si>
  <si>
    <t>COM69B41E9CED663</t>
  </si>
  <si>
    <t>13/03/2026 11:26</t>
  </si>
  <si>
    <t>9b2d7fb4b140887f6df60753d2f1a49f</t>
  </si>
  <si>
    <t>COM69B41E282FEB6</t>
  </si>
  <si>
    <t>13/03/2026 11:24</t>
  </si>
  <si>
    <t>ca751822da76f7d66794ba12b3619354</t>
  </si>
  <si>
    <t>COM69B419E0A6710</t>
  </si>
  <si>
    <t>13/03/2026 11:06</t>
  </si>
  <si>
    <t>ADEMIR RODRIGUES DE ARAUJO JR</t>
  </si>
  <si>
    <t>34527740822</t>
  </si>
  <si>
    <t>ademir.rodrigues@catupiry.com.br</t>
  </si>
  <si>
    <t>5511983971006</t>
  </si>
  <si>
    <t>f1c8104062893bf55dd298ec59a8d2db</t>
  </si>
  <si>
    <t>ID-34527740822</t>
  </si>
  <si>
    <t>COM69B417B1D2708</t>
  </si>
  <si>
    <t>13/03/2026 10:57</t>
  </si>
  <si>
    <t>Vitor Luiz Magalhaes Silva</t>
  </si>
  <si>
    <t>34344356896</t>
  </si>
  <si>
    <t>Vitor_Magalhaes@honda.com.br</t>
  </si>
  <si>
    <t>5511999999945</t>
  </si>
  <si>
    <t>b0178c17e906b05d3a35d6ce85599680</t>
  </si>
  <si>
    <t>ID-34344356896</t>
  </si>
  <si>
    <t>COM69B40E1C88969</t>
  </si>
  <si>
    <t>13/03/2026 10:16</t>
  </si>
  <si>
    <t>b5c8f49bd93b8a2dd6cb703ae4f4f3c2</t>
  </si>
  <si>
    <t>COM69B1DA487B231</t>
  </si>
  <si>
    <t>11/03/2026 18:10</t>
  </si>
  <si>
    <t>11/03/2026</t>
  </si>
  <si>
    <t>Hiara Layolee Silva Marquez Peixoto</t>
  </si>
  <si>
    <t>05530853447</t>
  </si>
  <si>
    <t>Hiara.peixoto@matera.com</t>
  </si>
  <si>
    <t>5511966363603</t>
  </si>
  <si>
    <t>929be2feafea30fd2402cf670d5adb9e</t>
  </si>
  <si>
    <t>ID-05530853447</t>
  </si>
  <si>
    <t>COM69B1D7C58A0E8</t>
  </si>
  <si>
    <t>11/03/2026 17:59</t>
  </si>
  <si>
    <t>Thalita Santos</t>
  </si>
  <si>
    <t>31356040802</t>
  </si>
  <si>
    <t>thalita.santos@ipiranga.ipiranga</t>
  </si>
  <si>
    <t>5511963973542</t>
  </si>
  <si>
    <t>73f78a3a272042e22549bf76e0371e7e</t>
  </si>
  <si>
    <t>ID-31356040802</t>
  </si>
  <si>
    <t>COM69B1C62824BDF</t>
  </si>
  <si>
    <t>11/03/2026 16:44</t>
  </si>
  <si>
    <t>Incidência de Multa</t>
  </si>
  <si>
    <t>multa-ed1a22</t>
  </si>
  <si>
    <t>Diana Junges</t>
  </si>
  <si>
    <t>89.049.738/0001-57</t>
  </si>
  <si>
    <t>COOPERATIVA DE CREDITO, POUPANCA E INVESTIMENTO CONFIANCA - SICREDI CONFIANCA</t>
  </si>
  <si>
    <t>diana_junges@sicredi.com.br</t>
  </si>
  <si>
    <t>5133584770</t>
  </si>
  <si>
    <t>98910000</t>
  </si>
  <si>
    <t>HORIZONTINA</t>
  </si>
  <si>
    <t>748</t>
  </si>
  <si>
    <t>Três de Maio</t>
  </si>
  <si>
    <t>22e959861dafb6cd4d5ef0c1978ce534</t>
  </si>
  <si>
    <t>01/01/2022</t>
  </si>
  <si>
    <t>ID-89049738000157</t>
  </si>
  <si>
    <t>COM69B08862C0D1A</t>
  </si>
  <si>
    <t>10/03/2026 18:08</t>
  </si>
  <si>
    <t>Maria Zambrano</t>
  </si>
  <si>
    <t>04545533825</t>
  </si>
  <si>
    <t>maria.zambranot@gm.com</t>
  </si>
  <si>
    <t>5511999999999</t>
  </si>
  <si>
    <t>74594b931c1b8e811bb06317839f4fcc</t>
  </si>
  <si>
    <t>ID-04545533825</t>
  </si>
  <si>
    <t>COM69B08749B3968</t>
  </si>
  <si>
    <t>10/03/2026 18:04</t>
  </si>
  <si>
    <t>Renato Galit</t>
  </si>
  <si>
    <t>22595448862</t>
  </si>
  <si>
    <t>Renato.galit@ogea.com.br</t>
  </si>
  <si>
    <t>5511971448502</t>
  </si>
  <si>
    <t>4f03cd1bcfdb6e58e11b50ede6aaa0a7</t>
  </si>
  <si>
    <t>ID-22595448862</t>
  </si>
  <si>
    <t>COM69B086FC176BA</t>
  </si>
  <si>
    <t>10/03/2026 18:02</t>
  </si>
  <si>
    <t>AI para Negócios - Imersão Presencial -  11 e 12 de Março de 2026</t>
  </si>
  <si>
    <t>imersao-presencial-de-ai-ed4a26</t>
  </si>
  <si>
    <t>Gerson Almeida da Costa</t>
  </si>
  <si>
    <t>11918602910</t>
  </si>
  <si>
    <t>AI para Negócios - Imersão Presencial - 11 e 12 de Março de 2026</t>
  </si>
  <si>
    <t>2fc5dea7b546a4bcf0fc049fb7c4a713</t>
  </si>
  <si>
    <t>COM69B084E8DCA75</t>
  </si>
  <si>
    <t>10/03/2026 17:54</t>
  </si>
  <si>
    <t>4a36b27104ab28b8a5a91a1d9ced8f0f</t>
  </si>
  <si>
    <t>COM69B0822EE3D46</t>
  </si>
  <si>
    <t>10/03/2026 17:42</t>
  </si>
  <si>
    <t>Janayna Coutinho Cogo</t>
  </si>
  <si>
    <t>05276238731</t>
  </si>
  <si>
    <t>janayna.cogo@arcelormittal.com.br</t>
  </si>
  <si>
    <t>5527988416111</t>
  </si>
  <si>
    <t>51654046186d75fce34f214bdc812106</t>
  </si>
  <si>
    <t>ID-05276238731</t>
  </si>
  <si>
    <t>COM69B081C225F88</t>
  </si>
  <si>
    <t>10/03/2026 17:40</t>
  </si>
  <si>
    <t>Danielly Feu</t>
  </si>
  <si>
    <t>09366186718</t>
  </si>
  <si>
    <t>danielly.feu@arcelormittal.com.br</t>
  </si>
  <si>
    <t>5527999717950</t>
  </si>
  <si>
    <t>4374da5afb3a4e70ae1d20a00fb25723</t>
  </si>
  <si>
    <t>16/05/2024</t>
  </si>
  <si>
    <t>ID-09366186718</t>
  </si>
  <si>
    <t>COM69B081230D494</t>
  </si>
  <si>
    <t>10/03/2026 17:37</t>
  </si>
  <si>
    <t>Daiana Forechi</t>
  </si>
  <si>
    <t>14193770788</t>
  </si>
  <si>
    <t>daiana.forechi@arcelormittal.com.br</t>
  </si>
  <si>
    <t>5527998515757</t>
  </si>
  <si>
    <t>8abc0ecc9b3b009fbf26e45652cb9607</t>
  </si>
  <si>
    <t>ID-14193770788</t>
  </si>
  <si>
    <t>COM69B07DCE84747</t>
  </si>
  <si>
    <t>10/03/2026 17:23</t>
  </si>
  <si>
    <t>21998475867</t>
  </si>
  <si>
    <t>Rodrigo.marangoni@ultra.com.br</t>
  </si>
  <si>
    <t>47d0930204154c54b2109867084addc4</t>
  </si>
  <si>
    <t>23/03/2021</t>
  </si>
  <si>
    <t>ID-21998475867</t>
  </si>
  <si>
    <t>COM69B07968A3691</t>
  </si>
  <si>
    <t>10/03/2026 17:04</t>
  </si>
  <si>
    <t>Cláudia Lopes</t>
  </si>
  <si>
    <t>08665602704</t>
  </si>
  <si>
    <t>claudia.lopes@arcelormittal.com.br</t>
  </si>
  <si>
    <t>5527997257169</t>
  </si>
  <si>
    <t>ab13e4ea91ad3a8217fe84499bdcae74</t>
  </si>
  <si>
    <t>ID-08665602704</t>
  </si>
  <si>
    <t>COM69B05ADAB4733</t>
  </si>
  <si>
    <t>10/03/2026 14:54</t>
  </si>
  <si>
    <t>João Carlos Gouveia</t>
  </si>
  <si>
    <t>00699566851</t>
  </si>
  <si>
    <t>gouveia@sebraego.com.br</t>
  </si>
  <si>
    <t>5562981625009</t>
  </si>
  <si>
    <t>0aee1bce12e197f046af95c2195ce588</t>
  </si>
  <si>
    <t>ID-00699566851</t>
  </si>
  <si>
    <t>COM69AF22C1374E7</t>
  </si>
  <si>
    <t>09/03/2026 16:42</t>
  </si>
  <si>
    <t>Caio Doi</t>
  </si>
  <si>
    <t>87530058991</t>
  </si>
  <si>
    <t>Caio.doi@marcopolo.com.br</t>
  </si>
  <si>
    <t>5554954916107</t>
  </si>
  <si>
    <t>0aac3cabdd17409629d142494456b8d2</t>
  </si>
  <si>
    <t>ID-87530058991</t>
  </si>
  <si>
    <t>COM69AF20BDC972C</t>
  </si>
  <si>
    <t>09/03/2026 16:34</t>
  </si>
  <si>
    <t>09/03/2026</t>
  </si>
  <si>
    <t>a2a5b57b9216b88ce5c776007cc2ce05</t>
  </si>
  <si>
    <t>CARLOS ALBERTO LINO DE PONTES JUNIOR</t>
  </si>
  <si>
    <t>32062086881</t>
  </si>
  <si>
    <t>carlos.pontes@zeiss.com</t>
  </si>
  <si>
    <t>5511970683429</t>
  </si>
  <si>
    <t>ID-32062086881</t>
  </si>
  <si>
    <t>COM69AF1994A9F34</t>
  </si>
  <si>
    <t>09/03/2026 16:03</t>
  </si>
  <si>
    <t>Thais Gonçalvez</t>
  </si>
  <si>
    <t>41055800867</t>
  </si>
  <si>
    <t>thaisg.silva@odontoprev.com.br</t>
  </si>
  <si>
    <t>5511986455151</t>
  </si>
  <si>
    <t>dee4ebdd18f5f6aaaa261124a6d3298d</t>
  </si>
  <si>
    <t>ID-41055800867</t>
  </si>
  <si>
    <t>COM69AF182789404</t>
  </si>
  <si>
    <t>09/03/2026 15:57</t>
  </si>
  <si>
    <t>Amanda Pietro</t>
  </si>
  <si>
    <t>38564411822</t>
  </si>
  <si>
    <t>amanda.pietro@corpay.com.br</t>
  </si>
  <si>
    <t>5511976111062</t>
  </si>
  <si>
    <t>819029fb0b1c3b961b7ee52ee6c35dba</t>
  </si>
  <si>
    <t>ID-38564411822</t>
  </si>
  <si>
    <t>COM69AF178F3663E</t>
  </si>
  <si>
    <t>09/03/2026 15:55</t>
  </si>
  <si>
    <t>Renata Villaron Moll</t>
  </si>
  <si>
    <t>21500962856</t>
  </si>
  <si>
    <t>renata.moll@cnpbrasil.com.br</t>
  </si>
  <si>
    <t>556198231100</t>
  </si>
  <si>
    <t>71dc38f0ddd642661ac80cc1a41605c6</t>
  </si>
  <si>
    <t>ID-21500962856</t>
  </si>
  <si>
    <t>COM69AF16FA4F040</t>
  </si>
  <si>
    <t>09/03/2026 15:52</t>
  </si>
  <si>
    <t>Rachel Arruda Bueno Sarti</t>
  </si>
  <si>
    <t>32318530874</t>
  </si>
  <si>
    <t>5511972027013</t>
  </si>
  <si>
    <t>702a683cafcdd778a2c2d82dc8ecd046</t>
  </si>
  <si>
    <t>ID-32318530874</t>
  </si>
  <si>
    <t>COM69AF15E85E8A4</t>
  </si>
  <si>
    <t>09/03/2026 15:48</t>
  </si>
  <si>
    <t>Viviane Alvarenga</t>
  </si>
  <si>
    <t>01642177628</t>
  </si>
  <si>
    <t>viviane@farmarcas.com.br</t>
  </si>
  <si>
    <t>5511986848683</t>
  </si>
  <si>
    <t>17b4fc9206f525f69c8629f620c1ac26</t>
  </si>
  <si>
    <t>ID-01642177628</t>
  </si>
  <si>
    <t>COM69AF144FE5507</t>
  </si>
  <si>
    <t>09/03/2026 15:41</t>
  </si>
  <si>
    <t>Thais Delcir</t>
  </si>
  <si>
    <t>42100266896</t>
  </si>
  <si>
    <t>thais.delcir@zeiss.com</t>
  </si>
  <si>
    <t>5511957301800</t>
  </si>
  <si>
    <t>67acdd7ad5d8ce9cfd6e311170248318</t>
  </si>
  <si>
    <t>ID-42100266896</t>
  </si>
  <si>
    <t>COM69AF137145119</t>
  </si>
  <si>
    <t>09/03/2026 15:37</t>
  </si>
  <si>
    <t>Almerinda Valinho</t>
  </si>
  <si>
    <t>00030676703</t>
  </si>
  <si>
    <t>avalinho@mcdbuzios.com.br</t>
  </si>
  <si>
    <t>5522992325319</t>
  </si>
  <si>
    <t>8f473b5c487554143166b93b830b9b99</t>
  </si>
  <si>
    <t>ID-00030676703</t>
  </si>
  <si>
    <t>COM69AF0D422F3F8</t>
  </si>
  <si>
    <t>09/03/2026 15:11</t>
  </si>
  <si>
    <t>Maria Fernanda Anselmo</t>
  </si>
  <si>
    <t>18.459.628/0043-74</t>
  </si>
  <si>
    <t>BAYER S.A.</t>
  </si>
  <si>
    <t>mariaf.anselmo@bayer.com</t>
  </si>
  <si>
    <t>11996914617</t>
  </si>
  <si>
    <t>1156945166</t>
  </si>
  <si>
    <t>04779900</t>
  </si>
  <si>
    <t>DOMINGOS JORGE</t>
  </si>
  <si>
    <t>1100</t>
  </si>
  <si>
    <t>PREDIO 9504</t>
  </si>
  <si>
    <t>SOCORRO</t>
  </si>
  <si>
    <t>Bayer</t>
  </si>
  <si>
    <t>a548705fae66426e3e0d4c445d484499</t>
  </si>
  <si>
    <t>11/07/2022</t>
  </si>
  <si>
    <t>ID-18459628004374</t>
  </si>
  <si>
    <t>COM69AF0D3F85EDC</t>
  </si>
  <si>
    <t>Amanda Abrantes de Carvalho</t>
  </si>
  <si>
    <t>70013754114</t>
  </si>
  <si>
    <t>amandaabrantes23@hotmail.com</t>
  </si>
  <si>
    <t>5562992888548</t>
  </si>
  <si>
    <t>0a7ba6039c3fbbc829fc0bb5b310c704</t>
  </si>
  <si>
    <t>ID-70013754114</t>
  </si>
  <si>
    <t>COM69AF0CEBE4178</t>
  </si>
  <si>
    <t>09/03/2026 15:09</t>
  </si>
  <si>
    <t>Zilaide Oliveira Silva</t>
  </si>
  <si>
    <t>13477363876</t>
  </si>
  <si>
    <t>zilaide.oliveira@somagrupo.com.br</t>
  </si>
  <si>
    <t>5511970329177</t>
  </si>
  <si>
    <t>737b1642daaed750574ec4d80e480fda</t>
  </si>
  <si>
    <t>ID-13477363876</t>
  </si>
  <si>
    <t>COM69AF0C7BCC428</t>
  </si>
  <si>
    <t>09/03/2026 15:07</t>
  </si>
  <si>
    <t>Amanda Marques Monteiro de Barros Lin</t>
  </si>
  <si>
    <t>12759951790</t>
  </si>
  <si>
    <t>amanda.lins@somagrupo.com.br</t>
  </si>
  <si>
    <t>5521994466446</t>
  </si>
  <si>
    <t>a466e228a47b597283e6d1d9d50eeaad</t>
  </si>
  <si>
    <t>ID-12759951790</t>
  </si>
  <si>
    <t>COM69AF0BAF5D903</t>
  </si>
  <si>
    <t>09/03/2026 15:04</t>
  </si>
  <si>
    <t>Denis Akio Macedo Yamauchi</t>
  </si>
  <si>
    <t>11095748602</t>
  </si>
  <si>
    <t>denis.akio@srna.co</t>
  </si>
  <si>
    <t>5535991032825</t>
  </si>
  <si>
    <t>f3d8f03f5265e6917703be371a2ff1df</t>
  </si>
  <si>
    <t>ID-11095748602</t>
  </si>
  <si>
    <t>COM69AF0B24BC674</t>
  </si>
  <si>
    <t>09/03/2026 15:02</t>
  </si>
  <si>
    <t>Lívia Candido de Souza</t>
  </si>
  <si>
    <t>10815620721</t>
  </si>
  <si>
    <t>livia.souza@srna.co</t>
  </si>
  <si>
    <t>5521983101600</t>
  </si>
  <si>
    <t>05bbdca04117c6d81b2540d895b41a4f</t>
  </si>
  <si>
    <t>ID-10815620721</t>
  </si>
  <si>
    <t>COM69AF09B339758</t>
  </si>
  <si>
    <t>09/03/2026 14:56</t>
  </si>
  <si>
    <t>Marcele Correia</t>
  </si>
  <si>
    <t>55042430091</t>
  </si>
  <si>
    <t>marcele.correia@olxbr.com</t>
  </si>
  <si>
    <t>5511932928887</t>
  </si>
  <si>
    <t>c2558e70d32782d96326db5ea45a7bc3</t>
  </si>
  <si>
    <t>17/01/2024</t>
  </si>
  <si>
    <t>ID-55042430091</t>
  </si>
  <si>
    <t>COM69AF07EC22C2D</t>
  </si>
  <si>
    <t>09/03/2026 14:48</t>
  </si>
  <si>
    <t>Gustavo Abreu</t>
  </si>
  <si>
    <t>32014792844</t>
  </si>
  <si>
    <t>gustavo.abreu@astrazeneca.com</t>
  </si>
  <si>
    <t>5511988561766</t>
  </si>
  <si>
    <t>5f020a18a9c1933f6d26377cbb947c6b</t>
  </si>
  <si>
    <t>ID-32014792844</t>
  </si>
  <si>
    <t>COM69AF052C6628C</t>
  </si>
  <si>
    <t>09/03/2026 14:36</t>
  </si>
  <si>
    <t>Patricia Bobbato</t>
  </si>
  <si>
    <t>00710667990</t>
  </si>
  <si>
    <t>patriciabobbato@natura.net</t>
  </si>
  <si>
    <t>d6fd975f06d5a2c26a4d0e602861c44b</t>
  </si>
  <si>
    <t>ID-00710667990</t>
  </si>
  <si>
    <t>COM69AF022A0A2A2</t>
  </si>
  <si>
    <t>09/03/2026 14:23</t>
  </si>
  <si>
    <t>Tatiana Pizza</t>
  </si>
  <si>
    <t>29583248851</t>
  </si>
  <si>
    <t>tatiana.cordoni@totvs.com.br</t>
  </si>
  <si>
    <t>5511974401449</t>
  </si>
  <si>
    <t>c1ccdc48c324d3a9e8c4feaa5f581319</t>
  </si>
  <si>
    <t>ID-29583248851</t>
  </si>
  <si>
    <t>COM69AEF89DED9BA</t>
  </si>
  <si>
    <t>09/03/2026 13:43</t>
  </si>
  <si>
    <t>Palestra Fabio Neto | Iconic</t>
  </si>
  <si>
    <t>corporate-palestra-ed13a26</t>
  </si>
  <si>
    <t>Rafael Dos Santos Santana</t>
  </si>
  <si>
    <t>rsantana@iconic.com.br</t>
  </si>
  <si>
    <t>21974184545</t>
  </si>
  <si>
    <t>2125105925</t>
  </si>
  <si>
    <t>2c304592530492bdef8e19955e5fbd3c</t>
  </si>
  <si>
    <t>COM69AB3AA41B1A5</t>
  </si>
  <si>
    <t>06/03/2026 17:35</t>
  </si>
  <si>
    <t>Kenya Aparecida dos Santos Consceição</t>
  </si>
  <si>
    <t>05625681660</t>
  </si>
  <si>
    <t>kenya.consceicao@mrs.com.br</t>
  </si>
  <si>
    <t>5531984138217</t>
  </si>
  <si>
    <t>2f04f3c74f29d239591fe0c56992718e</t>
  </si>
  <si>
    <t>ID-05625681660</t>
  </si>
  <si>
    <t>COM69AB38AA33BB0</t>
  </si>
  <si>
    <t>06/03/2026 17:27</t>
  </si>
  <si>
    <t>f368daeb1ee9a5a8af4ba782ae24dd12</t>
  </si>
  <si>
    <t>ORDMWLA0BJSPKWW4</t>
  </si>
  <si>
    <t>06/03/2026 17:24</t>
  </si>
  <si>
    <t>Isabele Quirino Sobrinho Silva</t>
  </si>
  <si>
    <t>10845281771</t>
  </si>
  <si>
    <t>03.495.672/0001-03</t>
  </si>
  <si>
    <t>VOLKSWAGEN PARTICIPACOES LTDA</t>
  </si>
  <si>
    <t>isabele.silva@vwfs.com</t>
  </si>
  <si>
    <t>11945695380</t>
  </si>
  <si>
    <t>04344901</t>
  </si>
  <si>
    <t>VOLKSWAGEN</t>
  </si>
  <si>
    <t>291</t>
  </si>
  <si>
    <t>6 ANDAR</t>
  </si>
  <si>
    <t>JABAQUARA</t>
  </si>
  <si>
    <t>d05ba340220275141268ff3058b0a87f</t>
  </si>
  <si>
    <t>RHFESTIVAL26-EXPLORER-LOTE-4</t>
  </si>
  <si>
    <t>25/06/2019</t>
  </si>
  <si>
    <t>ID-03495672000103</t>
  </si>
  <si>
    <t>COM69AB35EB04964</t>
  </si>
  <si>
    <t>06/03/2026 17:15</t>
  </si>
  <si>
    <t>Jonathan RD Saude</t>
  </si>
  <si>
    <t>23007428882</t>
  </si>
  <si>
    <t>Jonathan@rdsaude.com.br</t>
  </si>
  <si>
    <t>f31796383a683f94a303628225c62796</t>
  </si>
  <si>
    <t>ID-23007428882</t>
  </si>
  <si>
    <t>COM69AB2D71D88DE</t>
  </si>
  <si>
    <t>06/03/2026 16:39</t>
  </si>
  <si>
    <t>Gleice Lopes Schifino</t>
  </si>
  <si>
    <t>00545517575</t>
  </si>
  <si>
    <t>gleice.schifino@imperio55.com.br</t>
  </si>
  <si>
    <t>5571991917365</t>
  </si>
  <si>
    <t>ea384d16e558134df1648972702d560b</t>
  </si>
  <si>
    <t>13/01/2023</t>
  </si>
  <si>
    <t>ID-00545517575</t>
  </si>
  <si>
    <t>COM69AB255B77D9E</t>
  </si>
  <si>
    <t>06/03/2026 16:04</t>
  </si>
  <si>
    <t>06/03/2026</t>
  </si>
  <si>
    <t>Adcley Marcelino de Aquino Souza</t>
  </si>
  <si>
    <t>86908308987</t>
  </si>
  <si>
    <t>Adcley.Souza@assobens.com.br</t>
  </si>
  <si>
    <t>554192543748</t>
  </si>
  <si>
    <t>9c726990fc9d7717f98c86be732bd5ac</t>
  </si>
  <si>
    <t>ID-86908308987</t>
  </si>
  <si>
    <t>COM69AB247A12A7A</t>
  </si>
  <si>
    <t>06/03/2026 16:01</t>
  </si>
  <si>
    <t>Neto Luiz</t>
  </si>
  <si>
    <t>34.771.518/0001-40</t>
  </si>
  <si>
    <t>INNOVAPHARMA BRASIL FARMACEUTICA LTDA</t>
  </si>
  <si>
    <t>neto.luiz@nutriex.com.br</t>
  </si>
  <si>
    <t>6291105300</t>
  </si>
  <si>
    <t>6232728924</t>
  </si>
  <si>
    <t>74850545</t>
  </si>
  <si>
    <t>505</t>
  </si>
  <si>
    <t>QUADRAAREA LOTE 01 GALPAO01</t>
  </si>
  <si>
    <t>JD DA LUZ</t>
  </si>
  <si>
    <t>ae1d3a88570e9642e4e0c20c510d92db</t>
  </si>
  <si>
    <t>ID-34771518000140</t>
  </si>
  <si>
    <t>COM69AB1B9D77E31</t>
  </si>
  <si>
    <t>06/03/2026 15:23</t>
  </si>
  <si>
    <t>Fernanda Oliveira Vieira</t>
  </si>
  <si>
    <t>45723635875</t>
  </si>
  <si>
    <t>fernanda.vieira1@gerdau.com.br</t>
  </si>
  <si>
    <t>5511959345400</t>
  </si>
  <si>
    <t>7a46912f84692ee6d8333cf465683086</t>
  </si>
  <si>
    <t>ID-45723635875</t>
  </si>
  <si>
    <t>COM69AAEFCC20F65</t>
  </si>
  <si>
    <t>06/03/2026 12:16</t>
  </si>
  <si>
    <t>Andrew Taniguchi</t>
  </si>
  <si>
    <t>andrew.taniguchi@sicoob.com.br</t>
  </si>
  <si>
    <t>44999767606</t>
  </si>
  <si>
    <t>4430327700</t>
  </si>
  <si>
    <t>87020025</t>
  </si>
  <si>
    <t>DUQUE DE CAXIAS</t>
  </si>
  <si>
    <t>882</t>
  </si>
  <si>
    <t>SLJ 02</t>
  </si>
  <si>
    <t>NOVO CENTRO</t>
  </si>
  <si>
    <t>Maringá</t>
  </si>
  <si>
    <t>SICOOB - Central Unicoob</t>
  </si>
  <si>
    <t>6be2bae0017ef099910399a2eac980f5</t>
  </si>
  <si>
    <t>COM69AAEC3028841</t>
  </si>
  <si>
    <t>06/03/2026 12:01</t>
  </si>
  <si>
    <t>Juliana Kudaka</t>
  </si>
  <si>
    <t>48.539.407/0001-18</t>
  </si>
  <si>
    <t>BASF SA</t>
  </si>
  <si>
    <t>juliana.kudaka@basf.com</t>
  </si>
  <si>
    <t>11949699077</t>
  </si>
  <si>
    <t>1120392273</t>
  </si>
  <si>
    <t>14171</t>
  </si>
  <si>
    <t>1d6795f461d1d267a176562170bf8063</t>
  </si>
  <si>
    <t>01/02/2018</t>
  </si>
  <si>
    <t>ID-48539407000118</t>
  </si>
  <si>
    <t>JOHN DEERE BRASIL LTDA</t>
  </si>
  <si>
    <t>DISTRITO INDUSTRIAL</t>
  </si>
  <si>
    <t>Campinas</t>
  </si>
  <si>
    <t>05/03/2026</t>
  </si>
  <si>
    <t>COM69A9EA7B95E11</t>
  </si>
  <si>
    <t>05/03/2026 17:41</t>
  </si>
  <si>
    <t>John Deere | Palestra Gustavo Bodra</t>
  </si>
  <si>
    <t>corporate-palestra-ed12a26</t>
  </si>
  <si>
    <t>BEATRIZ CARVALHO</t>
  </si>
  <si>
    <t>89.674.782/0004-09</t>
  </si>
  <si>
    <t>CarvalhoBeatrizR@JohnDeere.com</t>
  </si>
  <si>
    <t>19971079043</t>
  </si>
  <si>
    <t>5130225550</t>
  </si>
  <si>
    <t>13337300</t>
  </si>
  <si>
    <t>ENGENHEIRO ERMENIO DE OLIVEIRA PENTEADO (SP - 075)</t>
  </si>
  <si>
    <t>KM 57.5 TORRES 1 2 E 3</t>
  </si>
  <si>
    <t>HELVETIA</t>
  </si>
  <si>
    <t>8872962fe2bae46795acf841275ad096</t>
  </si>
  <si>
    <t>09/05/2022</t>
  </si>
  <si>
    <t>ID-89674782000409</t>
  </si>
  <si>
    <t>COM69A9BFCB00966</t>
  </si>
  <si>
    <t>05/03/2026 14:39</t>
  </si>
  <si>
    <t>Aliny Alves Katsutani</t>
  </si>
  <si>
    <t>alinykatsutani4@gmail.com</t>
  </si>
  <si>
    <t>c7dee05c784c8379a317efc429202df9</t>
  </si>
  <si>
    <t>COM69A9BF4209FA5</t>
  </si>
  <si>
    <t>05/03/2026 14:37</t>
  </si>
  <si>
    <t>CLEITON ALVES DE JESUS</t>
  </si>
  <si>
    <t>89971116120</t>
  </si>
  <si>
    <t>cjesus@id-logistics.com</t>
  </si>
  <si>
    <t>5511940401092</t>
  </si>
  <si>
    <t>06f4f86fa5b3a2ebad685bf46b9facf5</t>
  </si>
  <si>
    <t>02/10/2019</t>
  </si>
  <si>
    <t>ID-89971116120</t>
  </si>
  <si>
    <t>COM69A9BD6001B87</t>
  </si>
  <si>
    <t>05/03/2026 14:29</t>
  </si>
  <si>
    <t>62e68b01514cf8afaec7dfe0dd02caab</t>
  </si>
  <si>
    <t>COM69A9BAD56A92F</t>
  </si>
  <si>
    <t>05/03/2026 14:18</t>
  </si>
  <si>
    <t>RAFAELA DAMASCENO MARTINS DE ABREU</t>
  </si>
  <si>
    <t>09241991640</t>
  </si>
  <si>
    <t>rafaela.abreu@grupofleury.com.br</t>
  </si>
  <si>
    <t>5531984862105</t>
  </si>
  <si>
    <t>69c597103c04ed3af0ba5329194a1002</t>
  </si>
  <si>
    <t>ID-09241991640</t>
  </si>
  <si>
    <t>COM69A9B7BD5D968</t>
  </si>
  <si>
    <t>05/03/2026 14:05</t>
  </si>
  <si>
    <t>556133171141</t>
  </si>
  <si>
    <t>94db2b0f00d877006192de5b87402915</t>
  </si>
  <si>
    <t>COM69A9B6ED8D80F</t>
  </si>
  <si>
    <t>05/03/2026 14:01</t>
  </si>
  <si>
    <t>bfdc991567abfc6a7fb616763f25c008</t>
  </si>
  <si>
    <t>COM69A8D212E1572</t>
  </si>
  <si>
    <t>04/03/2026 21:45</t>
  </si>
  <si>
    <t>Oracle</t>
  </si>
  <si>
    <t>5b2958ae5c5cd7061655169860179d53</t>
  </si>
  <si>
    <t>COM69A8CFBF1B9AA</t>
  </si>
  <si>
    <t>04/03/2026 21:35</t>
  </si>
  <si>
    <t>04/03/2026</t>
  </si>
  <si>
    <t>TERESA CRISTINA MOTA LOPES</t>
  </si>
  <si>
    <t>00560710780</t>
  </si>
  <si>
    <t>teresa.cristina@sotreq.com.br</t>
  </si>
  <si>
    <t>21981248164</t>
  </si>
  <si>
    <t>22793312</t>
  </si>
  <si>
    <t>AVENIDA CANDIDO PORTINARI</t>
  </si>
  <si>
    <t>502 BLOCO 2</t>
  </si>
  <si>
    <t>RIO DE JANEIRO</t>
  </si>
  <si>
    <t>Sotreq</t>
  </si>
  <si>
    <t>820c2e2ec1cc64eacaf9eb87d69986cf</t>
  </si>
  <si>
    <t>07/02/2024</t>
  </si>
  <si>
    <t>ID-00560710780</t>
  </si>
  <si>
    <t>COM69A89C754083F</t>
  </si>
  <si>
    <t>04/03/2026 17:56</t>
  </si>
  <si>
    <t>XBS 2025 - Impulso Bayer Academy</t>
  </si>
  <si>
    <t>impulso-bayer-ed4a25</t>
  </si>
  <si>
    <t>Luiza Picoli Donato</t>
  </si>
  <si>
    <t>19.208.148/0001-44</t>
  </si>
  <si>
    <t>CAMBAI INDUSTRIA DE SEMENTES LTDA.</t>
  </si>
  <si>
    <t>luiza.donato@cambai.com.br</t>
  </si>
  <si>
    <t>5596468927</t>
  </si>
  <si>
    <t>5533529200</t>
  </si>
  <si>
    <t>97800000</t>
  </si>
  <si>
    <t>RINCAO DE SAO PEDRO</t>
  </si>
  <si>
    <t>SN</t>
  </si>
  <si>
    <t>INTERIOR</t>
  </si>
  <si>
    <t>São Luiz Gonzaga</t>
  </si>
  <si>
    <t>Impulso Bayer Academy - XBS [Luiza Picoli Donato]</t>
  </si>
  <si>
    <t>67c5658eaaf25ce5abdffb11a70ca8fe</t>
  </si>
  <si>
    <t>11/09/2025</t>
  </si>
  <si>
    <t>ID-19208148000144</t>
  </si>
  <si>
    <t>COM69A885AA20B49</t>
  </si>
  <si>
    <t>04/03/2026 16:19</t>
  </si>
  <si>
    <t>Camila Lopes da Silva</t>
  </si>
  <si>
    <t>32528964862</t>
  </si>
  <si>
    <t>Camila.lopes@frigol.com.br</t>
  </si>
  <si>
    <t>5514981250702</t>
  </si>
  <si>
    <t>a3e2373c44a79eb0ac0eefb983486b91</t>
  </si>
  <si>
    <t>ID-32528964862</t>
  </si>
  <si>
    <t>COM69A88417EAC50</t>
  </si>
  <si>
    <t>04/03/2026 16:12</t>
  </si>
  <si>
    <t>Fabiana Ferreira de Morais Brito</t>
  </si>
  <si>
    <t>22349135861</t>
  </si>
  <si>
    <t>fabiana.brito@grupovamos.com.br</t>
  </si>
  <si>
    <t>5511956829385</t>
  </si>
  <si>
    <t>ea22eb006d60406aa54743fb6cd22f02</t>
  </si>
  <si>
    <t>ID-22349135861</t>
  </si>
  <si>
    <t>COM69A8836D970D0</t>
  </si>
  <si>
    <t>04/03/2026 16:09</t>
  </si>
  <si>
    <t>Miguel Francisco Jerez Soler</t>
  </si>
  <si>
    <t>21488119830</t>
  </si>
  <si>
    <t>miguel.soler@grupovamos.com.br</t>
  </si>
  <si>
    <t>5511993416764</t>
  </si>
  <si>
    <t>90441a34cf6e866898a92cef7de8a0d9</t>
  </si>
  <si>
    <t>ID-21488119830</t>
  </si>
  <si>
    <t>COM69A880C140A0C</t>
  </si>
  <si>
    <t>04/03/2026 15:58</t>
  </si>
  <si>
    <t>Júlia Vannucci</t>
  </si>
  <si>
    <t>julia_vannucci@bat.com</t>
  </si>
  <si>
    <t>21988911020</t>
  </si>
  <si>
    <t>BAT</t>
  </si>
  <si>
    <t>77c74c1a80311741f6430418b3f82eec</t>
  </si>
  <si>
    <t>COM69A8801A407C1</t>
  </si>
  <si>
    <t>04/03/2026 15:55</t>
  </si>
  <si>
    <t>Ana Ferraz</t>
  </si>
  <si>
    <t>ana.ferraz@cnh.com</t>
  </si>
  <si>
    <t>15997544577</t>
  </si>
  <si>
    <t>1bda80b6d386ac0320ee5d83a1ba6b84</t>
  </si>
  <si>
    <t>COM69A87BBA232D7</t>
  </si>
  <si>
    <t>04/03/2026 15:36</t>
  </si>
  <si>
    <t>Mariana Maykot Fagnani</t>
  </si>
  <si>
    <t>22635644896</t>
  </si>
  <si>
    <t>Mariana.fagnani@givaudan.com</t>
  </si>
  <si>
    <t>5511956582075</t>
  </si>
  <si>
    <t>8497354f942fc5ae939c6088b4cf54eb</t>
  </si>
  <si>
    <t>ID-22635644896</t>
  </si>
  <si>
    <t>COM69A87B0103F64</t>
  </si>
  <si>
    <t>04/03/2026 15:33</t>
  </si>
  <si>
    <t>Ana Paula Zámolyi</t>
  </si>
  <si>
    <t>02878580737</t>
  </si>
  <si>
    <t>Ana.zamolyi@givaudan.com</t>
  </si>
  <si>
    <t>5511996126278</t>
  </si>
  <si>
    <t>50a7face47d4f820059aa0004ae72182</t>
  </si>
  <si>
    <t>ID-02878580737</t>
  </si>
  <si>
    <t>COM69A8798271581</t>
  </si>
  <si>
    <t>04/03/2026 15:27</t>
  </si>
  <si>
    <t>Flávia Grazia</t>
  </si>
  <si>
    <t>32845469870</t>
  </si>
  <si>
    <t>flavia.grazia@aon.com</t>
  </si>
  <si>
    <t>5511972551590</t>
  </si>
  <si>
    <t>14ec5957c1d0e7858adbcd742ef68800</t>
  </si>
  <si>
    <t>ID-32845469870</t>
  </si>
  <si>
    <t>COM69A834FD8AD03</t>
  </si>
  <si>
    <t>04/03/2026 10:34</t>
  </si>
  <si>
    <t>408adcc21765f3c7e6009b1efdb2d08c</t>
  </si>
  <si>
    <t>COM69A817E66FDFE</t>
  </si>
  <si>
    <t>04/03/2026 08:30</t>
  </si>
  <si>
    <t>AI para Negócios - Imersão Presencial -  30 e 31 de Março de 2026</t>
  </si>
  <si>
    <t>imersao-presencial-de-ai-ed5a26</t>
  </si>
  <si>
    <t>Renata Kohama</t>
  </si>
  <si>
    <t>22.896.431/0001-10</t>
  </si>
  <si>
    <t>PICPAY INSTITUICAO DE PAGAMENTO S/A</t>
  </si>
  <si>
    <t>renata.kohama@picpay.com</t>
  </si>
  <si>
    <t>11993310456</t>
  </si>
  <si>
    <t>2731800382</t>
  </si>
  <si>
    <t>05317020</t>
  </si>
  <si>
    <t>MANUEL BANDEIRA</t>
  </si>
  <si>
    <t>44B</t>
  </si>
  <si>
    <t>VILA LEOPOLDINA</t>
  </si>
  <si>
    <t>PicPay</t>
  </si>
  <si>
    <t>e1c6740d1ad2adf47679efb7a3d4ed4a</t>
  </si>
  <si>
    <t>30/08/2019</t>
  </si>
  <si>
    <t>ID-22896431000110</t>
  </si>
  <si>
    <t>COM69A74682DC3B6</t>
  </si>
  <si>
    <t>03/03/2026 17:37</t>
  </si>
  <si>
    <t>Juliana Arrais Minasi</t>
  </si>
  <si>
    <t>01415847185</t>
  </si>
  <si>
    <t>juliana.arrais@innovapharma.com</t>
  </si>
  <si>
    <t>556281383332</t>
  </si>
  <si>
    <t>f5a71685de64df25c104342b6720ae1f</t>
  </si>
  <si>
    <t>ID-01415847185</t>
  </si>
  <si>
    <t>COM69A7294C9F725</t>
  </si>
  <si>
    <t>03/03/2026 15:32</t>
  </si>
  <si>
    <t>Patricia Graff Favero</t>
  </si>
  <si>
    <t>06439121936</t>
  </si>
  <si>
    <t>patricia.graff@copacol.com.br</t>
  </si>
  <si>
    <t>5546988186625</t>
  </si>
  <si>
    <t>51c9acf9904e1957c564feb2d1e95dec</t>
  </si>
  <si>
    <t>ID-06439121936</t>
  </si>
  <si>
    <t>COM69A71FD37AC47</t>
  </si>
  <si>
    <t>03/03/2026 14:52</t>
  </si>
  <si>
    <t>Fábio Lacerda</t>
  </si>
  <si>
    <t>16752271879</t>
  </si>
  <si>
    <t>fabio.lacerda@dasa.com.br</t>
  </si>
  <si>
    <t>5511960512731</t>
  </si>
  <si>
    <t>0d26fb270bca57cc8d10c76fd3eac863</t>
  </si>
  <si>
    <t>ID-16752271879</t>
  </si>
  <si>
    <t>COM69A71E8AAD742</t>
  </si>
  <si>
    <t>03/03/2026 14:46</t>
  </si>
  <si>
    <t>Osvaldo Luiz Nogueira da Silva</t>
  </si>
  <si>
    <t>00621474126</t>
  </si>
  <si>
    <t>osvaldo.lns@gmail.com</t>
  </si>
  <si>
    <t>5511993260196</t>
  </si>
  <si>
    <t>485c54e0242cf2eda255c00023da0b8b</t>
  </si>
  <si>
    <t>ID-00621474126</t>
  </si>
  <si>
    <t>COM69A5FF3813400</t>
  </si>
  <si>
    <t>02/03/2026 18:20</t>
  </si>
  <si>
    <t>Carlos Frederico costa cavalcante</t>
  </si>
  <si>
    <t>81604793104</t>
  </si>
  <si>
    <t>ccavalcante@brasal.com.br</t>
  </si>
  <si>
    <t>556181861556</t>
  </si>
  <si>
    <t>69cfbac350f55ab042306048acd153b9</t>
  </si>
  <si>
    <t>12/08/2025</t>
  </si>
  <si>
    <t>ID-81604793104</t>
  </si>
  <si>
    <t>COM69A5DD089F3DF</t>
  </si>
  <si>
    <t>02/03/2026 15:55</t>
  </si>
  <si>
    <t>Ana Ferrarezi</t>
  </si>
  <si>
    <t>34532764858</t>
  </si>
  <si>
    <t>Ana.Ferrarezi@JDEcoffee.com</t>
  </si>
  <si>
    <t>5511991806690</t>
  </si>
  <si>
    <t>cd3c66e9e76a4acab71a8a54b5ecc6d3</t>
  </si>
  <si>
    <t>ID-34532764858</t>
  </si>
  <si>
    <t>COM69A5DC2E5AF18</t>
  </si>
  <si>
    <t>02/03/2026 15:51</t>
  </si>
  <si>
    <t>ELIANE ZUIN LOPES DA SILVA</t>
  </si>
  <si>
    <t>34398497838</t>
  </si>
  <si>
    <t>eliane.lopes@claro.com.br</t>
  </si>
  <si>
    <t>5511966083978</t>
  </si>
  <si>
    <t>047dbccd2ef33b9567ef9abecfd63ef8</t>
  </si>
  <si>
    <t>21/01/2022</t>
  </si>
  <si>
    <t>ID-34398497838</t>
  </si>
  <si>
    <t>COM69A5D730185F7</t>
  </si>
  <si>
    <t>02/03/2026 15:30</t>
  </si>
  <si>
    <t>CAMILA DE MATTOS LOFF</t>
  </si>
  <si>
    <t>83866930020</t>
  </si>
  <si>
    <t>camilaloff@gmail.com</t>
  </si>
  <si>
    <t>5511963688664</t>
  </si>
  <si>
    <t>f845c3940da83172d7c1dc6d7dadf1d5</t>
  </si>
  <si>
    <t>ID-83866930020</t>
  </si>
  <si>
    <t>COM69A5D5555782D</t>
  </si>
  <si>
    <t>02/03/2026 15:22</t>
  </si>
  <si>
    <t>Barbara Ferreira Tamietti</t>
  </si>
  <si>
    <t>01567082645</t>
  </si>
  <si>
    <t>Barbara.tamietti@decathlon.com</t>
  </si>
  <si>
    <t>5531994204555</t>
  </si>
  <si>
    <t>bec57e65f1ad8b4de8782dd9fb872615</t>
  </si>
  <si>
    <t>ID-01567082645</t>
  </si>
  <si>
    <t>ORDZNT1DZRVWD82B</t>
  </si>
  <si>
    <t>02/03/2026 09:41</t>
  </si>
  <si>
    <t>02/03/2026</t>
  </si>
  <si>
    <t>Miguel de Lima Carnio</t>
  </si>
  <si>
    <t>15762295648</t>
  </si>
  <si>
    <t>miguel.carnio01@gmail.com</t>
  </si>
  <si>
    <t>35999767153</t>
  </si>
  <si>
    <t>13183255</t>
  </si>
  <si>
    <t>Avenida Thereza Ana Cecon Breda</t>
  </si>
  <si>
    <t>Jardim das Colinas</t>
  </si>
  <si>
    <t>Hortolândia</t>
  </si>
  <si>
    <t>cea1f862e01593b8339ebf84b14d32c0</t>
  </si>
  <si>
    <t>CORTESIAIAFORLEADERS2026</t>
  </si>
  <si>
    <t>ID-15762295648</t>
  </si>
  <si>
    <t>ORD8AZ0W7YF7EJ44</t>
  </si>
  <si>
    <t>02/03/2026 09:40</t>
  </si>
  <si>
    <t>Marcelo Henrique Andrade Santos Pereira</t>
  </si>
  <si>
    <t>10313890404</t>
  </si>
  <si>
    <t>marcelo.hsantos@grupomoura.com</t>
  </si>
  <si>
    <t>81992664367</t>
  </si>
  <si>
    <t>55150615</t>
  </si>
  <si>
    <t>Rua Diário de Pernambuco</t>
  </si>
  <si>
    <t>195</t>
  </si>
  <si>
    <t>Edson Mororó Moura</t>
  </si>
  <si>
    <t>Belo Jardim</t>
  </si>
  <si>
    <t>b302cd748873e4ee678d635427c874b8</t>
  </si>
  <si>
    <t>ID-10313890404</t>
  </si>
  <si>
    <t>COM69A20DDB46C58</t>
  </si>
  <si>
    <t>27/02/2026 18:34</t>
  </si>
  <si>
    <t>27/02/2026</t>
  </si>
  <si>
    <t>AI Sprint - Savencia - SP | pagamento 01</t>
  </si>
  <si>
    <t>consulting-ai-sprint-ed4a26_pagamento-01</t>
  </si>
  <si>
    <t>Leonardo AZEVEDO</t>
  </si>
  <si>
    <t>24.949.232/0001-59</t>
  </si>
  <si>
    <t>POLENGHI INDUSTRIAS ALIMENTICIAS LTDA</t>
  </si>
  <si>
    <t>11972776865</t>
  </si>
  <si>
    <t>1121716900</t>
  </si>
  <si>
    <t>05423911</t>
  </si>
  <si>
    <t>DR FERNANDES COELHO</t>
  </si>
  <si>
    <t>64</t>
  </si>
  <si>
    <t>ANDAR 10. E 11.</t>
  </si>
  <si>
    <t>AI Sprint - Savencia - SP</t>
  </si>
  <si>
    <t>4d52552d9901a7ce800775f292bb282c</t>
  </si>
  <si>
    <t>28/02/2025</t>
  </si>
  <si>
    <t>ID-24949232000159</t>
  </si>
  <si>
    <t>AI Sprint - Savencia - SP | pagamento 02</t>
  </si>
  <si>
    <t>consulting-ai-sprint-ed4a26_pagamento-02</t>
  </si>
  <si>
    <t>AI Sprint - Savencia - SP | pagamento 03</t>
  </si>
  <si>
    <t>consulting-ai-sprint-ed4a26_pagamento-03</t>
  </si>
  <si>
    <t>COM69A2075E3FB8D</t>
  </si>
  <si>
    <t>27/02/2026 18:06</t>
  </si>
  <si>
    <t>Renovação Architecture Strategy Advisor - Vip Leilões</t>
  </si>
  <si>
    <t>consulting-ai-advisory-ed5a26_pagamento01</t>
  </si>
  <si>
    <t>Stael Soares</t>
  </si>
  <si>
    <t>08.187.134/0001-75</t>
  </si>
  <si>
    <t>VIP GESTAO E LOGISTICA S.A</t>
  </si>
  <si>
    <t>compras@vipleiloes.com.br</t>
  </si>
  <si>
    <t>8699908558</t>
  </si>
  <si>
    <t>9833348891</t>
  </si>
  <si>
    <t>65095602</t>
  </si>
  <si>
    <t>ENGENHEIRO EMILIANO MACIEIRA</t>
  </si>
  <si>
    <t>01</t>
  </si>
  <si>
    <t>MODULO 01 DISTRITO INDUSTRIAL</t>
  </si>
  <si>
    <t>MARACANA</t>
  </si>
  <si>
    <t>São Luís</t>
  </si>
  <si>
    <t>MA</t>
  </si>
  <si>
    <t>6a7e8229fa0eea4fc2967737fba92b64</t>
  </si>
  <si>
    <t>StartSe Consulting,StartSe Consulting,StartSe Consulting,StartSe Consulting,StartSe Consulting,StartSe Consulting,StartSe Consulting,StartSe Consulting,StartSe Consulting,StartSe Consulting,StartSe Consulting,StartSe Consulting</t>
  </si>
  <si>
    <t>08/01/2019</t>
  </si>
  <si>
    <t>ID-08187134000175</t>
  </si>
  <si>
    <t>consulting-ai-advisory-ed5a26_pagamento02</t>
  </si>
  <si>
    <t>consulting-ai-advisory-ed5a26_pagamento03</t>
  </si>
  <si>
    <t>consulting-ai-advisory-ed5a26_pagamento04</t>
  </si>
  <si>
    <t>01/07/2026</t>
  </si>
  <si>
    <t>consulting-ai-advisory-ed5a26_pagamento05</t>
  </si>
  <si>
    <t>01/08/2026</t>
  </si>
  <si>
    <t>consulting-ai-advisory-ed5a26_pagamento06</t>
  </si>
  <si>
    <t>01/09/2026</t>
  </si>
  <si>
    <t>consulting-ai-advisory-ed5a26_pagamento07</t>
  </si>
  <si>
    <t>consulting-ai-advisory-ed5a26_pagamento08</t>
  </si>
  <si>
    <t>01/11/2026</t>
  </si>
  <si>
    <t>consulting-ai-advisory-ed5a26_pagamento09</t>
  </si>
  <si>
    <t>01/12/2026</t>
  </si>
  <si>
    <t>consulting-ai-advisory-ed5a26_pagamento10</t>
  </si>
  <si>
    <t>01/01/2027</t>
  </si>
  <si>
    <t>consulting-ai-advisory-ed5a26_pagamento11</t>
  </si>
  <si>
    <t>01/02/2027</t>
  </si>
  <si>
    <t>consulting-ai-advisory-ed5a26_pagamento12</t>
  </si>
  <si>
    <t>01/03/2027</t>
  </si>
  <si>
    <t>COM69A2047EE54AA</t>
  </si>
  <si>
    <t>27/02/2026 17:54</t>
  </si>
  <si>
    <t>Guarda-chuva | Volkswagen Financial Services</t>
  </si>
  <si>
    <t>corporate-melhor-escolha-ed6a26</t>
  </si>
  <si>
    <t>Geisa Paula Angeli Munhoz</t>
  </si>
  <si>
    <t>Geisa.Munhoz@vwfs.com</t>
  </si>
  <si>
    <t>11943219762</t>
  </si>
  <si>
    <t>1155825223</t>
  </si>
  <si>
    <t>a6a93fb3d158fd3c292832e853f3d28c</t>
  </si>
  <si>
    <t>COM69A201276962E</t>
  </si>
  <si>
    <t>27/02/2026 17:40</t>
  </si>
  <si>
    <t>Cláudia Zem</t>
  </si>
  <si>
    <t>74485970000</t>
  </si>
  <si>
    <t>czem@leroymerlin.com.br</t>
  </si>
  <si>
    <t>5511972932314</t>
  </si>
  <si>
    <t>6b77a954a083ad12c9a97d12a4e6561e</t>
  </si>
  <si>
    <t>ID-74485970000</t>
  </si>
  <si>
    <t>COM69A20036B0531</t>
  </si>
  <si>
    <t>27/02/2026 17:36</t>
  </si>
  <si>
    <t>Palestra Fábio Neto - Galderma</t>
  </si>
  <si>
    <t>corporate-palestra-ed11a26</t>
  </si>
  <si>
    <t>Jéssica Valdevino</t>
  </si>
  <si>
    <t>07.489.498/0001-47</t>
  </si>
  <si>
    <t>GALDERMA DISTRIBUIDORA DO BRASIL LTDA.</t>
  </si>
  <si>
    <t>jessica.valdevino@galderma.com</t>
  </si>
  <si>
    <t>11980915762</t>
  </si>
  <si>
    <t>1135246321</t>
  </si>
  <si>
    <t>14261</t>
  </si>
  <si>
    <t>ANDAR 4 TORRE A LETRA ALAMORUMBI</t>
  </si>
  <si>
    <t>d5eef83612f6eece7bd3224b8bfea975</t>
  </si>
  <si>
    <t>07/08/2026</t>
  </si>
  <si>
    <t>20/05/2021</t>
  </si>
  <si>
    <t>ID-07489498000147</t>
  </si>
  <si>
    <t>COM69A1F27692246</t>
  </si>
  <si>
    <t>27/02/2026 16:37</t>
  </si>
  <si>
    <t>Sebrae MG | Palestra Inteligência Artificial</t>
  </si>
  <si>
    <t>corporate-palestra-ed10a26</t>
  </si>
  <si>
    <t>Expedito Pereira Lima Neto</t>
  </si>
  <si>
    <t>expedito.netto@sebraemg.com.br</t>
  </si>
  <si>
    <t>31999620124</t>
  </si>
  <si>
    <t>22e6079671925ffd9f2ad95d6eabe87f</t>
  </si>
  <si>
    <t>COM69A1F0559DD83</t>
  </si>
  <si>
    <t>27/02/2026 16:28</t>
  </si>
  <si>
    <t>Imersão China Volkswagen</t>
  </si>
  <si>
    <t>corporate-china-xperience-ed1a26_pagamento-02</t>
  </si>
  <si>
    <t>Tatiana Costa</t>
  </si>
  <si>
    <t>59.104.422/0057-04</t>
  </si>
  <si>
    <t>VOLKSWAGEN DO BRASIL INDUSTRIA DE VEICULOS AUTOMOTORES LTDA</t>
  </si>
  <si>
    <t>Tatiana.Costa@volkswagen.com.br</t>
  </si>
  <si>
    <t>11953337929</t>
  </si>
  <si>
    <t>1143474796</t>
  </si>
  <si>
    <t>09823901</t>
  </si>
  <si>
    <t>MARGINAL DA VIA ANCHIETA</t>
  </si>
  <si>
    <t>KM 23,5</t>
  </si>
  <si>
    <t>DEMARCHI</t>
  </si>
  <si>
    <t>6aa13c46f46928e4f0d72d7b72a7ed05</t>
  </si>
  <si>
    <t>https://loja.startse.com.br//processamento/fatura/6aa13c46f46928e4f0d72d7b72a7ed05</t>
  </si>
  <si>
    <t>05/06/2019</t>
  </si>
  <si>
    <t>ID-59104422005704</t>
  </si>
  <si>
    <t>COM69A1EB074DC32</t>
  </si>
  <si>
    <t>27/02/2026 16:05</t>
  </si>
  <si>
    <t>Imersão Internacional China - ELO</t>
  </si>
  <si>
    <t>corporate-china-xperience-ed6a26_pagamento01</t>
  </si>
  <si>
    <t>ALPHAVILLE CENTRO INDUSTRIAL E EMPR</t>
  </si>
  <si>
    <t>Imersão Internacional China - ELO, Imersão Internacional China - ELO</t>
  </si>
  <si>
    <t>e23bcb4647d3c85eb07086aafa1ef9fb</t>
  </si>
  <si>
    <t>06/07/2026</t>
  </si>
  <si>
    <t>https://loja.startse.com.br//processamento/fatura/e23bcb4647d3c85eb07086aafa1ef9fb</t>
  </si>
  <si>
    <t>China,China</t>
  </si>
  <si>
    <t>corporate-china-xperience-ed6a26_pagamento02</t>
  </si>
  <si>
    <t>COM69A1DBCFF2E6B</t>
  </si>
  <si>
    <t>27/02/2026 15:00</t>
  </si>
  <si>
    <t>Palestra Priscila Schimidt - ASSAÍ</t>
  </si>
  <si>
    <t>corporate-palestra-ed8a26</t>
  </si>
  <si>
    <t>Lídia Botelho</t>
  </si>
  <si>
    <t>lidia.botelho@assai.com.br</t>
  </si>
  <si>
    <t>1134117751</t>
  </si>
  <si>
    <t>b04b57057f55f05dc6d0e56d085159d8</t>
  </si>
  <si>
    <t>COM69A1DA5A65C7B</t>
  </si>
  <si>
    <t>27/02/2026 14:54</t>
  </si>
  <si>
    <t>T2 Programa de Liderança Feminina - Assaí</t>
  </si>
  <si>
    <t>corporate-jornada-ed16a26</t>
  </si>
  <si>
    <t>Programa de Liderança Feminina - Assaí</t>
  </si>
  <si>
    <t>4fe473380dd7e966790b305667f22d2b</t>
  </si>
  <si>
    <t>COM69A1D7D4C127A</t>
  </si>
  <si>
    <t>27/02/2026 14:43</t>
  </si>
  <si>
    <t>Workshop Preparatório FACIL - B3</t>
  </si>
  <si>
    <t>corporate-workshop-ed18a26</t>
  </si>
  <si>
    <t>Marina Naime</t>
  </si>
  <si>
    <t>54.641.030/0001-06</t>
  </si>
  <si>
    <t>ASSOCIACAO BM&amp;amp;F</t>
  </si>
  <si>
    <t>marina.naime@b3.com.br</t>
  </si>
  <si>
    <t>11994390509</t>
  </si>
  <si>
    <t>01010901</t>
  </si>
  <si>
    <t>ANTONIO PRADO</t>
  </si>
  <si>
    <t>48</t>
  </si>
  <si>
    <t>54065db16793a444e6d13e79351d87b8</t>
  </si>
  <si>
    <t>19/05/2026</t>
  </si>
  <si>
    <t>ID-54641030000106</t>
  </si>
  <si>
    <t>COM698CCB0941974</t>
  </si>
  <si>
    <t>27/02/2026 13:51</t>
  </si>
  <si>
    <t>28987210985G9VB373OC</t>
  </si>
  <si>
    <t>Rafael Camargo Hortolan</t>
  </si>
  <si>
    <t>38338961833</t>
  </si>
  <si>
    <t>01.047.793/0001-67</t>
  </si>
  <si>
    <t>WEST SIDE COMERCIO DE ALIMENTOS LTDA</t>
  </si>
  <si>
    <t>rafael@mcdbauru.com.br</t>
  </si>
  <si>
    <t>14991956507</t>
  </si>
  <si>
    <t>1432272004</t>
  </si>
  <si>
    <t>17011105</t>
  </si>
  <si>
    <t>NACOES UNIDAS</t>
  </si>
  <si>
    <t>2525</t>
  </si>
  <si>
    <t>JD. PANORAMA</t>
  </si>
  <si>
    <t>Bauru</t>
  </si>
  <si>
    <t>6919ea6898e08df1636b8297c8394298</t>
  </si>
  <si>
    <t>https://loja.startse.com.br//processamento/fatura/6919ea6898e08df1636b8297c8394298</t>
  </si>
  <si>
    <t>ID-01047793000167</t>
  </si>
  <si>
    <t>COM69A1C818C5FF2</t>
  </si>
  <si>
    <t>27/02/2026 13:36</t>
  </si>
  <si>
    <t>Marqleide de Souza Mota</t>
  </si>
  <si>
    <t>04.337.168/0001-48</t>
  </si>
  <si>
    <t>MOTO HONDA DA AMAZONIA LTDA</t>
  </si>
  <si>
    <t>Marqleide_Mota@honda.com.br</t>
  </si>
  <si>
    <t>92981721936</t>
  </si>
  <si>
    <t>9236165313</t>
  </si>
  <si>
    <t>69075120</t>
  </si>
  <si>
    <t>JURUA</t>
  </si>
  <si>
    <t>160</t>
  </si>
  <si>
    <t>LTS 2.26 2.26/1 2.28</t>
  </si>
  <si>
    <t>DISTRIT INDUSTRIAL I</t>
  </si>
  <si>
    <t>232cdff52279a01c0f0cff54a77b1bb0</t>
  </si>
  <si>
    <t>01/03/2019</t>
  </si>
  <si>
    <t>ID-04337168000148</t>
  </si>
  <si>
    <t>ORD9AO8W9OZIHOMH</t>
  </si>
  <si>
    <t>27/02/2026 11:01</t>
  </si>
  <si>
    <t>DANTE VAGNER ZULIANI FILHO</t>
  </si>
  <si>
    <t>35350753860</t>
  </si>
  <si>
    <t>17.351.180/0001-59</t>
  </si>
  <si>
    <t>BANCO TRIANGULO S/A</t>
  </si>
  <si>
    <t>dvfilho@tribanco.com.br</t>
  </si>
  <si>
    <t>11992755590</t>
  </si>
  <si>
    <t>38400696</t>
  </si>
  <si>
    <t>CESARIO ALVIM,</t>
  </si>
  <si>
    <t>2209</t>
  </si>
  <si>
    <t>APARECIDA</t>
  </si>
  <si>
    <t>bd61005e85c41de8293f233077c7fc62</t>
  </si>
  <si>
    <t>06/03/2017</t>
  </si>
  <si>
    <t>ID-17351180000159</t>
  </si>
  <si>
    <t>ORD24CDG4KF80AZ3</t>
  </si>
  <si>
    <t>27/02/2026 09:23</t>
  </si>
  <si>
    <t>Roberta Berjas</t>
  </si>
  <si>
    <t>28917841899</t>
  </si>
  <si>
    <t>robertab@tribanco.com.br</t>
  </si>
  <si>
    <t>11997863924</t>
  </si>
  <si>
    <t>sn</t>
  </si>
  <si>
    <t>e0deec2c7e7a1a51b43b422068f4b3f2</t>
  </si>
  <si>
    <t>28/04/2025</t>
  </si>
  <si>
    <t>ID-28917841899</t>
  </si>
  <si>
    <t>ORDRVX5XAY60HYGD</t>
  </si>
  <si>
    <t>27/02/2026 09:22</t>
  </si>
  <si>
    <t>f863ac20e0ef355635e4d30101ad9ef8</t>
  </si>
  <si>
    <t>COM69A0BD755DCF0</t>
  </si>
  <si>
    <t>26/02/2026 18:39</t>
  </si>
  <si>
    <t>Workshop Kick off Liderança | Serasa Experian</t>
  </si>
  <si>
    <t>corporate-workshop-ed17a26</t>
  </si>
  <si>
    <t>Jairo Assis</t>
  </si>
  <si>
    <t>62.173.620/0001-80</t>
  </si>
  <si>
    <t>SERASA S.A.</t>
  </si>
  <si>
    <t>jairo.assis@experian.com</t>
  </si>
  <si>
    <t>1988999595</t>
  </si>
  <si>
    <t>1128479061</t>
  </si>
  <si>
    <t>EDIF TORRE C-1 COND CPX.PQCID. CJ.191</t>
  </si>
  <si>
    <t>CHACARA SANTO ANTONIO</t>
  </si>
  <si>
    <t>Palestras StartSe. Kick off liderança Serasa Experian</t>
  </si>
  <si>
    <t>7e1e71fc5d7248d11d082ffa0038419d</t>
  </si>
  <si>
    <t>ID-62173620000180</t>
  </si>
  <si>
    <t>COM69A0AE4510771</t>
  </si>
  <si>
    <t>26/02/2026 17:34</t>
  </si>
  <si>
    <t>Cesar Leonardo Valério</t>
  </si>
  <si>
    <t>40865288860</t>
  </si>
  <si>
    <t>Cesar_valerio@br.ajinomoto.com</t>
  </si>
  <si>
    <t>5511964186617</t>
  </si>
  <si>
    <t>172a5322cf5c04f665538accc358549d</t>
  </si>
  <si>
    <t>ID-40865288860</t>
  </si>
  <si>
    <t>26/02/2026</t>
  </si>
  <si>
    <t>Caroline de Moraes Juchem Chapon</t>
  </si>
  <si>
    <t>caroline-juchem@sescooprs.coop.br</t>
  </si>
  <si>
    <t>5133230096</t>
  </si>
  <si>
    <t>COM69A730E03B5FE</t>
  </si>
  <si>
    <t>26/02/2026 16:05</t>
  </si>
  <si>
    <t>Palestra Engagement_JDE_São Paulo/SP</t>
  </si>
  <si>
    <t>corporate-palestra-ed7a26</t>
  </si>
  <si>
    <t>Beatriz Pereira</t>
  </si>
  <si>
    <t>60.369.501/0001-71</t>
  </si>
  <si>
    <t>LA DIFFERENCE EVENTOS INCENTIVOS PROPAGANDA E PUBLICIDADE LTDA</t>
  </si>
  <si>
    <t>beatriz.pereira@jdecoffee.com</t>
  </si>
  <si>
    <t>11990025531</t>
  </si>
  <si>
    <t>1150353500</t>
  </si>
  <si>
    <t>04602000</t>
  </si>
  <si>
    <t>BARAO DO TRIUNFO</t>
  </si>
  <si>
    <t>88</t>
  </si>
  <si>
    <t>SALA 1.015 E 1.001</t>
  </si>
  <si>
    <t>CAMPO BELO</t>
  </si>
  <si>
    <t>Palestra Engagement_JDE_São Paulo/S</t>
  </si>
  <si>
    <t>0183dfc1696e47b1527793994cca1e84</t>
  </si>
  <si>
    <t>12/03/2026</t>
  </si>
  <si>
    <t>ID-60369501000171</t>
  </si>
  <si>
    <t>COM69A08D0718032</t>
  </si>
  <si>
    <t>26/02/2026 15:12</t>
  </si>
  <si>
    <t>1703e10423bb5952b70b8f5b0bb13710</t>
  </si>
  <si>
    <t>COM69A08BE28A14E</t>
  </si>
  <si>
    <t>26/02/2026 15:07</t>
  </si>
  <si>
    <t>21389425894</t>
  </si>
  <si>
    <t>0e9cf7f4056de1e8bddcdfc19534b5d4</t>
  </si>
  <si>
    <t>ID-21389425894</t>
  </si>
  <si>
    <t>COM69A089E1A3662</t>
  </si>
  <si>
    <t>26/02/2026 14:58</t>
  </si>
  <si>
    <t>Joice Almeida</t>
  </si>
  <si>
    <t>31504691806</t>
  </si>
  <si>
    <t>Joice.almeida@santander.com.br</t>
  </si>
  <si>
    <t>5511992306229</t>
  </si>
  <si>
    <t>eea8223244964f89d50d880f40d4642a</t>
  </si>
  <si>
    <t>13/03/2025</t>
  </si>
  <si>
    <t>ID-31504691806</t>
  </si>
  <si>
    <t>COM69A0884C315DE</t>
  </si>
  <si>
    <t>26/02/2026 14:52</t>
  </si>
  <si>
    <t>Monica da Silva Matias</t>
  </si>
  <si>
    <t>21471267806</t>
  </si>
  <si>
    <t>monica.matias1@br.zurich.com</t>
  </si>
  <si>
    <t>9a71a80e48a9b965ca6b4e87b07ad794</t>
  </si>
  <si>
    <t>ID-21471267806</t>
  </si>
  <si>
    <t>COM69A0866A9002C</t>
  </si>
  <si>
    <t>26/02/2026 14:44</t>
  </si>
  <si>
    <t>Renovação Mondial - Advisory | pagamento 01</t>
  </si>
  <si>
    <t>consulting-ai-advisory-ed4a26_pagamento-01</t>
  </si>
  <si>
    <t>Gustavo Almeida</t>
  </si>
  <si>
    <t>07.666.567/0003-02</t>
  </si>
  <si>
    <t>MK BR S.A</t>
  </si>
  <si>
    <t>gustavo.almeida@startse.com</t>
  </si>
  <si>
    <t>11992814491</t>
  </si>
  <si>
    <t>1135814125</t>
  </si>
  <si>
    <t>06455000</t>
  </si>
  <si>
    <t>ARAGUAIA</t>
  </si>
  <si>
    <t>2044</t>
  </si>
  <si>
    <t>BLOCO TORRE 2 ANDAR 1 4 5 6 10</t>
  </si>
  <si>
    <t>Renovação Mondial - Advisory</t>
  </si>
  <si>
    <t>b439be0c719a5870c209d835475bb386</t>
  </si>
  <si>
    <t>ID-07666567000302</t>
  </si>
  <si>
    <t>Renovação Mondial - Advisory | pagamento 02</t>
  </si>
  <si>
    <t>consulting-ai-advisory-ed4a26_pagamento-02</t>
  </si>
  <si>
    <t>Renovação Mondial - Advisory | pagamento 03</t>
  </si>
  <si>
    <t>consulting-ai-advisory-ed4a26_pagamento-03</t>
  </si>
  <si>
    <t>15/06/2026</t>
  </si>
  <si>
    <t>Renovação Mondial - Advisory | pagamento 04</t>
  </si>
  <si>
    <t>consulting-ai-advisory-ed4a26_pagamento-04</t>
  </si>
  <si>
    <t>15/07/2026</t>
  </si>
  <si>
    <t>Renovação Mondial - Advisory | pagamento 05</t>
  </si>
  <si>
    <t>consulting-ai-advisory-ed4a26_pagamento-05</t>
  </si>
  <si>
    <t>15/08/2026</t>
  </si>
  <si>
    <t>Renovação Mondial - Advisory | pagamento 06</t>
  </si>
  <si>
    <t>consulting-ai-advisory-ed4a26_pagamento-06</t>
  </si>
  <si>
    <t>15/09/2026</t>
  </si>
  <si>
    <t>Renovação Mondial - Advisory | pagamento 07</t>
  </si>
  <si>
    <t>consulting-ai-advisory-ed4a26_pagamento-07</t>
  </si>
  <si>
    <t>15/10/2026</t>
  </si>
  <si>
    <t>Renovação Mondial - Advisory | pagamento 08</t>
  </si>
  <si>
    <t>consulting-ai-advisory-ed4a26_pagamento-08</t>
  </si>
  <si>
    <t>15/11/2026</t>
  </si>
  <si>
    <t>Renovação Mondial - Advisory | pagamento 09</t>
  </si>
  <si>
    <t>consulting-ai-advisory-ed4a26_pagamento-09</t>
  </si>
  <si>
    <t>15/12/2026</t>
  </si>
  <si>
    <t>Renovação Mondial - Advisory | pagamento 10</t>
  </si>
  <si>
    <t>consulting-ai-advisory-ed4a26_pagamento-10</t>
  </si>
  <si>
    <t>15/01/2027</t>
  </si>
  <si>
    <t>Renovação Mondial - Advisory | pagamento 11</t>
  </si>
  <si>
    <t>consulting-ai-advisory-ed4a26_pagamento-11</t>
  </si>
  <si>
    <t>15/02/2027</t>
  </si>
  <si>
    <t>Renovação Mondial - Advisory | pagamento 12</t>
  </si>
  <si>
    <t>consulting-ai-advisory-ed4a26_pagamento-12</t>
  </si>
  <si>
    <t>15/03/2027</t>
  </si>
  <si>
    <t>COM69A0796E99C7F</t>
  </si>
  <si>
    <t>26/02/2026 13:48</t>
  </si>
  <si>
    <t>Ana Paula Magalhaes Da Silva</t>
  </si>
  <si>
    <t>02.558.157/0001-62</t>
  </si>
  <si>
    <t>TELEFONICA BRASIL S.A.</t>
  </si>
  <si>
    <t>ana.silva@telefonica.com</t>
  </si>
  <si>
    <t>11997851448</t>
  </si>
  <si>
    <t>1134304532</t>
  </si>
  <si>
    <t>04571936</t>
  </si>
  <si>
    <t>ENGENHEIRO LUIZ CARLOS BERRINI</t>
  </si>
  <si>
    <t>1376</t>
  </si>
  <si>
    <t>RH Leadership Xperience 2026 - Ingresso Explorer Pedido: 5400278432</t>
  </si>
  <si>
    <t>2ea0b7e6af5765b20e201e73564820cd</t>
  </si>
  <si>
    <t>29/03/2017</t>
  </si>
  <si>
    <t>ID-02558157000162</t>
  </si>
  <si>
    <t>COM69A0795F0E8B1</t>
  </si>
  <si>
    <t>Alexandre Inada</t>
  </si>
  <si>
    <t>18799362830</t>
  </si>
  <si>
    <t>alexandre.inadaw1@gmail.com</t>
  </si>
  <si>
    <t>5511997976581</t>
  </si>
  <si>
    <t>05541-100</t>
  </si>
  <si>
    <t>Rua Eugene Carriere</t>
  </si>
  <si>
    <t>17</t>
  </si>
  <si>
    <t>Jardim das Vertentes</t>
  </si>
  <si>
    <t>Curso de IA</t>
  </si>
  <si>
    <t>1546a9e0d75a994a51d2369a21fa29f4</t>
  </si>
  <si>
    <t>ID-18799362830</t>
  </si>
  <si>
    <t>COM69A074498D3AA</t>
  </si>
  <si>
    <t>26/02/2026 13:26</t>
  </si>
  <si>
    <t>ANTONIO MARCUS BLANSKI MANDALOZZO</t>
  </si>
  <si>
    <t>76.487.032/0001-25</t>
  </si>
  <si>
    <t>ELECTROLUX DO BRASIL S/A</t>
  </si>
  <si>
    <t>41992311982</t>
  </si>
  <si>
    <t>81520-900</t>
  </si>
  <si>
    <t>Rua Ministro Gabriel Passos</t>
  </si>
  <si>
    <t>360</t>
  </si>
  <si>
    <t>Guabirotuba</t>
  </si>
  <si>
    <t>Electrolux</t>
  </si>
  <si>
    <t>a118fa9deeb0a0c07190b4e3f205d112</t>
  </si>
  <si>
    <t>31/05/2024</t>
  </si>
  <si>
    <t>ID-76487032000125</t>
  </si>
  <si>
    <t>COM69A06F5707234</t>
  </si>
  <si>
    <t>26/02/2026 13:05</t>
  </si>
  <si>
    <t>0f89f3254c2bfdd27691d423c4556c3d</t>
  </si>
  <si>
    <t>02.333.707/0001-45</t>
  </si>
  <si>
    <t>JACOBS DOUWE EGBERTS BR COMERCIALIZACAO DE CAFES LTDA.</t>
  </si>
  <si>
    <t>1145256264</t>
  </si>
  <si>
    <t>06460000</t>
  </si>
  <si>
    <t>TAMBORE</t>
  </si>
  <si>
    <t>267</t>
  </si>
  <si>
    <t>TERREOCOMPLEXO DE REUNIAO LOJA 14</t>
  </si>
  <si>
    <t>24/02/2026</t>
  </si>
  <si>
    <t>ID-02333707000145</t>
  </si>
  <si>
    <t>COM69A02DD13C751</t>
  </si>
  <si>
    <t>26/02/2026 08:26</t>
  </si>
  <si>
    <t>Beatriz de França Bergstein</t>
  </si>
  <si>
    <t>beatriz.bergstein@picpay.com</t>
  </si>
  <si>
    <t>59cd6aa3e47e73ff1eafe4d5285c9f54</t>
  </si>
  <si>
    <t>COM69CED01CE931D</t>
  </si>
  <si>
    <t>26/02/2026 00:00</t>
  </si>
  <si>
    <t>07/04/2026</t>
  </si>
  <si>
    <t>Ref. a 22 vagas do projeto FRS NDH Congresso RH Leadership Festival 2026  0533/2025, com duração de 20h, a pedido da Unimed Federação do Rio Grande do Sul.   Dados bancários: Startse Informações e Sistemas Itau (341) Ag: 0185 Cc: 37248-9 Cnpj (PIX): 24.55</t>
  </si>
  <si>
    <t>a3a99d0c26c3fad0d0e4ccffef104af3</t>
  </si>
  <si>
    <t>COM69CED29EB4820</t>
  </si>
  <si>
    <t>33.014.397/0001-20</t>
  </si>
  <si>
    <t>UNIMED/RS - FEDERACAO DAS COOPERATIVAS DE ASSISTENCIA A SAUDE UNIMED E COOPERATIVAS DE MEDICOS UNIMED DO RIO GRANDE DO SUL LTDA</t>
  </si>
  <si>
    <t>5132011370</t>
  </si>
  <si>
    <t>90040180</t>
  </si>
  <si>
    <t>SANTA TEREZINHA</t>
  </si>
  <si>
    <t>340</t>
  </si>
  <si>
    <t>FARROUPILHA</t>
  </si>
  <si>
    <t>Ref. a 5 vagas do projeto FRS NDH Congresso RH Leadership Festival 2026  0533/2025, com duração de 20h, a pedido da Unimed Federação do Rio Grande do Sul. Startse Informações e Sistemas Itau (341) Ag: 0185 Cc: 37248-9 Cnpj (PIX): 24.554.736/0001-70</t>
  </si>
  <si>
    <t>ed984081fbde5bc99b6677e93810dad8</t>
  </si>
  <si>
    <t>29/11/2021</t>
  </si>
  <si>
    <t>ID-33014397000120</t>
  </si>
  <si>
    <t>ORDVWR2HJ8AOZ648</t>
  </si>
  <si>
    <t>25/02/2026 19:01</t>
  </si>
  <si>
    <t>25/02/2026</t>
  </si>
  <si>
    <t>João Paulo Cruz Mundim</t>
  </si>
  <si>
    <t>09219914603</t>
  </si>
  <si>
    <t>joaopcm@tribanco.com.br</t>
  </si>
  <si>
    <t>34999832593</t>
  </si>
  <si>
    <t>38411338</t>
  </si>
  <si>
    <t>Rua José Cunha Chaves</t>
  </si>
  <si>
    <t>49</t>
  </si>
  <si>
    <t>Jardim Colina</t>
  </si>
  <si>
    <t>fc4bb7032a4d18b80671621ebfd58fca</t>
  </si>
  <si>
    <t>ID-09219914603</t>
  </si>
  <si>
    <t>COM699F668375C7E</t>
  </si>
  <si>
    <t>25/02/2026 18:15</t>
  </si>
  <si>
    <t>Marcia Ribeiro</t>
  </si>
  <si>
    <t>25484495806</t>
  </si>
  <si>
    <t>Marribeiro@santander.com.br</t>
  </si>
  <si>
    <t>5511998816946</t>
  </si>
  <si>
    <t>eab13b65691d089283c2335be26257ab</t>
  </si>
  <si>
    <t>19/09/2024</t>
  </si>
  <si>
    <t>ID-25484495806</t>
  </si>
  <si>
    <t>COM699F5DEA034C8</t>
  </si>
  <si>
    <t>25/02/2026 17:39</t>
  </si>
  <si>
    <t>Silicon Valley Xperience -  23 a 27 de Março de 2026</t>
  </si>
  <si>
    <t>silicon-valley-xperience-ed2a26</t>
  </si>
  <si>
    <t>Adriene Gomes</t>
  </si>
  <si>
    <t>27.865.757/0001-02</t>
  </si>
  <si>
    <t>GLOBO COMUNICACAO E PARTICIPACOES S/A</t>
  </si>
  <si>
    <t>adriene.gomes@g.globo</t>
  </si>
  <si>
    <t>21993133605</t>
  </si>
  <si>
    <t>2121554551</t>
  </si>
  <si>
    <t>22460901</t>
  </si>
  <si>
    <t>LOPES QUINTAS</t>
  </si>
  <si>
    <t>JARDIM BOTANICO</t>
  </si>
  <si>
    <t>Silicon Valley Xperience - 23 a 27 de Março de 2026  Georges Riche</t>
  </si>
  <si>
    <t>6bd146400c17751876b423b8c00076ea</t>
  </si>
  <si>
    <t>https://loja.startse.com.br//processamento/fatura/6bd146400c17751876b423b8c00076ea</t>
  </si>
  <si>
    <t>ID-27865757000102</t>
  </si>
  <si>
    <t>COM699F5D7EE8D62</t>
  </si>
  <si>
    <t>25/02/2026 17:37</t>
  </si>
  <si>
    <t>Silicon Valley Xperience - 23 a 27 de Março de 2026 Luiza Vardiero</t>
  </si>
  <si>
    <t>dc3f9a66ddd2aafee39d6c1bfbf303a0</t>
  </si>
  <si>
    <t>https://loja.startse.com.br//processamento/fatura/dc3f9a66ddd2aafee39d6c1bfbf303a0</t>
  </si>
  <si>
    <t>COM699F5CF21661A</t>
  </si>
  <si>
    <t>25/02/2026 17:34</t>
  </si>
  <si>
    <t>Silicon Valley Xperience - 23 a 27 de Março de 2026  Natália Pamplona</t>
  </si>
  <si>
    <t>e61520fe9260c9b2add229cf49e0f750</t>
  </si>
  <si>
    <t>https://loja.startse.com.br//processamento/fatura/e61520fe9260c9b2add229cf49e0f750</t>
  </si>
  <si>
    <t>ORDG4LS854L7GRZM</t>
  </si>
  <si>
    <t>25/02/2026 16:23</t>
  </si>
  <si>
    <t>MAURÍCIO SILVA DA SILVA</t>
  </si>
  <si>
    <t>51345129068</t>
  </si>
  <si>
    <t>Banco Triângulo S/A</t>
  </si>
  <si>
    <t>silvam@tribanco.com.br</t>
  </si>
  <si>
    <t>61991552939</t>
  </si>
  <si>
    <t>73105905</t>
  </si>
  <si>
    <t>Rodovia DF 001 km 1 COND MANSÕES</t>
  </si>
  <si>
    <t>CASA J16</t>
  </si>
  <si>
    <t>9fd514c3b7078c4931e3067ed5f48f04</t>
  </si>
  <si>
    <t>COM699F4B40E1EFC</t>
  </si>
  <si>
    <t>25/02/2026 16:19</t>
  </si>
  <si>
    <t>RH Leadership Xperience 2026 - Ingresso Interactive</t>
  </si>
  <si>
    <t>evento-rh-ed1a26_interactive</t>
  </si>
  <si>
    <t>Igor Oliveira</t>
  </si>
  <si>
    <t>igor.ricardo@iconic.com.br</t>
  </si>
  <si>
    <t>21981811970</t>
  </si>
  <si>
    <t>612de0068d4351f0268bd59eff20561e</t>
  </si>
  <si>
    <t>ORDHFFBM6CBLOIKE</t>
  </si>
  <si>
    <t>25/02/2026 16:14</t>
  </si>
  <si>
    <t>Priscila Dias</t>
  </si>
  <si>
    <t>05636179774</t>
  </si>
  <si>
    <t>linhares@tribanco.com.br</t>
  </si>
  <si>
    <t>21964743224</t>
  </si>
  <si>
    <t>21220300</t>
  </si>
  <si>
    <t>Avenida Pastor Martin Luther King Jr</t>
  </si>
  <si>
    <t>Tomás Coelho</t>
  </si>
  <si>
    <t>0fb5c1c85dbcc1977338929d670257fd</t>
  </si>
  <si>
    <t>ID-05636179774</t>
  </si>
  <si>
    <t>ORDR17CW5Y46TDRI</t>
  </si>
  <si>
    <t>25/02/2026 14:47</t>
  </si>
  <si>
    <t>28974115835G8H8OPHBE</t>
  </si>
  <si>
    <t>New Brokers 2026 - Nestlé &amp;amp; Brokers: Construindo o Futuro Juntos</t>
  </si>
  <si>
    <t>corporate-jornada-ed13a26</t>
  </si>
  <si>
    <t>Alexandre do amaral</t>
  </si>
  <si>
    <t>03834182591</t>
  </si>
  <si>
    <t>07.112.198/0001-44</t>
  </si>
  <si>
    <t>MB LOGISTICA E REPRESENTACAO LTDA</t>
  </si>
  <si>
    <t>alexandre@mblogistica-se.com.br</t>
  </si>
  <si>
    <t>79999821013</t>
  </si>
  <si>
    <t>49160000</t>
  </si>
  <si>
    <t>BR 235 KM 05</t>
  </si>
  <si>
    <t>GALPAO04</t>
  </si>
  <si>
    <t>POVOADO SOBRADO</t>
  </si>
  <si>
    <t>Nossa Senhora do Socorro</t>
  </si>
  <si>
    <t>SE</t>
  </si>
  <si>
    <t>bcc2337f1062cddaecda3ff945b17b9b</t>
  </si>
  <si>
    <t>NewBroker2026</t>
  </si>
  <si>
    <t>ID-07112198000144</t>
  </si>
  <si>
    <t>COM699F223C977DF</t>
  </si>
  <si>
    <t>25/02/2026 13:24</t>
  </si>
  <si>
    <t>11953849961</t>
  </si>
  <si>
    <t>EVENTO: 50369446 - PARTICIPANTE: RENATA GEISER MANTARRO</t>
  </si>
  <si>
    <t>edc5975509c67657f67c8ca0325a5916</t>
  </si>
  <si>
    <t>COM699F215A147EA</t>
  </si>
  <si>
    <t>25/02/2026 13:20</t>
  </si>
  <si>
    <t>Williams Tarigo Correa</t>
  </si>
  <si>
    <t>williams_correa@sicredi.com.br</t>
  </si>
  <si>
    <t>51992357089</t>
  </si>
  <si>
    <t>INSTRUMENTO CONTRATUAL N.º xxxx/xxxx - Vagas CENTRAL SICREDI SUL/SUDESTE</t>
  </si>
  <si>
    <t>704535500973b863eb9da70f3b9f4578</t>
  </si>
  <si>
    <t>Brasil,Brasil,Brasil</t>
  </si>
  <si>
    <t>Executive Program - 21 a 23 de Setembro de 2026</t>
  </si>
  <si>
    <t>executive-program-ed9a26</t>
  </si>
  <si>
    <t>21/09/2026</t>
  </si>
  <si>
    <t>Executive Program - 09 a 11 de Novembro de 2026</t>
  </si>
  <si>
    <t>executive-program-ed11a26</t>
  </si>
  <si>
    <t>09/11/2026</t>
  </si>
  <si>
    <t>AI Strategy - 27 de agosto de 2026</t>
  </si>
  <si>
    <t>imersao-presencial-strategy-ai-ed2a26</t>
  </si>
  <si>
    <t>27/08/2026</t>
  </si>
  <si>
    <t>COM699F0E42F124E</t>
  </si>
  <si>
    <t>25/02/2026 11:59</t>
  </si>
  <si>
    <t>87.437.687/0001-05</t>
  </si>
  <si>
    <t>COOPERATIVA CENTRAL DE CREDITO POUPANCA E INVESTIMENTO DO SUL E SUDESTE - CENTRAL SICREDI SUL/SUDESTE</t>
  </si>
  <si>
    <t>5133585400</t>
  </si>
  <si>
    <t>90110230</t>
  </si>
  <si>
    <t>MANOELITO DE ORNELLAS</t>
  </si>
  <si>
    <t>55</t>
  </si>
  <si>
    <t>ANDAR 18 E 19</t>
  </si>
  <si>
    <t>PRAIA DE BELAS</t>
  </si>
  <si>
    <t>Board Program - Turma 15 - 2 Participantes: Edison Francisco Neuwald Silva e Paulo Alex Falcão</t>
  </si>
  <si>
    <t>659a7491c36a16483acc9a67c1d88c74</t>
  </si>
  <si>
    <t>23/03/2023</t>
  </si>
  <si>
    <t>ID-87437687000105</t>
  </si>
  <si>
    <t>COM6984E06C2D862</t>
  </si>
  <si>
    <t>25/02/2026 11:03</t>
  </si>
  <si>
    <t>28987210985G837RFFJC</t>
  </si>
  <si>
    <t>ADOLFO BICHUCHER NETO</t>
  </si>
  <si>
    <t>07400353802</t>
  </si>
  <si>
    <t>28.835.828/0001-89</t>
  </si>
  <si>
    <t>BEIRA MAR COMERCIO DE ALIMENTOS LTDA</t>
  </si>
  <si>
    <t>adolfobichucher@bichucher.com.br</t>
  </si>
  <si>
    <t>85987610470</t>
  </si>
  <si>
    <t>8531339860</t>
  </si>
  <si>
    <t>60125150</t>
  </si>
  <si>
    <t>OSVALDO CRUZ</t>
  </si>
  <si>
    <t>LOJA  01</t>
  </si>
  <si>
    <t>0cfe0c191bff0f6f69f98bf9885d777a</t>
  </si>
  <si>
    <t>https://loja.startse.com.br//processamento/fatura/0cfe0c191bff0f6f69f98bf9885d777a</t>
  </si>
  <si>
    <t>ID-28835828000189</t>
  </si>
  <si>
    <t>COM699E0613C21D8</t>
  </si>
  <si>
    <t>24/02/2026 17:12</t>
  </si>
  <si>
    <t>Imersão Multiagentes - Presencial - 27 de Fevereiro de 2026</t>
  </si>
  <si>
    <t>imersao-multiagentes-ed13a26</t>
  </si>
  <si>
    <t>CAIXA ECONOMICA FEDERAL - GEDUC01 - Soluções Educacionais - Liderança</t>
  </si>
  <si>
    <t>00.360.305/0198-08</t>
  </si>
  <si>
    <t>geduc01@caixa.gov.br</t>
  </si>
  <si>
    <t>2133200550</t>
  </si>
  <si>
    <t>20050008</t>
  </si>
  <si>
    <t>DA CARIOCA</t>
  </si>
  <si>
    <t>00027</t>
  </si>
  <si>
    <t>NUM 00029. NUM 00031. NUM 00033</t>
  </si>
  <si>
    <t>Nº da Autorização: 0925/2026 - 13 participantes Imersão MultiAgentes - Dados Bancários para pagamento: Banco Itaú (341) – Agência 0185 – Conta Corrente 37248-9 Observação de solicitação de cancelamento: VENDA FOI SUBSTITUÍDA PELA GUID COM698B54B458AF9</t>
  </si>
  <si>
    <t>a26413e0e52063c3d3fc18efbb8105f7</t>
  </si>
  <si>
    <t>ID-00360305019808</t>
  </si>
  <si>
    <t>COM699DF4F95D23C</t>
  </si>
  <si>
    <t>24/02/2026 15:59</t>
  </si>
  <si>
    <t>Sest Senat | 1º Aditivo Contratual - Jornada IA e Dados</t>
  </si>
  <si>
    <t>corporate-jornada-ed14a26_pagamento-01</t>
  </si>
  <si>
    <t>Nicole Goulart</t>
  </si>
  <si>
    <t>73.471.963/0001-47</t>
  </si>
  <si>
    <t>SENAT SERVICO NACIONAL DE APRENDIZAGEM DO TRANSPORTE</t>
  </si>
  <si>
    <t>laianabrito@sestsenat.org.br</t>
  </si>
  <si>
    <t>8899742284</t>
  </si>
  <si>
    <t>6133157000</t>
  </si>
  <si>
    <t>70070944</t>
  </si>
  <si>
    <t>SAUS Q.1 B.J SL.1 2 TERREO ED.CLESIO ANDRADE ENT.10 SL.201</t>
  </si>
  <si>
    <t>SLJ 301 401 501 601 A605SLJ 701 702 801 901</t>
  </si>
  <si>
    <t>Sest Senat | 1º Aditivo Contratual - Jornada IA e Dados - Contrato nº 01 – Processo nº 000006714-9/2025
Contrato nº 01 – Processo nº 000006714-9/2025</t>
  </si>
  <si>
    <t>9341c093fac940533976d2c251a46c4b</t>
  </si>
  <si>
    <t>13/03/2023</t>
  </si>
  <si>
    <t>ID-73471963000147</t>
  </si>
  <si>
    <t>corporate-jornada-ed14a26_pagamento-02</t>
  </si>
  <si>
    <t>corporate-jornada-ed14a26_pagamento-03</t>
  </si>
  <si>
    <t>corporate-jornada-ed14a26_pagamento-04</t>
  </si>
  <si>
    <t>corporate-jornada-ed14a26_pagamento-05</t>
  </si>
  <si>
    <t>corporate-jornada-ed14a26_pagamento-06</t>
  </si>
  <si>
    <t>corporate-jornada-ed14a26_pagamento-07</t>
  </si>
  <si>
    <t>24/02/2026 15:13</t>
  </si>
  <si>
    <t>Jornada Liderança JDE_São Paulo / SP</t>
  </si>
  <si>
    <t>COM69CC20CF86D13</t>
  </si>
  <si>
    <t>corporate-jornada-ed15a26</t>
  </si>
  <si>
    <t>Jornada Liderança JDE_São Paulo / SP | PO 5401164686</t>
  </si>
  <si>
    <t>4c027a6e4067fd07ba9ec6864f0b5314</t>
  </si>
  <si>
    <t>ORDVCC4N4COQ45PZ</t>
  </si>
  <si>
    <t>24/02/2026 14:40</t>
  </si>
  <si>
    <t>28974115835G7JCA91UE</t>
  </si>
  <si>
    <t>Priscila Hellen Stahl David</t>
  </si>
  <si>
    <t>37002891898</t>
  </si>
  <si>
    <t>stahldavidpriscilah@johndeere.com</t>
  </si>
  <si>
    <t>19971212092</t>
  </si>
  <si>
    <t>13331720</t>
  </si>
  <si>
    <t>Rua Rosendo Rodrigues da Silva</t>
  </si>
  <si>
    <t>122</t>
  </si>
  <si>
    <t>Condominio Di Roma</t>
  </si>
  <si>
    <t>Di Roma</t>
  </si>
  <si>
    <t>bffd21b9f222499ff4db86289461f56d</t>
  </si>
  <si>
    <t>JOHNDEERERH</t>
  </si>
  <si>
    <t>ID-37002891898</t>
  </si>
  <si>
    <t>COM6984DE5FB29BB</t>
  </si>
  <si>
    <t>23/02/2026 16:37</t>
  </si>
  <si>
    <t>23/02/2026</t>
  </si>
  <si>
    <t>28987210985G751O7D5C</t>
  </si>
  <si>
    <t>31065126875</t>
  </si>
  <si>
    <t>66.631.854/0002-65</t>
  </si>
  <si>
    <t>PRO-FOOD COMERCIO DE ALIMENTOS LTDA</t>
  </si>
  <si>
    <t>19981616125</t>
  </si>
  <si>
    <t>13092123</t>
  </si>
  <si>
    <t>JOSE DE SOUZA CAMPOS</t>
  </si>
  <si>
    <t>44</t>
  </si>
  <si>
    <t>JARDIM PARAISO</t>
  </si>
  <si>
    <t>e97782e4caca20c7307b8ae59ca37cfa</t>
  </si>
  <si>
    <t>https://loja.startse.com.br//processamento/fatura/e97782e4caca20c7307b8ae59ca37cfa</t>
  </si>
  <si>
    <t>04/11/2025</t>
  </si>
  <si>
    <t>ID-66631854000265</t>
  </si>
  <si>
    <t>ORDJEUGZ0ZOHZ7K6</t>
  </si>
  <si>
    <t>23/02/2026 15:45</t>
  </si>
  <si>
    <t>28974115835G6LGLA01E</t>
  </si>
  <si>
    <t>Mariane Oliveira</t>
  </si>
  <si>
    <t>13537026692</t>
  </si>
  <si>
    <t>7a900e13be0de83721fa93177663be39</t>
  </si>
  <si>
    <t>PATRICIAALGAR_0</t>
  </si>
  <si>
    <t>COM699C94A97DB2E</t>
  </si>
  <si>
    <t>23/02/2026 14:55</t>
  </si>
  <si>
    <t>AI para Negócios - Imersão Presencial -  26 e 27 de Fevereiro de 2026</t>
  </si>
  <si>
    <t>imersao-presencial-de-ai-ed3a26</t>
  </si>
  <si>
    <t>Eliezer Oliveira Santos</t>
  </si>
  <si>
    <t>00539859079</t>
  </si>
  <si>
    <t>eliezer.santos@iatec.com</t>
  </si>
  <si>
    <t>5519983170122</t>
  </si>
  <si>
    <t>AI para Negócios - Imersão Presencial - 26 e 27 de Fevereiro de 2026</t>
  </si>
  <si>
    <t>99048326ccb851e3a944481221e9ce7a</t>
  </si>
  <si>
    <t>05/12/2025</t>
  </si>
  <si>
    <t>ID-00539859079</t>
  </si>
  <si>
    <t>COM699C92B54FE83</t>
  </si>
  <si>
    <t>23/02/2026 14:47</t>
  </si>
  <si>
    <t>5511960595720</t>
  </si>
  <si>
    <t>eb05c11b65358d3af6eaf869633e794e</t>
  </si>
  <si>
    <t>COM699C616D220B1</t>
  </si>
  <si>
    <t>23/02/2026 11:17</t>
  </si>
  <si>
    <t>de58e3b6b05164631e1916c138b29a45</t>
  </si>
  <si>
    <t>ORDTHL4YNEL9UHKR</t>
  </si>
  <si>
    <t>23/02/2026 11:00</t>
  </si>
  <si>
    <t>28974115835G6LG69OEE</t>
  </si>
  <si>
    <t>Igor Inácio Dupont</t>
  </si>
  <si>
    <t>01802787038</t>
  </si>
  <si>
    <t>89.194.377/0001-32</t>
  </si>
  <si>
    <t>DUPONT DISTRIBUIDORA DE ALIMENTOS LTDA</t>
  </si>
  <si>
    <t>igor@grupodupont.com.br</t>
  </si>
  <si>
    <t>51999970486</t>
  </si>
  <si>
    <t>96814400</t>
  </si>
  <si>
    <t>Avenida João Pessoa</t>
  </si>
  <si>
    <t>KM 122 3</t>
  </si>
  <si>
    <t>Santo Inácio</t>
  </si>
  <si>
    <t>Santa Cruz do Sul</t>
  </si>
  <si>
    <t>e3fdcb985f7be93626626ba89d372313</t>
  </si>
  <si>
    <t>Dupont_Broker</t>
  </si>
  <si>
    <t>26/08/2025</t>
  </si>
  <si>
    <t>ID-89194377000132</t>
  </si>
  <si>
    <t>ORDGI2LNRYVXJJR4</t>
  </si>
  <si>
    <t>23/02/2026 09:04</t>
  </si>
  <si>
    <t>Juliana de Oliveira Resende</t>
  </si>
  <si>
    <t>03520804697</t>
  </si>
  <si>
    <t>jresende@tribanco.com.br</t>
  </si>
  <si>
    <t>34984066718</t>
  </si>
  <si>
    <t>38411159</t>
  </si>
  <si>
    <t>Avenida dos Vinhedos</t>
  </si>
  <si>
    <t>900</t>
  </si>
  <si>
    <t>Morada da Colina</t>
  </si>
  <si>
    <t>0085cf4a4f69fd42a0e8325099942b5d</t>
  </si>
  <si>
    <t>ID-03520804697</t>
  </si>
  <si>
    <t>ORD7WTP45DFZOMJ9</t>
  </si>
  <si>
    <t>23/02/2026 09:01</t>
  </si>
  <si>
    <t>bf9898bbae1d86f94f781d19e9e371e3</t>
  </si>
  <si>
    <t>ORDOM5HF3L2LAZTS</t>
  </si>
  <si>
    <t>22/02/2026 10:24</t>
  </si>
  <si>
    <t>22/02/2026</t>
  </si>
  <si>
    <t>Silvia Carla Gomes Buiatti</t>
  </si>
  <si>
    <t>04268280626</t>
  </si>
  <si>
    <t>silviac@tribanco.com.br</t>
  </si>
  <si>
    <t>34999774971</t>
  </si>
  <si>
    <t>38400754</t>
  </si>
  <si>
    <t>Avenida Mauá</t>
  </si>
  <si>
    <t>524</t>
  </si>
  <si>
    <t>Bom Jesus</t>
  </si>
  <si>
    <t>abfff7c9938b3aca082cc46669e04033</t>
  </si>
  <si>
    <t>ID-04268280626</t>
  </si>
  <si>
    <t>COM6998CCD82E08D</t>
  </si>
  <si>
    <t>20/02/2026 18:06</t>
  </si>
  <si>
    <t>20/02/2026</t>
  </si>
  <si>
    <t>AI Agentic Commerce - 23 e 24 de Fevereiro de 2026</t>
  </si>
  <si>
    <t>ai-agentic-commerce-ed1a26</t>
  </si>
  <si>
    <t>e2fca248fa169ce6ed106eca913518c8</t>
  </si>
  <si>
    <t>COM6998C75FB0A9D</t>
  </si>
  <si>
    <t>20/02/2026 17:43</t>
  </si>
  <si>
    <t>gustavo almeida</t>
  </si>
  <si>
    <t>34458803875</t>
  </si>
  <si>
    <t>5511992814491</t>
  </si>
  <si>
    <t>4aa5c63c2677531632de9df436ba8343</t>
  </si>
  <si>
    <t>ID-34458803875</t>
  </si>
  <si>
    <t>COM6998C6F198E26</t>
  </si>
  <si>
    <t>20/02/2026 17:41</t>
  </si>
  <si>
    <t>Maria Paiva</t>
  </si>
  <si>
    <t>13.673.743/0004-17</t>
  </si>
  <si>
    <t>BOM NEGOCIO ATIVIDADES DE INTERNET LTDA</t>
  </si>
  <si>
    <t>maria.paiva@olxbr.com</t>
  </si>
  <si>
    <t>21970226307</t>
  </si>
  <si>
    <t>1131504646</t>
  </si>
  <si>
    <t>CONJ 151 152 E 153</t>
  </si>
  <si>
    <t>f327565e0c88ccac08183fba3b4e4c46</t>
  </si>
  <si>
    <t>21/08/2024</t>
  </si>
  <si>
    <t>ID-13673743000417</t>
  </si>
  <si>
    <t>COM6998C5F75BA96</t>
  </si>
  <si>
    <t>20/02/2026 17:37</t>
  </si>
  <si>
    <t>913971e110e87567ca145c6538fb7830</t>
  </si>
  <si>
    <t>COM6998C34101E05</t>
  </si>
  <si>
    <t>20/02/2026 17:25</t>
  </si>
  <si>
    <t>Viviane Blois</t>
  </si>
  <si>
    <t>29226436894</t>
  </si>
  <si>
    <t>viviane.p.depardoblois@haleon.com</t>
  </si>
  <si>
    <t>5511972643155</t>
  </si>
  <si>
    <t>AI para Negócios - Imersão Presencial - 30 e 31 de Março de 2026</t>
  </si>
  <si>
    <t>d3a9ae11a35662057d15e92d803e0f3d</t>
  </si>
  <si>
    <t>ID-29226436894</t>
  </si>
  <si>
    <t>COM6998C25F8E4C6</t>
  </si>
  <si>
    <t>20/02/2026 17:21</t>
  </si>
  <si>
    <t>Cibele Vieira Cunha Rudge</t>
  </si>
  <si>
    <t>27834517864</t>
  </si>
  <si>
    <t>Cibele.x.rudge@haleon.com</t>
  </si>
  <si>
    <t>5513997653010</t>
  </si>
  <si>
    <t>4e46f0af1f0bda6ecc53672a8bdf8511</t>
  </si>
  <si>
    <t>14/11/2025</t>
  </si>
  <si>
    <t>ID-27834517864</t>
  </si>
  <si>
    <t>COM6998BC1A0590C</t>
  </si>
  <si>
    <t>20/02/2026 16:55</t>
  </si>
  <si>
    <t>Paulo Cesar Augusto Miranda</t>
  </si>
  <si>
    <t>38441388890</t>
  </si>
  <si>
    <t>paulo.miranda@br.nestle.com</t>
  </si>
  <si>
    <t>5511961839848</t>
  </si>
  <si>
    <t>f65df9d3196f5bfb04c26f4303430f9d</t>
  </si>
  <si>
    <t>15/06/2021</t>
  </si>
  <si>
    <t>ID-38441388890</t>
  </si>
  <si>
    <t>ORDR9MYZQHGH6GJD</t>
  </si>
  <si>
    <t>20/02/2026 16:21</t>
  </si>
  <si>
    <t>28974115835G3RTP87RE</t>
  </si>
  <si>
    <t>MATHEUS DA GAMA FAGUNDES</t>
  </si>
  <si>
    <t>15541796709</t>
  </si>
  <si>
    <t>10.593.629/0001-46</t>
  </si>
  <si>
    <t>FAST BROKER COMERCIO E REPRESENTACAO LTDA</t>
  </si>
  <si>
    <t>matheus@fastbrokerr.com.br</t>
  </si>
  <si>
    <t>24992660028</t>
  </si>
  <si>
    <t>27258000</t>
  </si>
  <si>
    <t>DOS METALURGICOS</t>
  </si>
  <si>
    <t>EMPRESA</t>
  </si>
  <si>
    <t>CASA DE PEDRA</t>
  </si>
  <si>
    <t>Volta Redonda</t>
  </si>
  <si>
    <t>813e2f308d8c45729fbfa52b01d6e8f2</t>
  </si>
  <si>
    <t>28/08/2025</t>
  </si>
  <si>
    <t>ID-10593629000146</t>
  </si>
  <si>
    <t>ORDAZV083LQEHP1O</t>
  </si>
  <si>
    <t>20/02/2026 16:13</t>
  </si>
  <si>
    <t>28974115835G3RTPF38E</t>
  </si>
  <si>
    <t>Jorge Yamashita</t>
  </si>
  <si>
    <t>58179429172</t>
  </si>
  <si>
    <t>jorge@disnorteagil.com.br</t>
  </si>
  <si>
    <t>66981119901</t>
  </si>
  <si>
    <t>78556062</t>
  </si>
  <si>
    <t>Avenida dos Tarumãs</t>
  </si>
  <si>
    <t>1443</t>
  </si>
  <si>
    <t>Casa</t>
  </si>
  <si>
    <t>Jardim Botânico</t>
  </si>
  <si>
    <t>Sinop</t>
  </si>
  <si>
    <t>e93a67dead084f504454b1b6079e22f7</t>
  </si>
  <si>
    <t>ID-58179429172</t>
  </si>
  <si>
    <t>COM6998B12D84CD9</t>
  </si>
  <si>
    <t>20/02/2026 16:08</t>
  </si>
  <si>
    <t>Claudia Woods - BAT</t>
  </si>
  <si>
    <t>e6729598d33a22e1587c7a7c15016a9d</t>
  </si>
  <si>
    <t>ORD382DILNVDB793</t>
  </si>
  <si>
    <t>20/02/2026 16:01</t>
  </si>
  <si>
    <t>28974115835G3RTON6LE</t>
  </si>
  <si>
    <t>e66eb4a8fdfe86cf21635d1479cdffaa</t>
  </si>
  <si>
    <t>COM6998A69A541F9</t>
  </si>
  <si>
    <t>20/02/2026 15:23</t>
  </si>
  <si>
    <t>GERIBA ALIMENTOS</t>
  </si>
  <si>
    <t>77.980.639/0001-05</t>
  </si>
  <si>
    <t>GERIBA DISTRIBUIDORA LTDA</t>
  </si>
  <si>
    <t>tiago@geriba.com.br</t>
  </si>
  <si>
    <t>45999621609</t>
  </si>
  <si>
    <t>4532283515</t>
  </si>
  <si>
    <t>85804603</t>
  </si>
  <si>
    <t>DOUTOR EZUEL PORTES</t>
  </si>
  <si>
    <t>21759</t>
  </si>
  <si>
    <t>GUARUJA</t>
  </si>
  <si>
    <t>Cascavel</t>
  </si>
  <si>
    <t>New Brokers 2026 - Nestlé &amp;amp; Brokers: Construindo o Futuro Juntos - 2 participantes</t>
  </si>
  <si>
    <t>d8cd65a144dc28000513cad814839ae8</t>
  </si>
  <si>
    <t>ID-77980639000105</t>
  </si>
  <si>
    <t>COM69989C88EBA71</t>
  </si>
  <si>
    <t>20/02/2026 14:40</t>
  </si>
  <si>
    <t>Tatiana Batistela</t>
  </si>
  <si>
    <t>03382725932</t>
  </si>
  <si>
    <t>Tati.s.batistela@gmail.com</t>
  </si>
  <si>
    <t>11933845578</t>
  </si>
  <si>
    <t>04794-000</t>
  </si>
  <si>
    <t>Vila Gertrudes</t>
  </si>
  <si>
    <t>e50d06069f936c7754f396d6fbf307d6</t>
  </si>
  <si>
    <t>10/02/2026</t>
  </si>
  <si>
    <t>ID-03382725932</t>
  </si>
  <si>
    <t>COM6998984E3FDDF</t>
  </si>
  <si>
    <t>20/02/2026 14:22</t>
  </si>
  <si>
    <t>Kleyton Fazolin</t>
  </si>
  <si>
    <t>69124671215</t>
  </si>
  <si>
    <t>kleyton.fazolin@iatec.com</t>
  </si>
  <si>
    <t>5519981334102</t>
  </si>
  <si>
    <t>ba53d8b5eac5fbcfbccb44f4cfe9ff98</t>
  </si>
  <si>
    <t>ID-69124671215</t>
  </si>
  <si>
    <t>COM6998705455DF6</t>
  </si>
  <si>
    <t>20/02/2026 11:31</t>
  </si>
  <si>
    <t>Workshop Gestão por Contexto | Estapar</t>
  </si>
  <si>
    <t>corporate-workshop-ed15a26</t>
  </si>
  <si>
    <t>01.808.151/0001-33</t>
  </si>
  <si>
    <t>HORA PARK SISTEMA DE ESTACIONAMENTO ROTATIVO LTDA</t>
  </si>
  <si>
    <t>1121618000</t>
  </si>
  <si>
    <t>ANDAR 2 A BLOCO 3</t>
  </si>
  <si>
    <t>Workshop Gestão por Contexto | Estapar
Número do Pedido OC16014320 (constar na NF)</t>
  </si>
  <si>
    <t>1073b261105c4157bb02c11d0138113e</t>
  </si>
  <si>
    <t>13/08/2018</t>
  </si>
  <si>
    <t>ID-01808151000133</t>
  </si>
  <si>
    <t>COM69986AEB8514C</t>
  </si>
  <si>
    <t>20/02/2026 11:08</t>
  </si>
  <si>
    <t>Workshop IA - Wheaton - pagamento 01</t>
  </si>
  <si>
    <t>corporate-workshop-ed14a26_pagamento-01</t>
  </si>
  <si>
    <t>Fábio Alexandrino dos Santos</t>
  </si>
  <si>
    <t>60.750.056/0001-95</t>
  </si>
  <si>
    <t>WHEATON BRASIL VIDROS LTDA.</t>
  </si>
  <si>
    <t>fabio.alexandrino@wheaton.com.br</t>
  </si>
  <si>
    <t>11994453586</t>
  </si>
  <si>
    <t>1143551800</t>
  </si>
  <si>
    <t>09810010</t>
  </si>
  <si>
    <t>ALVARO GUIMARAES</t>
  </si>
  <si>
    <t>2502</t>
  </si>
  <si>
    <t>BLOCO A 1 ANDAR</t>
  </si>
  <si>
    <t>Workshop IA - Wheaton</t>
  </si>
  <si>
    <t>965ea13c7d57d0bbee19ffc7edb6dbcf</t>
  </si>
  <si>
    <t>02/06/2021</t>
  </si>
  <si>
    <t>ID-60750056000195</t>
  </si>
  <si>
    <t>Workshop IA - Wheaton - pagamento 02</t>
  </si>
  <si>
    <t>corporate-workshop-ed14a26_pagamento-02-</t>
  </si>
  <si>
    <t>ORDF4F828M55KXDV</t>
  </si>
  <si>
    <t>20/02/2026 09:21</t>
  </si>
  <si>
    <t>28974115835G3RSMH16E</t>
  </si>
  <si>
    <t>LDA REPRESENTAÇÕES LTDA</t>
  </si>
  <si>
    <t>09698744134</t>
  </si>
  <si>
    <t>09.197.077/0001-78</t>
  </si>
  <si>
    <t>LDA REPRESENTACOES LTDA</t>
  </si>
  <si>
    <t>thalles.faria@ldalogistica.com.br</t>
  </si>
  <si>
    <t>81994699698</t>
  </si>
  <si>
    <t>53030010</t>
  </si>
  <si>
    <t>PRES GETULIO VARGAS</t>
  </si>
  <si>
    <t>1781</t>
  </si>
  <si>
    <t>SALAS 11 E 12             GALERIA ETE CENTER</t>
  </si>
  <si>
    <t>BAIRRO NOVO</t>
  </si>
  <si>
    <t>Olinda</t>
  </si>
  <si>
    <t>736fdd9534a17f95e734accf61af0ff4</t>
  </si>
  <si>
    <t>ID-09197077000178</t>
  </si>
  <si>
    <t>Rafael Passarelli</t>
  </si>
  <si>
    <t>rafael.passarelli@grupomoura.com</t>
  </si>
  <si>
    <t>11984436726</t>
  </si>
  <si>
    <t>8121211600</t>
  </si>
  <si>
    <t>COM69984DB83056E</t>
  </si>
  <si>
    <t>20/02/2026 09:04</t>
  </si>
  <si>
    <t>01.098.290/0001-10</t>
  </si>
  <si>
    <t>RM - REDE MOURA PARTICIPACOES S.A.</t>
  </si>
  <si>
    <t>51020280</t>
  </si>
  <si>
    <t>PADRE CARAPUCEIRO</t>
  </si>
  <si>
    <t>706</t>
  </si>
  <si>
    <t>SALA 901 EDF CTR EMP TORRE CARLOS PENA FILHO</t>
  </si>
  <si>
    <t>BOA VIAGEM</t>
  </si>
  <si>
    <t>9c76227ff6bf840cc7fd12b3533b93d1</t>
  </si>
  <si>
    <t>30/11/2017</t>
  </si>
  <si>
    <t>ID-01098290000110</t>
  </si>
  <si>
    <t>COM69977A061C670</t>
  </si>
  <si>
    <t>19/02/2026 18:00</t>
  </si>
  <si>
    <t>CONFEDERAÇÃO SICREDI</t>
  </si>
  <si>
    <t>03.795.072/0001-60</t>
  </si>
  <si>
    <t>CONFEDERACAO DAS COOPERATIVAS DO SICREDI - CONFEDERACAO SICREDI</t>
  </si>
  <si>
    <t>patricia_rossi@sicredi.com.br</t>
  </si>
  <si>
    <t>51991488031</t>
  </si>
  <si>
    <t>5133584700</t>
  </si>
  <si>
    <t>ANDAR 6</t>
  </si>
  <si>
    <t>Ingressos StartSe RH Leadership Xperience - 2 participantes</t>
  </si>
  <si>
    <t>8ee30cc2ab5a916bd80fc8d134658d93</t>
  </si>
  <si>
    <t>08/05/2018</t>
  </si>
  <si>
    <t>ID-03795072000160</t>
  </si>
  <si>
    <t>COM699765FAA7704</t>
  </si>
  <si>
    <t>19/02/2026 16:35</t>
  </si>
  <si>
    <t>19/02/2026</t>
  </si>
  <si>
    <t>34130547836</t>
  </si>
  <si>
    <t>5511984436726</t>
  </si>
  <si>
    <t>079ed8079d4b901e887dba0998ac440a</t>
  </si>
  <si>
    <t>ID-34130547836</t>
  </si>
  <si>
    <t>COM6997652CC5BC0</t>
  </si>
  <si>
    <t>19/02/2026 16:31</t>
  </si>
  <si>
    <t>Daniel Faria</t>
  </si>
  <si>
    <t>30192410814</t>
  </si>
  <si>
    <t>ddfaria@sofisa.com.br</t>
  </si>
  <si>
    <t>eb5ea09f6482a18608ab3d58d474755a</t>
  </si>
  <si>
    <t>17/09/2025</t>
  </si>
  <si>
    <t>ID-30192410814</t>
  </si>
  <si>
    <t>COM699764A76D679</t>
  </si>
  <si>
    <t>19/02/2026 16:29</t>
  </si>
  <si>
    <t>Matheus Define Perossi</t>
  </si>
  <si>
    <t>30003303802</t>
  </si>
  <si>
    <t>mdperossi@sofisa.com.br</t>
  </si>
  <si>
    <t>66cf483fb18faa9339fa509ca5cc6398</t>
  </si>
  <si>
    <t>ID-30003303802</t>
  </si>
  <si>
    <t>COM6997634623B77</t>
  </si>
  <si>
    <t>19/02/2026 16:23</t>
  </si>
  <si>
    <t>Stephanie Teixeira</t>
  </si>
  <si>
    <t>36856012888</t>
  </si>
  <si>
    <t>stephanie.teixeira@galderma.com</t>
  </si>
  <si>
    <t>5511956882189</t>
  </si>
  <si>
    <t>ed1ca41b4c99031da301435824a9f21e</t>
  </si>
  <si>
    <t>23/06/2024</t>
  </si>
  <si>
    <t>ID-36856012888</t>
  </si>
  <si>
    <t>ORD73XCJ0QCYSNG4</t>
  </si>
  <si>
    <t>19/02/2026 14:19</t>
  </si>
  <si>
    <t>Amir Frederico Carneiro Faria</t>
  </si>
  <si>
    <t>01393906699</t>
  </si>
  <si>
    <t>25.515.453/0001-81</t>
  </si>
  <si>
    <t>MIRAMAR PRODUTOS ALIMENTICIOS LTDA</t>
  </si>
  <si>
    <t>amir.faria@miramarltda.com.br</t>
  </si>
  <si>
    <t>31997943099</t>
  </si>
  <si>
    <t>35020220</t>
  </si>
  <si>
    <t>ISRAEL PINHEIRO</t>
  </si>
  <si>
    <t>425</t>
  </si>
  <si>
    <t>Sem Complemento</t>
  </si>
  <si>
    <t>Governador Valadares</t>
  </si>
  <si>
    <t>7db65172bfad44a6bfa94aed9f051e73</t>
  </si>
  <si>
    <t>ID-25515453000181</t>
  </si>
  <si>
    <t>COM699714C5A778C</t>
  </si>
  <si>
    <t>19/02/2026 10:48</t>
  </si>
  <si>
    <t>cielo</t>
  </si>
  <si>
    <t>BROKER DISTLE</t>
  </si>
  <si>
    <t>02.016.821/0001-41</t>
  </si>
  <si>
    <t>DISTLE DISTRIBUICAO E LOGISTICA LTDA</t>
  </si>
  <si>
    <t>marcelo@distle.com.br</t>
  </si>
  <si>
    <t>48988130900</t>
  </si>
  <si>
    <t>4840013000</t>
  </si>
  <si>
    <t>88103482</t>
  </si>
  <si>
    <t>JACI SCHLICHTING</t>
  </si>
  <si>
    <t>1800</t>
  </si>
  <si>
    <t>SALA 03</t>
  </si>
  <si>
    <t>PRAIA COMPRIDA</t>
  </si>
  <si>
    <t>São José</t>
  </si>
  <si>
    <t>SC</t>
  </si>
  <si>
    <t>34e0393803a2241f57ba537733dfd77b</t>
  </si>
  <si>
    <t>ID-02016821000141</t>
  </si>
  <si>
    <t>COM69970DE51A9B6</t>
  </si>
  <si>
    <t>19/02/2026 10:19</t>
  </si>
  <si>
    <t>BROKER NORTE</t>
  </si>
  <si>
    <t>18.848.896/0001-29</t>
  </si>
  <si>
    <t>BROKER NORTE REPRESENTACOES COMERCIAIS LTDA</t>
  </si>
  <si>
    <t>bruna.menezes@brokernorte.com.br</t>
  </si>
  <si>
    <t>69984090831</t>
  </si>
  <si>
    <t>6921820182</t>
  </si>
  <si>
    <t>76812003</t>
  </si>
  <si>
    <t>DA BEIRA LADO E FUNDOS</t>
  </si>
  <si>
    <t>6671</t>
  </si>
  <si>
    <t>SALA C</t>
  </si>
  <si>
    <t>LAGOA</t>
  </si>
  <si>
    <t>Porto Velho</t>
  </si>
  <si>
    <t>RO</t>
  </si>
  <si>
    <t>686e3162b3d1740479069f2a6df0fdb2</t>
  </si>
  <si>
    <t>ID-18848896000129</t>
  </si>
  <si>
    <t>ORD2VXOGFGW0BR6T</t>
  </si>
  <si>
    <t>19/02/2026 09:40</t>
  </si>
  <si>
    <t>28974115835G2U052CJE</t>
  </si>
  <si>
    <t>Alexandre Amaral</t>
  </si>
  <si>
    <t>03997460566</t>
  </si>
  <si>
    <t>55799998210</t>
  </si>
  <si>
    <t>ef1b93bf89f3a76a49036edfb9702f66</t>
  </si>
  <si>
    <t>ORDKNJNCEVLBT7FE</t>
  </si>
  <si>
    <t>18/02/2026 18:16</t>
  </si>
  <si>
    <t>18/02/2026</t>
  </si>
  <si>
    <t>GUSTAVO BIANCHI SILVEIRA</t>
  </si>
  <si>
    <t>04914808650</t>
  </si>
  <si>
    <t>12.973.813/0001-47</t>
  </si>
  <si>
    <t>SILVEIRA REPRESENTACAO COMERCIAL LTDA</t>
  </si>
  <si>
    <t>gustavo@silveiralogistica.com.br</t>
  </si>
  <si>
    <t>34991566100</t>
  </si>
  <si>
    <t>38402340</t>
  </si>
  <si>
    <t>IGNEZ FAVATO</t>
  </si>
  <si>
    <t>385</t>
  </si>
  <si>
    <t>SALA: 01</t>
  </si>
  <si>
    <t>cbc8aa688604a46172ebaa7c030a8b79</t>
  </si>
  <si>
    <t>27/08/2025</t>
  </si>
  <si>
    <t>ID-12973813000147</t>
  </si>
  <si>
    <t>COM69962981B82E5</t>
  </si>
  <si>
    <t>18/02/2026 18:05</t>
  </si>
  <si>
    <t>SICREDI PLANALTO RS/MG</t>
  </si>
  <si>
    <t>88.038.260/0027-36</t>
  </si>
  <si>
    <t>COOPERATIVA DE CREDITO, POUPANCA E INVESTIMENTO PLANALTO - SICREDI PLANALTO RS/MG</t>
  </si>
  <si>
    <t>julia_bazzanella@sicredi.com.br</t>
  </si>
  <si>
    <t>54992065185</t>
  </si>
  <si>
    <t>5533219200</t>
  </si>
  <si>
    <t>38400154</t>
  </si>
  <si>
    <t>CLARIMUNDO CARNEIRO</t>
  </si>
  <si>
    <t>ANDAR 2</t>
  </si>
  <si>
    <t>Participante: Bruno Cardoso Miranda</t>
  </si>
  <si>
    <t>d334d0ece34cae98b1402402d252d615</t>
  </si>
  <si>
    <t>ID-88038260002736</t>
  </si>
  <si>
    <t>COM699609AA71541</t>
  </si>
  <si>
    <t>18/02/2026 15:49</t>
  </si>
  <si>
    <t>Orlando Filho</t>
  </si>
  <si>
    <t>05.975.316/0001-12</t>
  </si>
  <si>
    <t>VICTORIA LOGISTICA E TRANSPORTES LTDA</t>
  </si>
  <si>
    <t>orlandopmfilho27@gmail.com</t>
  </si>
  <si>
    <t>8596057490</t>
  </si>
  <si>
    <t>8534444500</t>
  </si>
  <si>
    <t>61700000</t>
  </si>
  <si>
    <t>BR 116 KM 23</t>
  </si>
  <si>
    <t>GALPAO9 ANEXO 2 SALA 1</t>
  </si>
  <si>
    <t>CAMARA</t>
  </si>
  <si>
    <t>Aquiraz</t>
  </si>
  <si>
    <t>New Brokers 2026 - Nestlé &amp;amp; Brokers: Construindo o Futuro Juntos - 1 participante</t>
  </si>
  <si>
    <t>ba01848ee2595287819a9aa5bf870610</t>
  </si>
  <si>
    <t>ID-05975316000112</t>
  </si>
  <si>
    <t>ORDEBABW8RQV6UPD</t>
  </si>
  <si>
    <t>18/02/2026 15:29</t>
  </si>
  <si>
    <t>28974115835G20590SEE</t>
  </si>
  <si>
    <t>MARIA LUISA PORTO DE SOUZA</t>
  </si>
  <si>
    <t>07338758158</t>
  </si>
  <si>
    <t>10.608.184/0001-20</t>
  </si>
  <si>
    <t>DESTAQUE DO NORTE LOGÍSTICA E DISTRIBUIÇÃO LTDA</t>
  </si>
  <si>
    <t>maria.luisa@dtno.com.br</t>
  </si>
  <si>
    <t>63992288723</t>
  </si>
  <si>
    <t>77020528</t>
  </si>
  <si>
    <t>Quadra ARSE 22 Alameda 12</t>
  </si>
  <si>
    <t>1301</t>
  </si>
  <si>
    <t>ed saint martin blue</t>
  </si>
  <si>
    <t>Plano Diretor Sul</t>
  </si>
  <si>
    <t>Palmas</t>
  </si>
  <si>
    <t>TO</t>
  </si>
  <si>
    <t>43de8519aea2e8d128dc33f65aa47853</t>
  </si>
  <si>
    <t>29/04/2025</t>
  </si>
  <si>
    <t>ID-10608184000120</t>
  </si>
  <si>
    <t>COM6995FCE98A6DF</t>
  </si>
  <si>
    <t>18/02/2026 14:54</t>
  </si>
  <si>
    <t>Fabiana Meneses</t>
  </si>
  <si>
    <t>32101598825</t>
  </si>
  <si>
    <t>Fabiana.meneses@omni.com.br</t>
  </si>
  <si>
    <t>5511981520887</t>
  </si>
  <si>
    <t>536fd4cc2c67ed2210a14153352ca6bc</t>
  </si>
  <si>
    <t>29/10/2019</t>
  </si>
  <si>
    <t>ID-32101598825</t>
  </si>
  <si>
    <t>COM6995FB6F0A6BC</t>
  </si>
  <si>
    <t>18/02/2026 14:48</t>
  </si>
  <si>
    <t>Denise Paludetto</t>
  </si>
  <si>
    <t>25840773883</t>
  </si>
  <si>
    <t>Denise.paludetto@omni.com.be</t>
  </si>
  <si>
    <t>5511999012060</t>
  </si>
  <si>
    <t>8abb09679d7b13197844c2d7df0fa451</t>
  </si>
  <si>
    <t>15/10/2019</t>
  </si>
  <si>
    <t>ID-25840773883</t>
  </si>
  <si>
    <t>COM6995F12B58875</t>
  </si>
  <si>
    <t>18/02/2026 14:04</t>
  </si>
  <si>
    <t>Workshop Convenção de Líderança 5A&amp;#039;s - Sênior Sistemas</t>
  </si>
  <si>
    <t>corporate-workshop-ed13a26</t>
  </si>
  <si>
    <t>Aline Ras</t>
  </si>
  <si>
    <t>80.680.093/0001-81</t>
  </si>
  <si>
    <t>SENIOR SISTEMAS S/A</t>
  </si>
  <si>
    <t>aline.ras@senior.com.br</t>
  </si>
  <si>
    <t>47984744000</t>
  </si>
  <si>
    <t>4732213300</t>
  </si>
  <si>
    <t>89012001</t>
  </si>
  <si>
    <t>SAO PAULO</t>
  </si>
  <si>
    <t>825</t>
  </si>
  <si>
    <t>VICTOR KONDER</t>
  </si>
  <si>
    <t>Blumenau</t>
  </si>
  <si>
    <t>StartSe Workshop Lideranças Sênior
Dados Bancários:
Banco: ITAÚ (341)
Agência: 0185
Conta Corrente: 37248-9</t>
  </si>
  <si>
    <t>f57656e3d658bc50e5367ca9b034a2e0</t>
  </si>
  <si>
    <t>03/03/2026</t>
  </si>
  <si>
    <t>ID-80680093000181</t>
  </si>
  <si>
    <t>COM6995F0CA8788A</t>
  </si>
  <si>
    <t>18/02/2026 14:03</t>
  </si>
  <si>
    <t>Daiichi Sankyo | Workshop e talk | SP</t>
  </si>
  <si>
    <t>corporate-workshop-ed11a26</t>
  </si>
  <si>
    <t>Bruna Lima</t>
  </si>
  <si>
    <t>60.874.187/0001-84</t>
  </si>
  <si>
    <t>DAIICHI SANKYO BRASIL FARMACEUTICA LTDA.</t>
  </si>
  <si>
    <t>Bruna.lima@daiichisankyo.com</t>
  </si>
  <si>
    <t>11950463048</t>
  </si>
  <si>
    <t>1141914522</t>
  </si>
  <si>
    <t>766</t>
  </si>
  <si>
    <t>Daiichi Sankyo | Workshop e talk | SP
teremos número de PO para a NF, mas ainda não possuimos</t>
  </si>
  <si>
    <t>8d6285cedcdcccf284ca62dc14d4e25b</t>
  </si>
  <si>
    <t>23/01/2026</t>
  </si>
  <si>
    <t>ID-60874187000184</t>
  </si>
  <si>
    <t>COM69936E46DFFFE</t>
  </si>
  <si>
    <t>16/02/2026 16:21</t>
  </si>
  <si>
    <t>Carlos Emilio Cavaliere Sartorio</t>
  </si>
  <si>
    <t>79597408791</t>
  </si>
  <si>
    <t>01.422.664/0001-01</t>
  </si>
  <si>
    <t>CEJASA COMERCIO DE ALIMENTOS LTDA</t>
  </si>
  <si>
    <t>cemiliosartorio@uol.com.br</t>
  </si>
  <si>
    <t>21999735025</t>
  </si>
  <si>
    <t>2131146938</t>
  </si>
  <si>
    <t>25581325</t>
  </si>
  <si>
    <t>MARIA SOARES SENDAS</t>
  </si>
  <si>
    <t>111</t>
  </si>
  <si>
    <t>LOJA LUC A15</t>
  </si>
  <si>
    <t>VENDA VELHA</t>
  </si>
  <si>
    <t>São João de Meriti</t>
  </si>
  <si>
    <t>Inscrição Imersão China McDonald&amp;#039;s</t>
  </si>
  <si>
    <t>e49240c4a97217b6bdfd761c6931e7b5</t>
  </si>
  <si>
    <t>https://loja.startse.com.br//processamento/fatura/e49240c4a97217b6bdfd761c6931e7b5</t>
  </si>
  <si>
    <t>16/02/2026</t>
  </si>
  <si>
    <t>ID-01422664000101</t>
  </si>
  <si>
    <t>ORD02BIXRWJ2J4QV</t>
  </si>
  <si>
    <t>15/02/2026 11:39</t>
  </si>
  <si>
    <t>15/02/2026</t>
  </si>
  <si>
    <t>Pedro Pinto Zanni</t>
  </si>
  <si>
    <t>25728110819</t>
  </si>
  <si>
    <t>Banco Triângulo Ltda</t>
  </si>
  <si>
    <t>pedroz@tribanco.com.br</t>
  </si>
  <si>
    <t>11982027674</t>
  </si>
  <si>
    <t>13342311</t>
  </si>
  <si>
    <t>Rua Minho</t>
  </si>
  <si>
    <t>268</t>
  </si>
  <si>
    <t>Vale das Laranjeiras</t>
  </si>
  <si>
    <t>2b5b3d98a71ad1a949d96fdf3db24321</t>
  </si>
  <si>
    <t>ORDAI3NHUINPKIBP</t>
  </si>
  <si>
    <t>14/02/2026 11:16</t>
  </si>
  <si>
    <t>14/02/2026</t>
  </si>
  <si>
    <t>28974115835FU8N80L7E</t>
  </si>
  <si>
    <t>Ultra Comércio e Distribuição Ltda</t>
  </si>
  <si>
    <t>04916698444</t>
  </si>
  <si>
    <t>09.236.632/0001-23</t>
  </si>
  <si>
    <t>ULTRA COMERCIO E DISTRIBUICAO LTDA</t>
  </si>
  <si>
    <t>henrique@ultracd.com.br</t>
  </si>
  <si>
    <t>83999212100</t>
  </si>
  <si>
    <t>58082014</t>
  </si>
  <si>
    <t>INDUSTRIAL ABELARDO ALVIM GOMES SCHIMMELPFENG</t>
  </si>
  <si>
    <t>118</t>
  </si>
  <si>
    <t>GALPAO01</t>
  </si>
  <si>
    <t>João Pessoa</t>
  </si>
  <si>
    <t>PB</t>
  </si>
  <si>
    <t>f6695b5a35d4449e48d52a14cdcdce1b</t>
  </si>
  <si>
    <t>28/06/2019</t>
  </si>
  <si>
    <t>ID-09236632000123</t>
  </si>
  <si>
    <t>COM698F8B0A7A930</t>
  </si>
  <si>
    <t>13/02/2026 17:35</t>
  </si>
  <si>
    <t>13/02/2026</t>
  </si>
  <si>
    <t>Horizonte Broker Distribuiçao ltda</t>
  </si>
  <si>
    <t>47.232.709/0001-86</t>
  </si>
  <si>
    <t>HORIZONTE BROKER DISTRIBUICAO LTDA</t>
  </si>
  <si>
    <t>lorenzo@brokerhorizonte.com.br</t>
  </si>
  <si>
    <t>31998933676</t>
  </si>
  <si>
    <t>3131572757</t>
  </si>
  <si>
    <t>32183680</t>
  </si>
  <si>
    <t>WILSON TAVARES RIBEIRO</t>
  </si>
  <si>
    <t>CHACARAS REUNIDAS SANTA TEREZINHA</t>
  </si>
  <si>
    <t>Contagem</t>
  </si>
  <si>
    <t>41c2de138c1f6f9b609e761a725cf6fd</t>
  </si>
  <si>
    <t>ID-47232709000186</t>
  </si>
  <si>
    <t>COM698F888B68769</t>
  </si>
  <si>
    <t>13/02/2026 17:24</t>
  </si>
  <si>
    <t>MEGADAN BROKER REPRESENTACAO COMERCIAL LTDA</t>
  </si>
  <si>
    <t>26.919.347/0001-26</t>
  </si>
  <si>
    <t>deise.tarraf@megadan.com.br</t>
  </si>
  <si>
    <t>17991140049</t>
  </si>
  <si>
    <t>1721220999</t>
  </si>
  <si>
    <t>15133286</t>
  </si>
  <si>
    <t>DOUTOR ERNANI DA GAMA CORREA</t>
  </si>
  <si>
    <t>3500F</t>
  </si>
  <si>
    <t>SALAO 06</t>
  </si>
  <si>
    <t>PORTAL DA CIDADE AMIGA</t>
  </si>
  <si>
    <t>Mirassol</t>
  </si>
  <si>
    <t>8aecbf5c69e3201ae26228955f18699e</t>
  </si>
  <si>
    <t>30/04/2025</t>
  </si>
  <si>
    <t>ID-26919347000126</t>
  </si>
  <si>
    <t>COM698F86A1B0024</t>
  </si>
  <si>
    <t>13/02/2026 17:16</t>
  </si>
  <si>
    <t>STAMPA REPRESENTACOES COMERCIAIS LTDA</t>
  </si>
  <si>
    <t>14.488.462/0001-04</t>
  </si>
  <si>
    <t>eloisa@stampanet.com.br</t>
  </si>
  <si>
    <t>41999154601</t>
  </si>
  <si>
    <t>4133814500</t>
  </si>
  <si>
    <t>83015810</t>
  </si>
  <si>
    <t>BOM PASTOR</t>
  </si>
  <si>
    <t>3250</t>
  </si>
  <si>
    <t>SALA 01 MODULO 01 ANDAR 03</t>
  </si>
  <si>
    <t>BARRO PRETO</t>
  </si>
  <si>
    <t>São José dos Pinhais</t>
  </si>
  <si>
    <t>35b6fcca047edd8bdb6fd52825335d03</t>
  </si>
  <si>
    <t>29/07/2025</t>
  </si>
  <si>
    <t>ID-14488462000104</t>
  </si>
  <si>
    <t>ORD8Y75G0RRBZFIF</t>
  </si>
  <si>
    <t>13/02/2026 17:13</t>
  </si>
  <si>
    <t>28974115835FTAQLLOJE</t>
  </si>
  <si>
    <t>Thales Amaral Targino</t>
  </si>
  <si>
    <t>82379386234</t>
  </si>
  <si>
    <t>05.021.725/0003-41</t>
  </si>
  <si>
    <t>Grão Pará Representação Ltda</t>
  </si>
  <si>
    <t>thales@brokergraopara.com.br</t>
  </si>
  <si>
    <t>91991069062</t>
  </si>
  <si>
    <t>66093005</t>
  </si>
  <si>
    <t>Rod BR 316 km 25</t>
  </si>
  <si>
    <t>Ao lado posto Marajó</t>
  </si>
  <si>
    <t>Santa Rosa</t>
  </si>
  <si>
    <t>Benevides</t>
  </si>
  <si>
    <t>7a37fa92e67e3051b4a23e0f27906ffa</t>
  </si>
  <si>
    <t>ID-05021725000341</t>
  </si>
  <si>
    <t>ORDCW2SZ7SVI4V94</t>
  </si>
  <si>
    <t>13/02/2026 16:43</t>
  </si>
  <si>
    <t>28974115835FTAQJERBE</t>
  </si>
  <si>
    <t>IRMAOS SWIECH LTDA</t>
  </si>
  <si>
    <t>82380589020</t>
  </si>
  <si>
    <t>08.219.855/0001-10</t>
  </si>
  <si>
    <t>IRMAOS SWIECH LTDA.</t>
  </si>
  <si>
    <t>jean.torii@santarosanestle.com.br</t>
  </si>
  <si>
    <t>43991523343</t>
  </si>
  <si>
    <t>86183759</t>
  </si>
  <si>
    <t>JOSE GASPARINI</t>
  </si>
  <si>
    <t>396</t>
  </si>
  <si>
    <t>ARMZ  02                  BLOCO 1 - ADMINISTRATIVO</t>
  </si>
  <si>
    <t>PARQUE INDUSTRIAL JOSE GARCIA GIMENES</t>
  </si>
  <si>
    <t>Cambé</t>
  </si>
  <si>
    <t>052e17d2f47d59e7d12f498adfed122a</t>
  </si>
  <si>
    <t>ID-08219855000110</t>
  </si>
  <si>
    <t>COM698F7C7E64755</t>
  </si>
  <si>
    <t>13/02/2026 16:33</t>
  </si>
  <si>
    <t>Vinicius - Broker Mais</t>
  </si>
  <si>
    <t>29.440.540/0001-78</t>
  </si>
  <si>
    <t>BROKER MAIS REPRESENTACOES LTDA</t>
  </si>
  <si>
    <t>vinicius@brokermais.com.br</t>
  </si>
  <si>
    <t>14981361300</t>
  </si>
  <si>
    <t>1421056700</t>
  </si>
  <si>
    <t>17539028</t>
  </si>
  <si>
    <t>JOAO RIBEIRO DE BARROS</t>
  </si>
  <si>
    <t>S/ N</t>
  </si>
  <si>
    <t>KM 439 ANEXO III</t>
  </si>
  <si>
    <t>CENTRO (LACIO)</t>
  </si>
  <si>
    <t>Marília</t>
  </si>
  <si>
    <t>b7e38c6d1b2c18e20f1f75ad66332b56</t>
  </si>
  <si>
    <t>ID-29440540000178</t>
  </si>
  <si>
    <t>COM698F7AC7ABE37</t>
  </si>
  <si>
    <t>13/02/2026 16:25</t>
  </si>
  <si>
    <t>Fabio Domingues Ibers</t>
  </si>
  <si>
    <t>fabio.ibers@votorantim.com</t>
  </si>
  <si>
    <t>0be443637866ccee5ce9fd1c4bf348b6</t>
  </si>
  <si>
    <t>ORDRXMVUVKKRYCQO</t>
  </si>
  <si>
    <t>13/02/2026 15:31</t>
  </si>
  <si>
    <t>28974115835FTAQGDTVE</t>
  </si>
  <si>
    <t>Alexandre de Moraes Batista</t>
  </si>
  <si>
    <t>09166176700</t>
  </si>
  <si>
    <t>13.031.500/0001-32</t>
  </si>
  <si>
    <t>BATISTA COMERCIAL E REPRESENTACOES LTDA</t>
  </si>
  <si>
    <t>diretoria@grupobatista.com</t>
  </si>
  <si>
    <t>27999326491</t>
  </si>
  <si>
    <t>29104360</t>
  </si>
  <si>
    <t>DARLY SANTOS</t>
  </si>
  <si>
    <t>2650</t>
  </si>
  <si>
    <t>POLO EMPRESARIAL NOVO MEXICO</t>
  </si>
  <si>
    <t>8b539e7e216eaf1f934fb32101a8254e</t>
  </si>
  <si>
    <t>ID-13031500000132</t>
  </si>
  <si>
    <t>COM698F58CB8B626</t>
  </si>
  <si>
    <t>13/02/2026 14:00</t>
  </si>
  <si>
    <t>IGOR INACIO DUPONT</t>
  </si>
  <si>
    <t>5121075800</t>
  </si>
  <si>
    <t>BR-471</t>
  </si>
  <si>
    <t>VARZEA</t>
  </si>
  <si>
    <t>New Brokers | Nestlé &amp;amp; Brokers: Construindo o Futuro Juntos</t>
  </si>
  <si>
    <t>454b03d1e278f6b63cd9fb8594eff089</t>
  </si>
  <si>
    <t>ORD5BRXD4JQA17G4</t>
  </si>
  <si>
    <t>13/02/2026 13:25</t>
  </si>
  <si>
    <t>28974115835FTAQALVCE</t>
  </si>
  <si>
    <t>Luca Manassero Podkolinski de Almeida Queiroz</t>
  </si>
  <si>
    <t>46641898857</t>
  </si>
  <si>
    <t>06.180.912/0001-79</t>
  </si>
  <si>
    <t>DISO - COMERCIO DE ALIMENTOS LTDA</t>
  </si>
  <si>
    <t>gerente.adm@diso.com.br</t>
  </si>
  <si>
    <t>15997001283</t>
  </si>
  <si>
    <t>13337200</t>
  </si>
  <si>
    <t>JOSE COSTA DE MESQUITA</t>
  </si>
  <si>
    <t>691</t>
  </si>
  <si>
    <t>GALPAO01 AO 07            ANEXO N. 787 - GALPAO 01</t>
  </si>
  <si>
    <t>CHACARA ALVORADA</t>
  </si>
  <si>
    <t>7e4aa9edae2bb26ff511354c868b881a</t>
  </si>
  <si>
    <t>ID-06180912000179</t>
  </si>
  <si>
    <t>ORDQ9WC2TVI6P9V9</t>
  </si>
  <si>
    <t>13/02/2026 13:15</t>
  </si>
  <si>
    <t>28974115835FTAQAIP7E</t>
  </si>
  <si>
    <t>PAMC Distribuição e Logística Ltda.</t>
  </si>
  <si>
    <t>94931640125</t>
  </si>
  <si>
    <t>42.515.614/0001-56</t>
  </si>
  <si>
    <t>PAMC DISTRIBUICAO E LOGISTICA LTDA</t>
  </si>
  <si>
    <t>marcello@pamc.com.br</t>
  </si>
  <si>
    <t>61992134040</t>
  </si>
  <si>
    <t>71988360</t>
  </si>
  <si>
    <t>ADE CONJUNTO 18 LOTE 14 E</t>
  </si>
  <si>
    <t>Galpão Pamc</t>
  </si>
  <si>
    <t>AREA DE DESENVOLVIMENTO ECONOMICO (AGUAS CLAR</t>
  </si>
  <si>
    <t>bb914f3a4190b320c442ec0a493076e6</t>
  </si>
  <si>
    <t>ID-42515614000156</t>
  </si>
  <si>
    <t>ORD6NXH9WAS63WN9</t>
  </si>
  <si>
    <t>13/02/2026 13:10</t>
  </si>
  <si>
    <t>28974115835FTAQ90DUE</t>
  </si>
  <si>
    <t>PAMC Distribuição e Logística Ltda</t>
  </si>
  <si>
    <t>26087663827</t>
  </si>
  <si>
    <t>carlos.pamc@gmail.com</t>
  </si>
  <si>
    <t>61992197313</t>
  </si>
  <si>
    <t>3592652c044e52e09a18a87f06e2c4a9</t>
  </si>
  <si>
    <t>ORDSLAEO6EE4C2NR</t>
  </si>
  <si>
    <t>13/02/2026 12:41</t>
  </si>
  <si>
    <t>28974115835FTAQ7DDCE</t>
  </si>
  <si>
    <t>Hyltom Pinto de Castro Filho</t>
  </si>
  <si>
    <t>26925552874</t>
  </si>
  <si>
    <t>Pamc Distribuição e Logística Ltda.</t>
  </si>
  <si>
    <t>hyltom@pamc.com.br</t>
  </si>
  <si>
    <t>61992653303</t>
  </si>
  <si>
    <t>Área ADE Conjunto 18</t>
  </si>
  <si>
    <t>14</t>
  </si>
  <si>
    <t>Área de Desenvolvimento Econômico (Águas Clar</t>
  </si>
  <si>
    <t>397f0d422cea60854ff36381809ee619</t>
  </si>
  <si>
    <t>ORDF19BL8T6K82FV</t>
  </si>
  <si>
    <t>13/02/2026 10:55</t>
  </si>
  <si>
    <t>28974115835FTAQ0V6NE</t>
  </si>
  <si>
    <t>Rio Sul Representação e Participações Ltda.</t>
  </si>
  <si>
    <t>02812408766</t>
  </si>
  <si>
    <t>11.126.946/0001-15</t>
  </si>
  <si>
    <t>RIO SUL REPRESENTACAO COMERCIAL E PARTICIPACOES LTDA,</t>
  </si>
  <si>
    <t>edward@riosul.rio.br</t>
  </si>
  <si>
    <t>21996168000</t>
  </si>
  <si>
    <t>21073160</t>
  </si>
  <si>
    <t>JOAO REGO</t>
  </si>
  <si>
    <t>77</t>
  </si>
  <si>
    <t>Galpão</t>
  </si>
  <si>
    <t>OLARIA</t>
  </si>
  <si>
    <t>97e5f641f9d337aa3d94af0cd1f21339</t>
  </si>
  <si>
    <t>ID-11126946000115</t>
  </si>
  <si>
    <t>COM6984E2B0B3402</t>
  </si>
  <si>
    <t>13/02/2026 10:28</t>
  </si>
  <si>
    <t>28987210985FTOINO61C</t>
  </si>
  <si>
    <t>FREDERICO CAVALCANTI PINTO DA CARVALHEIRA NETO</t>
  </si>
  <si>
    <t>96225718400</t>
  </si>
  <si>
    <t>41.062.183/0001-57</t>
  </si>
  <si>
    <t>MARALCO COMERCIO DE ALIMENTOS LTDA</t>
  </si>
  <si>
    <t>frederico.carvalheira@mcdpe.com.br</t>
  </si>
  <si>
    <t>81971146888</t>
  </si>
  <si>
    <t>8133261553</t>
  </si>
  <si>
    <t>733</t>
  </si>
  <si>
    <t>SALA 0502 EMP CENTER l</t>
  </si>
  <si>
    <t>7f694b92200cfda1e45b1987feba22bd</t>
  </si>
  <si>
    <t>https://loja.startse.com.br//processamento/fatura/7f694b92200cfda1e45b1987feba22bd</t>
  </si>
  <si>
    <t>ID-41062183000157</t>
  </si>
  <si>
    <t>COM698CC85E87E65</t>
  </si>
  <si>
    <t>12/02/2026 21:03</t>
  </si>
  <si>
    <t>12/02/2026</t>
  </si>
  <si>
    <t>28987210985FSQKVSMMC</t>
  </si>
  <si>
    <t>elo</t>
  </si>
  <si>
    <t>Isabella Farina Fernandes</t>
  </si>
  <si>
    <t>13361364728</t>
  </si>
  <si>
    <t>35.356.893/0001-97</t>
  </si>
  <si>
    <t>ISALCO OESTE COMERCIO DE ALIMENTOS LTDA</t>
  </si>
  <si>
    <t>isabella@isalco.com</t>
  </si>
  <si>
    <t>21994384904</t>
  </si>
  <si>
    <t>2124502238</t>
  </si>
  <si>
    <t>23070221</t>
  </si>
  <si>
    <t>DO CAMPINHO</t>
  </si>
  <si>
    <t>735</t>
  </si>
  <si>
    <t>CAMPO GRANDE</t>
  </si>
  <si>
    <t>c5483166611e938eca174fd609bc1b45</t>
  </si>
  <si>
    <t>https://loja.startse.com.br//processamento/fatura/c5483166611e938eca174fd609bc1b45</t>
  </si>
  <si>
    <t>ID-35356893000197</t>
  </si>
  <si>
    <t>COM698E2B25490A7</t>
  </si>
  <si>
    <t>12/02/2026 16:33</t>
  </si>
  <si>
    <t>Gabriela Perrud da Silva</t>
  </si>
  <si>
    <t>11.969.853/0001-52</t>
  </si>
  <si>
    <t>COOPERATIVA DE CREDITO E INVESTIMENTO COM INTERACAO SOLIDARIA CONEXAO - CRESOL CONEXAO</t>
  </si>
  <si>
    <t>gabriela.perrud@cresol.com.br</t>
  </si>
  <si>
    <t>45988040768</t>
  </si>
  <si>
    <t>4534221702</t>
  </si>
  <si>
    <t>85720256</t>
  </si>
  <si>
    <t>BRASILIA</t>
  </si>
  <si>
    <t>2610</t>
  </si>
  <si>
    <t>BAIRRO CIDADE ALTA</t>
  </si>
  <si>
    <t>Medianeira</t>
  </si>
  <si>
    <t>58f2d069af91040a2d3947f7613e3a52</t>
  </si>
  <si>
    <t>09/12/2024</t>
  </si>
  <si>
    <t>ID-11969853000152</t>
  </si>
  <si>
    <t>COM698E2A6523BFC</t>
  </si>
  <si>
    <t>12/02/2026 16:30</t>
  </si>
  <si>
    <t>StartSe Board Program - Turma 13 - 2026</t>
  </si>
  <si>
    <t>board-program-ed1a26</t>
  </si>
  <si>
    <t>6e6004ce33ecae44ae090e195602b2b5</t>
  </si>
  <si>
    <t>COM698E24ED9E342</t>
  </si>
  <si>
    <t>12/02/2026 16:07</t>
  </si>
  <si>
    <t>Deborah Huff</t>
  </si>
  <si>
    <t>31638242852</t>
  </si>
  <si>
    <t>deborah@beautyfair.com.br</t>
  </si>
  <si>
    <t>5511977355325</t>
  </si>
  <si>
    <t>5ae9559e12569bb497fb4860b016aaa8</t>
  </si>
  <si>
    <t>29/03/2026</t>
  </si>
  <si>
    <t>ID-31638242852</t>
  </si>
  <si>
    <t>COM698E086A792E2</t>
  </si>
  <si>
    <t>12/02/2026 14:05</t>
  </si>
  <si>
    <t>Fernando Guglielmetti</t>
  </si>
  <si>
    <t>22023743885</t>
  </si>
  <si>
    <t>fernando.guglielmetti@gmail.com</t>
  </si>
  <si>
    <t>5511987354324</t>
  </si>
  <si>
    <t>07c845d7716cbe38dd5486215d5046a6</t>
  </si>
  <si>
    <t>21/05/2021</t>
  </si>
  <si>
    <t>ID-22023743885</t>
  </si>
  <si>
    <t>COM698CC99544661</t>
  </si>
  <si>
    <t>12/02/2026 13:25</t>
  </si>
  <si>
    <t>28987210985FSQIIJ5QC</t>
  </si>
  <si>
    <t>Nina Comércio de Alimentos Ltda</t>
  </si>
  <si>
    <t>09296628814</t>
  </si>
  <si>
    <t>02.686.933/0001-00</t>
  </si>
  <si>
    <t>NINA COMERCIO DE ALIMENTOS LTDA</t>
  </si>
  <si>
    <t>lsadalla@uol.com.br</t>
  </si>
  <si>
    <t>16997737783</t>
  </si>
  <si>
    <t>14802396</t>
  </si>
  <si>
    <t>BENTO DE ABREU</t>
  </si>
  <si>
    <t>180</t>
  </si>
  <si>
    <t>JARDIM PRIMAVERA</t>
  </si>
  <si>
    <t>Araraquara</t>
  </si>
  <si>
    <t>df2954d914b5de2dca9a2036cc5ac3a7</t>
  </si>
  <si>
    <t>https://loja.startse.com.br//processamento/fatura/df2954d914b5de2dca9a2036cc5ac3a7</t>
  </si>
  <si>
    <t>ID-02686933000100</t>
  </si>
  <si>
    <t>COM698CE7C95C1F4</t>
  </si>
  <si>
    <t>12/02/2026 10:21</t>
  </si>
  <si>
    <t>28987210985FSQHH177C</t>
  </si>
  <si>
    <t>Lucas Shirai Pires</t>
  </si>
  <si>
    <t>09387317935</t>
  </si>
  <si>
    <t>13.627.491/0001-47</t>
  </si>
  <si>
    <t>IVASP COMERCIO DE ALIMENTOS LTDA</t>
  </si>
  <si>
    <t>lucas.pires@mcdonaldsbcsc.com.br</t>
  </si>
  <si>
    <t>47991732005</t>
  </si>
  <si>
    <t>4733687720</t>
  </si>
  <si>
    <t>88339060</t>
  </si>
  <si>
    <t>DO ESTADO</t>
  </si>
  <si>
    <t>4888</t>
  </si>
  <si>
    <t>DOS ESTADOS</t>
  </si>
  <si>
    <t>Balneário Camboriú</t>
  </si>
  <si>
    <t>b7594e6e848086c99a6e648f31ba994b</t>
  </si>
  <si>
    <t>https://loja.startse.com.br//processamento/fatura/b7594e6e848086c99a6e648f31ba994b</t>
  </si>
  <si>
    <t>ID-13627491000147</t>
  </si>
  <si>
    <t>COM6984D8B724EC6</t>
  </si>
  <si>
    <t>11/02/2026 21:12</t>
  </si>
  <si>
    <t>11/02/2026</t>
  </si>
  <si>
    <t>28987210985FRSK134VC</t>
  </si>
  <si>
    <t>Bruno Rios Gomes</t>
  </si>
  <si>
    <t>49743618805</t>
  </si>
  <si>
    <t>03.449.275/0001-03</t>
  </si>
  <si>
    <t>MMB COMERCIO DE ALIMENTOS LTDA.</t>
  </si>
  <si>
    <t>brunogomes2c03@gmail.com</t>
  </si>
  <si>
    <t>11964223171</t>
  </si>
  <si>
    <t>03318000</t>
  </si>
  <si>
    <t>SERRA DE BRAGANCA</t>
  </si>
  <si>
    <t>395</t>
  </si>
  <si>
    <t>TATUAPE</t>
  </si>
  <si>
    <t>364c8872d7c3fb8a4bcfd42f9f1be343</t>
  </si>
  <si>
    <t>https://loja.startse.com.br//processamento/fatura/364c8872d7c3fb8a4bcfd42f9f1be343</t>
  </si>
  <si>
    <t>ID-03449275000103</t>
  </si>
  <si>
    <t>COM698CF0B03C2CC</t>
  </si>
  <si>
    <t>11/02/2026 18:12</t>
  </si>
  <si>
    <t>Jornada Liderança Feminina | AON</t>
  </si>
  <si>
    <t>corporate-jornada-ed10a26</t>
  </si>
  <si>
    <t>Flavia Garzia</t>
  </si>
  <si>
    <t>48.102.552/0001-37</t>
  </si>
  <si>
    <t>AON HOLDINGS CORRETORES DE SEGUROS LTDA</t>
  </si>
  <si>
    <t>11972551590</t>
  </si>
  <si>
    <t>1147004700</t>
  </si>
  <si>
    <t>04730903</t>
  </si>
  <si>
    <t>DR RUBENS GOMES BUENO</t>
  </si>
  <si>
    <t>ANDAR 16 AO18</t>
  </si>
  <si>
    <t>VARZEA DE BAIXO</t>
  </si>
  <si>
    <t>065595206c3afa59b3dc7c8056a96af1</t>
  </si>
  <si>
    <t>25/09/2018</t>
  </si>
  <si>
    <t>ID-48102552000137</t>
  </si>
  <si>
    <t>Jornada Liderança Feminina | AON - Pagamento 01</t>
  </si>
  <si>
    <t>corporate-jornada-ed10a26_pagamento01</t>
  </si>
  <si>
    <t>Jornada Liderança Feminina | AON - Pagamento 02</t>
  </si>
  <si>
    <t>corporate-jornada-ed10a26_pagamento02</t>
  </si>
  <si>
    <t>COM698CEAB79A3D5</t>
  </si>
  <si>
    <t>11/02/2026 17:46</t>
  </si>
  <si>
    <t>SLD | ELO</t>
  </si>
  <si>
    <t>consulting-strategy-xprint-ed4a26_Pagamento-01</t>
  </si>
  <si>
    <t>Felipe Costa</t>
  </si>
  <si>
    <t>felipe.costa@elo.com.br</t>
  </si>
  <si>
    <t>11930659175</t>
  </si>
  <si>
    <t>ALPHAVILLE</t>
  </si>
  <si>
    <t>SLD ELO - Sergio Rinaldi</t>
  </si>
  <si>
    <t>412b22b620b23a0db14a75daf21f560a</t>
  </si>
  <si>
    <t>StartSe Consulting,StartSe Consulting</t>
  </si>
  <si>
    <t>consulting-strategy-xprint-ed4a26_Pagamento-02</t>
  </si>
  <si>
    <t>COM698CE3E76F46C</t>
  </si>
  <si>
    <t>11/02/2026 17:17</t>
  </si>
  <si>
    <t>Talks Executive Program - Piero - SLD</t>
  </si>
  <si>
    <t>startse-talks-executive-program-ed1a26</t>
  </si>
  <si>
    <t>5511972776865</t>
  </si>
  <si>
    <t>20ee890e3ee987eb6f785596d3f621e0</t>
  </si>
  <si>
    <t>COM698CC696ACC8B</t>
  </si>
  <si>
    <t>11/02/2026 16:46</t>
  </si>
  <si>
    <t>28987210985FRSHH6A1C</t>
  </si>
  <si>
    <t>Matheus Tunhollo Martins</t>
  </si>
  <si>
    <t>38989353882</t>
  </si>
  <si>
    <t>01.836.357/0001-77</t>
  </si>
  <si>
    <t>GRAN ROMA COMERCIO DE ALIMENTOS LTDA</t>
  </si>
  <si>
    <t>math_tunhollo@hotmail.com</t>
  </si>
  <si>
    <t>13988771406</t>
  </si>
  <si>
    <t>1133841331</t>
  </si>
  <si>
    <t>11410002</t>
  </si>
  <si>
    <t>PUGLISI</t>
  </si>
  <si>
    <t>PITANGUEIRAS</t>
  </si>
  <si>
    <t>Guarujá</t>
  </si>
  <si>
    <t>741af20a5676c70b2b3713e44a98f1b1</t>
  </si>
  <si>
    <t>https://loja.startse.com.br//processamento/fatura/741af20a5676c70b2b3713e44a98f1b1</t>
  </si>
  <si>
    <t>ID-01836357000177</t>
  </si>
  <si>
    <t>COM698CD60963140</t>
  </si>
  <si>
    <t>11/02/2026 16:18</t>
  </si>
  <si>
    <t>Hiara Peixoto</t>
  </si>
  <si>
    <t>hiara.peixoto@matera.com</t>
  </si>
  <si>
    <t>2247a8db72d41a82d4dfae1fb908cd6e</t>
  </si>
  <si>
    <t>COM698CD4A5C8528</t>
  </si>
  <si>
    <t>11/02/2026 16:12</t>
  </si>
  <si>
    <t>Guilherme Ramos Moura</t>
  </si>
  <si>
    <t>34168035824</t>
  </si>
  <si>
    <t>guilherme.moura@lusobank.com.br</t>
  </si>
  <si>
    <t>5519981110200</t>
  </si>
  <si>
    <t>c2012eef69e6c2643973f599bafad752</t>
  </si>
  <si>
    <t>24/07/2025</t>
  </si>
  <si>
    <t>ID-34168035824</t>
  </si>
  <si>
    <t>ORDZSVSSBFY5DT8V</t>
  </si>
  <si>
    <t>11/02/2026 08:47</t>
  </si>
  <si>
    <t>Antonio Felipe Fonseca</t>
  </si>
  <si>
    <t>33363762895</t>
  </si>
  <si>
    <t>felipe.fonseca@grupovamos.com.br</t>
  </si>
  <si>
    <t>11941699166</t>
  </si>
  <si>
    <t>12246140</t>
  </si>
  <si>
    <t>Avenida do Tubarão</t>
  </si>
  <si>
    <t>Ap 33</t>
  </si>
  <si>
    <t>Parque Residencial Aquarius</t>
  </si>
  <si>
    <t>São José dos Campos</t>
  </si>
  <si>
    <t>a6dc998c49bd5ec084396e28d3d855fa</t>
  </si>
  <si>
    <t>Cupom_100</t>
  </si>
  <si>
    <t>ID-33363762895</t>
  </si>
  <si>
    <t>ORDQFSNTSP6XC0ET</t>
  </si>
  <si>
    <t>10/02/2026 19:51</t>
  </si>
  <si>
    <t>ad1e8d892a1a62492aac16c5a5f5a18a</t>
  </si>
  <si>
    <t>ORDTUQF9BIO2H7FM</t>
  </si>
  <si>
    <t>10/02/2026 19:40</t>
  </si>
  <si>
    <t>2bdd4335dd01d502c8d1ceea9efab368</t>
  </si>
  <si>
    <t>COM698BA082A6FA5</t>
  </si>
  <si>
    <t>10/02/2026 18:17</t>
  </si>
  <si>
    <t>KAROLINE RIBEIRO DE CASTRO</t>
  </si>
  <si>
    <t>38352131800</t>
  </si>
  <si>
    <t>karoline.ribeiro@goodstorage.com.br</t>
  </si>
  <si>
    <t>5521981020455</t>
  </si>
  <si>
    <t>05395f06c9339a059815864e9332fde3</t>
  </si>
  <si>
    <t>ID-38352131800</t>
  </si>
  <si>
    <t>COM698BA013989A6</t>
  </si>
  <si>
    <t>10/02/2026 18:16</t>
  </si>
  <si>
    <t>BRUNA HERBER BENDER</t>
  </si>
  <si>
    <t>39657741823</t>
  </si>
  <si>
    <t>bruna.bender@goodstorage.com.br</t>
  </si>
  <si>
    <t>5511966400227</t>
  </si>
  <si>
    <t>32b058c49880a08a65d4a5c99969b96b</t>
  </si>
  <si>
    <t>ID-39657741823</t>
  </si>
  <si>
    <t>COM698B87745255C</t>
  </si>
  <si>
    <t>10/02/2026 16:31</t>
  </si>
  <si>
    <t>Leonardo Schenkel</t>
  </si>
  <si>
    <t>03701184054</t>
  </si>
  <si>
    <t>schenkel262@gmail.com</t>
  </si>
  <si>
    <t>89e8dfe692522543085074480c57279a</t>
  </si>
  <si>
    <t>ID-03701184054</t>
  </si>
  <si>
    <t>COM698B6900B5E5D</t>
  </si>
  <si>
    <t>10/02/2026 14:21</t>
  </si>
  <si>
    <t>MARCOS ALESSANDRO DA SILVA</t>
  </si>
  <si>
    <t>91136741968</t>
  </si>
  <si>
    <t>masilva@copacol.com.br</t>
  </si>
  <si>
    <t>5545999818940</t>
  </si>
  <si>
    <t>c885d7f70e0a16135571375c48a9fc0b</t>
  </si>
  <si>
    <t>ID-91136741968</t>
  </si>
  <si>
    <t>COM698B6786C4F3A</t>
  </si>
  <si>
    <t>10/02/2026 14:14</t>
  </si>
  <si>
    <t>Camilla da Cunha Castro</t>
  </si>
  <si>
    <t>00905956370</t>
  </si>
  <si>
    <t>eventos@abrafarma.com.br</t>
  </si>
  <si>
    <t>5511949049306</t>
  </si>
  <si>
    <t>a05013d60c1f83e1789db73dfa5d3e01</t>
  </si>
  <si>
    <t>ID-00905956370</t>
  </si>
  <si>
    <t>COM698B64692084C</t>
  </si>
  <si>
    <t>10/02/2026 14:01</t>
  </si>
  <si>
    <t>176c520eeed150d1a0c81dbea7f3bfeb</t>
  </si>
  <si>
    <t>COM698B64613865C</t>
  </si>
  <si>
    <t>efcd31c08f58029a555f612b647d00f6</t>
  </si>
  <si>
    <t>COM698B63DAC137D</t>
  </si>
  <si>
    <t>10/02/2026 13:59</t>
  </si>
  <si>
    <t>Laysa Parisotto Fernando Fracaro</t>
  </si>
  <si>
    <t>38567943876</t>
  </si>
  <si>
    <t>laysa_pfernando@hotmail.com</t>
  </si>
  <si>
    <t>5511914067887</t>
  </si>
  <si>
    <t>44b24b6c556117231a30e91c49ceabdf</t>
  </si>
  <si>
    <t>ID-38567943876</t>
  </si>
  <si>
    <t>COM698B63D787E14</t>
  </si>
  <si>
    <t>c0348bdc27b65f0ee30df5d8a1e5bbe6</t>
  </si>
  <si>
    <t>COM6984D7AF5C9FC</t>
  </si>
  <si>
    <t>10/02/2026 13:31</t>
  </si>
  <si>
    <t>Maria Aparecida Queiroz Machado Pires</t>
  </si>
  <si>
    <t>49121979634</t>
  </si>
  <si>
    <t>03.593.773/0001-17</t>
  </si>
  <si>
    <t>IDEAL COMERCIO DE ALIMENTOS LTDA</t>
  </si>
  <si>
    <t>maq.machado@uol.com.br</t>
  </si>
  <si>
    <t>11961869517</t>
  </si>
  <si>
    <t>1123471436</t>
  </si>
  <si>
    <t>03294100</t>
  </si>
  <si>
    <t>PROF  LUIZ IGNACIO DE ANHAIA MELLO</t>
  </si>
  <si>
    <t>2230</t>
  </si>
  <si>
    <t>VILA PRUDENTE</t>
  </si>
  <si>
    <t>271bd7c5d3bc4f683775026a63e6bd2b</t>
  </si>
  <si>
    <t>https://loja.startse.com.br//processamento/fatura/271bd7c5d3bc4f683775026a63e6bd2b</t>
  </si>
  <si>
    <t>ID-03593773000117</t>
  </si>
  <si>
    <t>COM698B54B458AF9</t>
  </si>
  <si>
    <t>10/02/2026 12:54</t>
  </si>
  <si>
    <t>Patricia Vieira Lima</t>
  </si>
  <si>
    <t>00.360.305/0238-21</t>
  </si>
  <si>
    <t>1131035900</t>
  </si>
  <si>
    <t>01310918</t>
  </si>
  <si>
    <t>1708</t>
  </si>
  <si>
    <t>AUTORIZAÇÃO PARA PARTICIPAÇÃO EM EVENTO EXTERNO Nº 0676/2026 - 20 PARTICIPANTES.</t>
  </si>
  <si>
    <t>9701f75f2d8bed99021dae39301ca8d8</t>
  </si>
  <si>
    <t>02/09/2018</t>
  </si>
  <si>
    <t>ID-00360305023821</t>
  </si>
  <si>
    <t>COM69863C88C0317</t>
  </si>
  <si>
    <t>09/02/2026 18:33</t>
  </si>
  <si>
    <t>09/02/2026</t>
  </si>
  <si>
    <t>28987210985FQ0DN6ASC</t>
  </si>
  <si>
    <t>Ana Paula Monteiro Abdalla</t>
  </si>
  <si>
    <t>05306576869</t>
  </si>
  <si>
    <t>04.126.722/0001-48</t>
  </si>
  <si>
    <t>A. M. A. - COMERCIO DE ALIMENTOS LTDA</t>
  </si>
  <si>
    <t>anapaula@amamcd.com.br</t>
  </si>
  <si>
    <t>11999621334</t>
  </si>
  <si>
    <t>1140328282</t>
  </si>
  <si>
    <t>12916260</t>
  </si>
  <si>
    <t>JAN TOMAS BATA</t>
  </si>
  <si>
    <t>161</t>
  </si>
  <si>
    <t>TABOAO</t>
  </si>
  <si>
    <t>Bragança Paulista</t>
  </si>
  <si>
    <t>a9beb5081de495c5a3288d4c0b2a55f0</t>
  </si>
  <si>
    <t>https://loja.startse.com.br//processamento/fatura/a9beb5081de495c5a3288d4c0b2a55f0</t>
  </si>
  <si>
    <t>ID-04126722000148</t>
  </si>
  <si>
    <t>COM698A515C5DB3E</t>
  </si>
  <si>
    <t>09/02/2026 18:27</t>
  </si>
  <si>
    <t>Palestra Potência que Gera Performance | Compra Agora</t>
  </si>
  <si>
    <t>corporate-palestra-ed6a26</t>
  </si>
  <si>
    <t>Lucas Soares</t>
  </si>
  <si>
    <t>35.663.461/0001-29</t>
  </si>
  <si>
    <t>COMPRA AGORA SERVICOS DIGITAIS LTDA</t>
  </si>
  <si>
    <t>lucas.soares@compra-agora.com</t>
  </si>
  <si>
    <t>19992900102</t>
  </si>
  <si>
    <t>1137037675</t>
  </si>
  <si>
    <t>04547006</t>
  </si>
  <si>
    <t>1666</t>
  </si>
  <si>
    <t>ANDAR 16 CONJ 161A E 162</t>
  </si>
  <si>
    <t>64834d4071db0947cb5df1ed0e98f188</t>
  </si>
  <si>
    <t>29/05/2024</t>
  </si>
  <si>
    <t>ID-35663461000129</t>
  </si>
  <si>
    <t>COM698A50337ABD9</t>
  </si>
  <si>
    <t>09/02/2026 18:22</t>
  </si>
  <si>
    <t>17.790.307/0001-36</t>
  </si>
  <si>
    <t>E-UB COMERCIO LTDA</t>
  </si>
  <si>
    <t>ANDAR 16 CONJ 161B</t>
  </si>
  <si>
    <t>b96df43830b4fa2724ed1c818ad4571c</t>
  </si>
  <si>
    <t>ID-17790307000136</t>
  </si>
  <si>
    <t>ORDBUOOC1F79BA9U</t>
  </si>
  <si>
    <t>09/02/2026 13:22</t>
  </si>
  <si>
    <t>Luara Albanese</t>
  </si>
  <si>
    <t>32499915897</t>
  </si>
  <si>
    <t>luara.pinheiro.albanese@gmail.com</t>
  </si>
  <si>
    <t>11999450647</t>
  </si>
  <si>
    <t>04548000</t>
  </si>
  <si>
    <t>Avenida Doutor Cardoso de Melo</t>
  </si>
  <si>
    <t>1060</t>
  </si>
  <si>
    <t>apto 151</t>
  </si>
  <si>
    <t>Vila Olímpia</t>
  </si>
  <si>
    <t>cba47285af5d00d6e6ea646c6c200b44</t>
  </si>
  <si>
    <t>ID-32499915897</t>
  </si>
  <si>
    <t>ORDVA7OZONSBTYF1</t>
  </si>
  <si>
    <t>09/02/2026 11:55</t>
  </si>
  <si>
    <t>Eric Chaves da Silva</t>
  </si>
  <si>
    <t>28382103863</t>
  </si>
  <si>
    <t>eric.silva@grupovamos.com.br</t>
  </si>
  <si>
    <t>11913091792</t>
  </si>
  <si>
    <t>04530001</t>
  </si>
  <si>
    <t>Rua Doutor Renato Paes de Barros</t>
  </si>
  <si>
    <t>1017</t>
  </si>
  <si>
    <t>6 andar</t>
  </si>
  <si>
    <t>5ebd0e772363e5498c0600ceda1aaa26</t>
  </si>
  <si>
    <t>ID-28382103863</t>
  </si>
  <si>
    <t>COM6989F1DD05FBA</t>
  </si>
  <si>
    <t>09/02/2026 11:40</t>
  </si>
  <si>
    <t>Denis Gavazzi</t>
  </si>
  <si>
    <t>26239363820</t>
  </si>
  <si>
    <t>denisrgavazzi@gmail.com</t>
  </si>
  <si>
    <t>5511974996765</t>
  </si>
  <si>
    <t>9 andar</t>
  </si>
  <si>
    <t>afac817d5be554c94a6c0b4632c4db2d</t>
  </si>
  <si>
    <t>ID-26239363820</t>
  </si>
  <si>
    <t>ORDBF2G1WNBL8SHO</t>
  </si>
  <si>
    <t>09/02/2026 11:36</t>
  </si>
  <si>
    <t>Ronaldo Oliveira Vieira Pires De Oliveira</t>
  </si>
  <si>
    <t>77592131587</t>
  </si>
  <si>
    <t>ronaldo.oliveira@grupovamos.com.br</t>
  </si>
  <si>
    <t>71991137231</t>
  </si>
  <si>
    <t>41701015</t>
  </si>
  <si>
    <t>Avenida Alphaville</t>
  </si>
  <si>
    <t>634</t>
  </si>
  <si>
    <t>T01 Ap102</t>
  </si>
  <si>
    <t>Alphaville I</t>
  </si>
  <si>
    <t>c82c6dfc1fca6d23e6e8bc9f577f16cd</t>
  </si>
  <si>
    <t>ID-77592131587</t>
  </si>
  <si>
    <t>ORDI6BL3PAYCI6FF</t>
  </si>
  <si>
    <t>luis alberto vargas</t>
  </si>
  <si>
    <t>00618273980</t>
  </si>
  <si>
    <t>luis.vargas@grupovamos.com.br</t>
  </si>
  <si>
    <t>11999184236</t>
  </si>
  <si>
    <t>22795641</t>
  </si>
  <si>
    <t>Avenida Henfil</t>
  </si>
  <si>
    <t>apto 401</t>
  </si>
  <si>
    <t>Recreio dos Bandeirantes</t>
  </si>
  <si>
    <t>72a3c2e4b956bb4aaa09cec94fc2f5ca</t>
  </si>
  <si>
    <t>ID-00618273980</t>
  </si>
  <si>
    <t>ORD1HXKP7KUTLNCH</t>
  </si>
  <si>
    <t>09/02/2026 11:35</t>
  </si>
  <si>
    <t>1ede64f5dcf146c82dc506dd85f7174b</t>
  </si>
  <si>
    <t>ORDKJG2KOS645AQU</t>
  </si>
  <si>
    <t>09/02/2026 11:23</t>
  </si>
  <si>
    <t>Marcio Freire</t>
  </si>
  <si>
    <t>93571607449</t>
  </si>
  <si>
    <t>marcio.freire@grupovamos.com.br</t>
  </si>
  <si>
    <t>11917833314</t>
  </si>
  <si>
    <t>08773330</t>
  </si>
  <si>
    <t>Avenida Mariano Souza Mello</t>
  </si>
  <si>
    <t>580</t>
  </si>
  <si>
    <t>Ap 61A</t>
  </si>
  <si>
    <t>Vila Mogilar</t>
  </si>
  <si>
    <t>Mogi das Cruzes</t>
  </si>
  <si>
    <t>efa1ef005ac3a0c26e89d4964f517d31</t>
  </si>
  <si>
    <t>ID-93571607449</t>
  </si>
  <si>
    <t>ORDB6RAKF0DKNZEM</t>
  </si>
  <si>
    <t>09/02/2026 11:19</t>
  </si>
  <si>
    <t>Cristiano Alves Macedo</t>
  </si>
  <si>
    <t>29127935809</t>
  </si>
  <si>
    <t>cristiano.macedo@grupovamos.com.br</t>
  </si>
  <si>
    <t>11979684731</t>
  </si>
  <si>
    <t>08717725</t>
  </si>
  <si>
    <t>Rua Moacir Rodrigues Lopes</t>
  </si>
  <si>
    <t>Mogi Moderno</t>
  </si>
  <si>
    <t>2e6522d7602053cc441219ee3f3fa12e</t>
  </si>
  <si>
    <t>ID-29127935809</t>
  </si>
  <si>
    <t>ORDQGWGL6Y8WSXW1</t>
  </si>
  <si>
    <t>09/02/2026 11:18</t>
  </si>
  <si>
    <t>b8970cdbae5757c5fad124b6095c6b98</t>
  </si>
  <si>
    <t>ORD0ZC6P8L3YJ0IN</t>
  </si>
  <si>
    <t>09/02/2026 11:11</t>
  </si>
  <si>
    <t>João Flávio Boniaris</t>
  </si>
  <si>
    <t>07046772614</t>
  </si>
  <si>
    <t>joao.boniaris@gmail.com</t>
  </si>
  <si>
    <t>11915671474</t>
  </si>
  <si>
    <t>18074796</t>
  </si>
  <si>
    <t>Rua Maria do Carmo Ribeiro Puglia</t>
  </si>
  <si>
    <t>Horto Florestal</t>
  </si>
  <si>
    <t>Sorocaba</t>
  </si>
  <si>
    <t>ff43aa5505739e2ca270b5217902a505</t>
  </si>
  <si>
    <t>ID-07046772614</t>
  </si>
  <si>
    <t>ORDNDUYYIZ5L7EK0</t>
  </si>
  <si>
    <t>MARCELO RIBEIRO ANTONIO</t>
  </si>
  <si>
    <t>31536718858</t>
  </si>
  <si>
    <t>marcelo.antonio@grupovamos.com.br</t>
  </si>
  <si>
    <t>19994915899</t>
  </si>
  <si>
    <t>13171828</t>
  </si>
  <si>
    <t>Rua João Bosco Foffano Taques</t>
  </si>
  <si>
    <t>260</t>
  </si>
  <si>
    <t>Jardim Macarenko</t>
  </si>
  <si>
    <t>Sumaré</t>
  </si>
  <si>
    <t>8ef13f77ec531643f971b93a7b6d7136</t>
  </si>
  <si>
    <t>ID-31536718858</t>
  </si>
  <si>
    <t>ORDXLHWYX7109Q0R</t>
  </si>
  <si>
    <t>Maria Daiane Silva Pereira</t>
  </si>
  <si>
    <t>40466003811</t>
  </si>
  <si>
    <t>maria.daiane@grupovamos.com.br</t>
  </si>
  <si>
    <t>11988141990</t>
  </si>
  <si>
    <t>09941202</t>
  </si>
  <si>
    <t>Avenida Fábio Eduardo Ramos Esquivel</t>
  </si>
  <si>
    <t>2900</t>
  </si>
  <si>
    <t>Ap 178T10</t>
  </si>
  <si>
    <t>Canhema</t>
  </si>
  <si>
    <t>Diadema</t>
  </si>
  <si>
    <t>3edddfbccb02d5e5bf13b737a9fc91d2</t>
  </si>
  <si>
    <t>ID-40466003811</t>
  </si>
  <si>
    <t>MONICA SIQUEIRA VIANA DA SILVA</t>
  </si>
  <si>
    <t>53240049368</t>
  </si>
  <si>
    <t>monica_siqueira@honda.com.br</t>
  </si>
  <si>
    <t>5592991893530</t>
  </si>
  <si>
    <t>ID-53240049368</t>
  </si>
  <si>
    <t>COM6989E558714A0</t>
  </si>
  <si>
    <t>09/02/2026 10:47</t>
  </si>
  <si>
    <t>f5e9214fb1474802914f8998395a634f</t>
  </si>
  <si>
    <t>COM6989E059904A6</t>
  </si>
  <si>
    <t>09/02/2026 10:25</t>
  </si>
  <si>
    <t>Marcos Viceconte Baptistucci</t>
  </si>
  <si>
    <t>17522263808</t>
  </si>
  <si>
    <t>marcos.baptistucci@randoncorp.com</t>
  </si>
  <si>
    <t>5511940556663</t>
  </si>
  <si>
    <t>0fcb38bf3d6a5925d5e9379875105415</t>
  </si>
  <si>
    <t>ID-17522263808</t>
  </si>
  <si>
    <t>COM6989DCC190FD0</t>
  </si>
  <si>
    <t>09/02/2026 10:10</t>
  </si>
  <si>
    <t>Luiz Azarias</t>
  </si>
  <si>
    <t>07265813642</t>
  </si>
  <si>
    <t>Luiz.azarias@skyone.solutions</t>
  </si>
  <si>
    <t>5555349922494</t>
  </si>
  <si>
    <t>d22c0efcbd60b1c740b8e7cf39226c97</t>
  </si>
  <si>
    <t>ID-07265813642</t>
  </si>
  <si>
    <t>COM6989DB8493118</t>
  </si>
  <si>
    <t>09/02/2026 10:05</t>
  </si>
  <si>
    <t>Julia Festa</t>
  </si>
  <si>
    <t>40243663862</t>
  </si>
  <si>
    <t>julia.festa@skyone.solutions</t>
  </si>
  <si>
    <t>5511974134181</t>
  </si>
  <si>
    <t>49d82b4833723b5ce8d14e141b20ed53</t>
  </si>
  <si>
    <t>ID-40243663862</t>
  </si>
  <si>
    <t>06/02/2026</t>
  </si>
  <si>
    <t>COM698651CD1493C</t>
  </si>
  <si>
    <t>06/02/2026 17:40</t>
  </si>
  <si>
    <t>Palestra Online | M. Dias Branco</t>
  </si>
  <si>
    <t>corporate-palestra-ed4a26</t>
  </si>
  <si>
    <t>Michele Cipriano</t>
  </si>
  <si>
    <t>07.206.816/0001-15</t>
  </si>
  <si>
    <t>M DIAS BRANCO S.A. INDUSTRIA E COMERCIO DE ALIMENTOS</t>
  </si>
  <si>
    <t>michele.cipriano@mdiasbranco.com.br</t>
  </si>
  <si>
    <t>85991366446</t>
  </si>
  <si>
    <t>8540055736</t>
  </si>
  <si>
    <t>61766650</t>
  </si>
  <si>
    <t>BR-116</t>
  </si>
  <si>
    <t>KM 18</t>
  </si>
  <si>
    <t>JABUTI</t>
  </si>
  <si>
    <t>803448a37ae7c99a0bad85f7332bb695</t>
  </si>
  <si>
    <t>06/06/2025</t>
  </si>
  <si>
    <t>ID-07206816000115</t>
  </si>
  <si>
    <t>COM6986463A6830E</t>
  </si>
  <si>
    <t>06/02/2026 16:51</t>
  </si>
  <si>
    <t>Cledson Nascimento</t>
  </si>
  <si>
    <t>13.424.514/0001-16</t>
  </si>
  <si>
    <t>JCA HOLDING TRANSPORTES, LOGISTICA E MOBILIDADE LTDA</t>
  </si>
  <si>
    <t>cledson.nascimento@jcatlm.com.br</t>
  </si>
  <si>
    <t>11985447838</t>
  </si>
  <si>
    <t>2121091024</t>
  </si>
  <si>
    <t>24140005</t>
  </si>
  <si>
    <t>AMARAL PEIXOTO</t>
  </si>
  <si>
    <t>2401</t>
  </si>
  <si>
    <t>ANDAR 3 SALA 312</t>
  </si>
  <si>
    <t>BALDEADOR</t>
  </si>
  <si>
    <t>Niterói</t>
  </si>
  <si>
    <t>Cortesia Cledson - Formação: AI FOR LEADERS.</t>
  </si>
  <si>
    <t>b889008f5db4c46dcc4bfd393e8a5f08</t>
  </si>
  <si>
    <t>ID-13424514000116</t>
  </si>
  <si>
    <t>06/02/2026 16:01</t>
  </si>
  <si>
    <t>Jornada de Aprendizagem e Desenvolvimento | JOL 2026 | OMNI</t>
  </si>
  <si>
    <t>corporate-jornada-ed12a26_pagamento-01</t>
  </si>
  <si>
    <t>Natália Teixeira Pedrozo</t>
  </si>
  <si>
    <t>92.228.410/0001-02</t>
  </si>
  <si>
    <t>OMNI S/A CREDITO FINANCIAMENTO E INVESTIMENTO</t>
  </si>
  <si>
    <t>natalia.pedrozo@omni.com.br</t>
  </si>
  <si>
    <t>1133653500</t>
  </si>
  <si>
    <t>04507120</t>
  </si>
  <si>
    <t>DOUTOR JOAO BORGES FILHO</t>
  </si>
  <si>
    <t>ANDAR 5 CONJ 503</t>
  </si>
  <si>
    <t>04/06/2018</t>
  </si>
  <si>
    <t>ID-92228410000102</t>
  </si>
  <si>
    <t>corporate-jornada-ed12a26_pagamento-02</t>
  </si>
  <si>
    <t>24/06/2026</t>
  </si>
  <si>
    <t>corporate-jornada-ed12a26</t>
  </si>
  <si>
    <t>COM69863A83F1B19</t>
  </si>
  <si>
    <t>OMNI  - Jornada de Aprendizagem e Desenvolvimento | JOL 2026 |</t>
  </si>
  <si>
    <t>ec4d1d7ccc713f1af9dc6a5210e63d50</t>
  </si>
  <si>
    <t>COM69861D714064D</t>
  </si>
  <si>
    <t>06/02/2026 13:57</t>
  </si>
  <si>
    <t>Download NRF 2026 - 28 de Janeiro 2026</t>
  </si>
  <si>
    <t>talk-online-internacional-ed1a26</t>
  </si>
  <si>
    <t>Mateus de Melo Araujo</t>
  </si>
  <si>
    <t>mateusa@sebraemg.com.br</t>
  </si>
  <si>
    <t>9c6ca8ad7ca75bd2b73c48e75bd1d7af</t>
  </si>
  <si>
    <t>28/01/2026</t>
  </si>
  <si>
    <t>COM69861BB621FEF</t>
  </si>
  <si>
    <t>06/02/2026 13:49</t>
  </si>
  <si>
    <t>Ricardo Rodrigues</t>
  </si>
  <si>
    <t>ricardo.2.rodrigues@gm.com</t>
  </si>
  <si>
    <t>7488aab484f79957ab26cd62562506c7</t>
  </si>
  <si>
    <t>COM698619EE4048B</t>
  </si>
  <si>
    <t>06/02/2026 13:42</t>
  </si>
  <si>
    <t>Viviane Santos</t>
  </si>
  <si>
    <t>Santos_Viviane_R@cat.com</t>
  </si>
  <si>
    <t>19997718823</t>
  </si>
  <si>
    <t>1921062100</t>
  </si>
  <si>
    <t>LUIZ DE QUEIROZ KM 157</t>
  </si>
  <si>
    <t>KM 157</t>
  </si>
  <si>
    <t>UNILESTE</t>
  </si>
  <si>
    <t>Caterpillar</t>
  </si>
  <si>
    <t>e87058ab82b5031b73672accaf11ca3d</t>
  </si>
  <si>
    <t>ORDWNAO7AYDGJ0MJ</t>
  </si>
  <si>
    <t>06/02/2026 11:13</t>
  </si>
  <si>
    <t>Jose Alberto Ferreira Xavier</t>
  </si>
  <si>
    <t>00612947807</t>
  </si>
  <si>
    <t>xavier@tribanco.com.br</t>
  </si>
  <si>
    <t>11995613099</t>
  </si>
  <si>
    <t>02611001</t>
  </si>
  <si>
    <t>Avenida Parada Pinto</t>
  </si>
  <si>
    <t>3696</t>
  </si>
  <si>
    <t>123A</t>
  </si>
  <si>
    <t>Vila Nova Cachoeirinha</t>
  </si>
  <si>
    <t>8a8c27f85309f46e8d019ddc752e7ab9</t>
  </si>
  <si>
    <t>ID-00612947807</t>
  </si>
  <si>
    <t>ORDVJ0E3M2HQDZF8</t>
  </si>
  <si>
    <t>06/02/2026 10:59</t>
  </si>
  <si>
    <t>3b14dad22b91e026d31cf428f82f70c7</t>
  </si>
  <si>
    <t>ORDS4783LW5XCFYQ</t>
  </si>
  <si>
    <t>05/02/2026 18:37</t>
  </si>
  <si>
    <t>05/02/2026</t>
  </si>
  <si>
    <t>Anizio Wanderley Filho</t>
  </si>
  <si>
    <t>04231529639</t>
  </si>
  <si>
    <t>awfilho@tribanco.com.br</t>
  </si>
  <si>
    <t>21967722386</t>
  </si>
  <si>
    <t>38412880</t>
  </si>
  <si>
    <t>Alameda José de Oliveira</t>
  </si>
  <si>
    <t>220</t>
  </si>
  <si>
    <t>casa</t>
  </si>
  <si>
    <t>Jardim Holanda</t>
  </si>
  <si>
    <t>35404e1762589a09485950a6dad9a4f9</t>
  </si>
  <si>
    <t>09/10/2025</t>
  </si>
  <si>
    <t>ID-04231529639</t>
  </si>
  <si>
    <t>ORDSC0MGNF81GBTT</t>
  </si>
  <si>
    <t>05/02/2026 17:36</t>
  </si>
  <si>
    <t>Dimas Manoel Leonardo Neto Leonardo</t>
  </si>
  <si>
    <t>29619340876</t>
  </si>
  <si>
    <t>dneto@tribanco.com.br</t>
  </si>
  <si>
    <t>34992990429</t>
  </si>
  <si>
    <t>38410614</t>
  </si>
  <si>
    <t>Rua Itutinga</t>
  </si>
  <si>
    <t>201</t>
  </si>
  <si>
    <t>Granada</t>
  </si>
  <si>
    <t>cc7d8122b53c69dcf785e0b42f2a6b96</t>
  </si>
  <si>
    <t>ID-29619340876</t>
  </si>
  <si>
    <t>COM6984D7C42CE95</t>
  </si>
  <si>
    <t>05/02/2026 14:47</t>
  </si>
  <si>
    <t>Silvia Alegro Duarte</t>
  </si>
  <si>
    <t>28904507839</t>
  </si>
  <si>
    <t>Silvia.alegro@antilha.com.br</t>
  </si>
  <si>
    <t>4e31c9b8ce4c16210dcdef3abfc0d3c8</t>
  </si>
  <si>
    <t>ID-28904507839</t>
  </si>
  <si>
    <t>ORDH49GUNQ72WF9L</t>
  </si>
  <si>
    <t>05/02/2026 14:28</t>
  </si>
  <si>
    <t>Marcos Paulo Ortolani</t>
  </si>
  <si>
    <t>29541785824</t>
  </si>
  <si>
    <t>ortolani@tribanco.com.br</t>
  </si>
  <si>
    <t>11997005613</t>
  </si>
  <si>
    <t>09220608</t>
  </si>
  <si>
    <t>Rua Ibatiba</t>
  </si>
  <si>
    <t>123</t>
  </si>
  <si>
    <t>CS 79</t>
  </si>
  <si>
    <t>Vila Metalúrgica</t>
  </si>
  <si>
    <t>Santo André</t>
  </si>
  <si>
    <t>fb59fc6436ba64a40ee063c9924feba9</t>
  </si>
  <si>
    <t>ID-29541785824</t>
  </si>
  <si>
    <t>COM69D52C9480ADF</t>
  </si>
  <si>
    <t>05/02/2026 13:11</t>
  </si>
  <si>
    <t>GTC Nvidia Oracle</t>
  </si>
  <si>
    <t>cb103feff0c2f69c41b1ee7f8bec7dbc</t>
  </si>
  <si>
    <t>https://loja.startse.com.br//processamento/fatura/cb103feff0c2f69c41b1ee7f8bec7dbc</t>
  </si>
  <si>
    <t>ORDWI2G7BREC3K08</t>
  </si>
  <si>
    <t>05/02/2026 12:10</t>
  </si>
  <si>
    <t>ERNANI CARVALHO COUTINHO NETO</t>
  </si>
  <si>
    <t>62065041404</t>
  </si>
  <si>
    <t>eneto@tribanco.com.br</t>
  </si>
  <si>
    <t>85999213458</t>
  </si>
  <si>
    <t>60192055</t>
  </si>
  <si>
    <t>Rua Bento Albuquerque</t>
  </si>
  <si>
    <t>895</t>
  </si>
  <si>
    <t>Apt 1002</t>
  </si>
  <si>
    <t>Cocó</t>
  </si>
  <si>
    <t>ffee30b070f3e40e57b57d14572de572</t>
  </si>
  <si>
    <t>ID-62065041404</t>
  </si>
  <si>
    <t>ORDHREUBEOFMARD2</t>
  </si>
  <si>
    <t>05/02/2026 10:20</t>
  </si>
  <si>
    <t>Av. das Nações Unidas</t>
  </si>
  <si>
    <t>Brooklin Novo</t>
  </si>
  <si>
    <t>9a2f1f2f987e16d16f687752d255afa0</t>
  </si>
  <si>
    <t>Cortesia_StartSe</t>
  </si>
  <si>
    <t>ORDGE1FAN5CUZMWL</t>
  </si>
  <si>
    <t>05/02/2026 10:18</t>
  </si>
  <si>
    <t>v. das Nações Unidas</t>
  </si>
  <si>
    <t>228ca7665ee69fea1b5656268c2022c6</t>
  </si>
  <si>
    <t>ORDEWSEV2MCP6LWD</t>
  </si>
  <si>
    <t>04/02/2026 20:48</t>
  </si>
  <si>
    <t>04/02/2026</t>
  </si>
  <si>
    <t>Gustavo Martin Macedo solivellas</t>
  </si>
  <si>
    <t>87145693615</t>
  </si>
  <si>
    <t>gsolivel@tribanco.com.br</t>
  </si>
  <si>
    <t>5562998357107</t>
  </si>
  <si>
    <t>74230030</t>
  </si>
  <si>
    <t>Avenida T 4</t>
  </si>
  <si>
    <t>1278</t>
  </si>
  <si>
    <t>1703</t>
  </si>
  <si>
    <t>215691802b79f87ab1c278f217e32c99</t>
  </si>
  <si>
    <t>ID-87145693615</t>
  </si>
  <si>
    <t>COM6983B677751EF</t>
  </si>
  <si>
    <t>04/02/2026 18:13</t>
  </si>
  <si>
    <t>Talks Executive Program</t>
  </si>
  <si>
    <t>96fa9061fc04d9e2801a3ac58b51cad3</t>
  </si>
  <si>
    <t>ORDYW09RO5ZU4PFR</t>
  </si>
  <si>
    <t>04/02/2026 16:37</t>
  </si>
  <si>
    <t>JOVAM VALMOR SAUGO</t>
  </si>
  <si>
    <t>02198810069</t>
  </si>
  <si>
    <t>jsaugo@tribanco.com.br</t>
  </si>
  <si>
    <t>5567998783955</t>
  </si>
  <si>
    <t>79040180</t>
  </si>
  <si>
    <t>Rua Santa Cecília</t>
  </si>
  <si>
    <t>278</t>
  </si>
  <si>
    <t>bloco 9 - apto 101</t>
  </si>
  <si>
    <t>Vila Miguel Couto</t>
  </si>
  <si>
    <t>Campo Grande</t>
  </si>
  <si>
    <t>MS</t>
  </si>
  <si>
    <t>5e2bbef84817481cc6e96b4fb93949a6</t>
  </si>
  <si>
    <t>ID-02198810069</t>
  </si>
  <si>
    <t>ORDHMG1LGO6P95IT</t>
  </si>
  <si>
    <t>04/02/2026 16:03</t>
  </si>
  <si>
    <t>Jefferson Macena Rocha</t>
  </si>
  <si>
    <t>05789238661</t>
  </si>
  <si>
    <t>jmrocha@tribanco.com.br</t>
  </si>
  <si>
    <t>5534998790048</t>
  </si>
  <si>
    <t>38411161</t>
  </si>
  <si>
    <t>Avenida Landscape</t>
  </si>
  <si>
    <t>3125</t>
  </si>
  <si>
    <t>Bloco 2 AP 901</t>
  </si>
  <si>
    <t>Gávea</t>
  </si>
  <si>
    <t>2a65e51fd39daf88c87c16b918b2a925</t>
  </si>
  <si>
    <t>ID-05789238661</t>
  </si>
  <si>
    <t>ORDZBPKM2TPH0I3U</t>
  </si>
  <si>
    <t>04/02/2026 15:57</t>
  </si>
  <si>
    <t>28974115835FKTSO97GE</t>
  </si>
  <si>
    <t>Juliana Afonseca</t>
  </si>
  <si>
    <t>04497711641</t>
  </si>
  <si>
    <t>juliana@algar.com.br</t>
  </si>
  <si>
    <t>5534991132515</t>
  </si>
  <si>
    <t>38406064</t>
  </si>
  <si>
    <t>Rua Antônio Francisco Rosa</t>
  </si>
  <si>
    <t>231</t>
  </si>
  <si>
    <t>Qd 7 Lte 19</t>
  </si>
  <si>
    <t>Aclimação</t>
  </si>
  <si>
    <t>787af35a367a7dcd971cdd9da0be6ba3</t>
  </si>
  <si>
    <t>Cupom_Platinum_RH</t>
  </si>
  <si>
    <t>ID-04497711641</t>
  </si>
  <si>
    <t>COM69837B7CBE1F1</t>
  </si>
  <si>
    <t>04/02/2026 14:01</t>
  </si>
  <si>
    <t>Sergio Mena Barreto</t>
  </si>
  <si>
    <t>36677019349</t>
  </si>
  <si>
    <t>sergio@abrafarma.com.br</t>
  </si>
  <si>
    <t>5511968464600</t>
  </si>
  <si>
    <t>54d6e8011f13d848e610ca05766649f8</t>
  </si>
  <si>
    <t>23/01/2023</t>
  </si>
  <si>
    <t>ID-36677019349</t>
  </si>
  <si>
    <t>ORDYDZMNNI69LUF3</t>
  </si>
  <si>
    <t>03/02/2026 19:53</t>
  </si>
  <si>
    <t>03/02/2026</t>
  </si>
  <si>
    <t>Eloane Menezes Ramos</t>
  </si>
  <si>
    <t>41455037591</t>
  </si>
  <si>
    <t>eloane@tribanco.com.br</t>
  </si>
  <si>
    <t>5571999429681</t>
  </si>
  <si>
    <t>41760160</t>
  </si>
  <si>
    <t>Rua Coronel Durval Mattos</t>
  </si>
  <si>
    <t>1239</t>
  </si>
  <si>
    <t>Edf Juliana ap 103</t>
  </si>
  <si>
    <t>Costa Azul</t>
  </si>
  <si>
    <t>f6c58711ecc92995d8f13ae3ebc8a589</t>
  </si>
  <si>
    <t>ID-41455037591</t>
  </si>
  <si>
    <t>COM698265A6360F5</t>
  </si>
  <si>
    <t>03/02/2026 18:16</t>
  </si>
  <si>
    <t>Carlos Henrique Ramos Fonseca</t>
  </si>
  <si>
    <t>28864590978</t>
  </si>
  <si>
    <t>cfonseca@sc.sebrae.com.br</t>
  </si>
  <si>
    <t>5548999817773</t>
  </si>
  <si>
    <t>88030-000</t>
  </si>
  <si>
    <t>Rodovia José Carlos Daux</t>
  </si>
  <si>
    <t>600</t>
  </si>
  <si>
    <t>João Paulo</t>
  </si>
  <si>
    <t>Florianópolis</t>
  </si>
  <si>
    <t>db3aaf952f5b5b5d5502c152c2e620b5</t>
  </si>
  <si>
    <t>ID-28864590978</t>
  </si>
  <si>
    <t>ORD2BBXCF5DNGKZG</t>
  </si>
  <si>
    <t>03/02/2026 16:31</t>
  </si>
  <si>
    <t>MURILO ALVES SANTOS</t>
  </si>
  <si>
    <t>08284742659</t>
  </si>
  <si>
    <t>murilos@tribanco.com.br</t>
  </si>
  <si>
    <t>5534999827776</t>
  </si>
  <si>
    <t>38411638</t>
  </si>
  <si>
    <t>Rua Agata</t>
  </si>
  <si>
    <t>175</t>
  </si>
  <si>
    <t>Jardim Inconfidência</t>
  </si>
  <si>
    <t>2dec0c560c96660cd1ad0c2d2178f609</t>
  </si>
  <si>
    <t>ID-08284742659</t>
  </si>
  <si>
    <t>ORDNQRTZNHG2168G</t>
  </si>
  <si>
    <t>02/02/2026 19:14</t>
  </si>
  <si>
    <t>02/02/2026</t>
  </si>
  <si>
    <t>Lorrayne Silva Nogueira</t>
  </si>
  <si>
    <t>08980392664</t>
  </si>
  <si>
    <t>silval@tribanco.com.br</t>
  </si>
  <si>
    <t>5534991064896</t>
  </si>
  <si>
    <t>38405102</t>
  </si>
  <si>
    <t>Rua Venezuela</t>
  </si>
  <si>
    <t>1141</t>
  </si>
  <si>
    <t>Tibery</t>
  </si>
  <si>
    <t>8d373f4405efba7db540ad61e563466f</t>
  </si>
  <si>
    <t>ID-08980392664</t>
  </si>
  <si>
    <t>COM6981177317CF4</t>
  </si>
  <si>
    <t>02/02/2026 18:30</t>
  </si>
  <si>
    <t>RODRIGO VINICIUS DA CUNHA BARRETO</t>
  </si>
  <si>
    <t>02670985610</t>
  </si>
  <si>
    <t>rodrigo.barreto@grupovamos.com.br</t>
  </si>
  <si>
    <t>AI for leaders Cortesia Vamos</t>
  </si>
  <si>
    <t>93248c04a698d74a9b6d7fe75a1a077f</t>
  </si>
  <si>
    <t>ID-02670985610</t>
  </si>
  <si>
    <t>ORDSUBS1GAIWPLT9</t>
  </si>
  <si>
    <t>02/02/2026 18:13</t>
  </si>
  <si>
    <t>Adalberto Fernandes da Silva Junior</t>
  </si>
  <si>
    <t>47224975400</t>
  </si>
  <si>
    <t>asilva@tribanco.com.br</t>
  </si>
  <si>
    <t>5581997376009</t>
  </si>
  <si>
    <t>52041305</t>
  </si>
  <si>
    <t>Rua Amaro Coutinho</t>
  </si>
  <si>
    <t>531</t>
  </si>
  <si>
    <t>Apto 3401</t>
  </si>
  <si>
    <t>Rosarinho</t>
  </si>
  <si>
    <t>573f1058ee273676b4b1790496f5f626</t>
  </si>
  <si>
    <t>ID-47224975400</t>
  </si>
  <si>
    <t>ORDSVALVXZ3YC3DC</t>
  </si>
  <si>
    <t>02/02/2026 15:51</t>
  </si>
  <si>
    <t>sival@tribanco.com.br</t>
  </si>
  <si>
    <t>f0715cd0dc21b1a0516582d3aa45653b</t>
  </si>
  <si>
    <t>ORDDZ5MN3Z5O7335</t>
  </si>
  <si>
    <t>02/02/2026 15:44</t>
  </si>
  <si>
    <t>39d844417cae8a5ad2e9aaa84c8914f1</t>
  </si>
  <si>
    <t>ORD636UK9KDJ8JBZ</t>
  </si>
  <si>
    <t>02/02/2026 14:56</t>
  </si>
  <si>
    <t>Edimilson Antonio Silva</t>
  </si>
  <si>
    <t>01031704647</t>
  </si>
  <si>
    <t>edsilva@tribanco.com.br</t>
  </si>
  <si>
    <t>5534996588182</t>
  </si>
  <si>
    <t>38401280</t>
  </si>
  <si>
    <t>Rua Pixinguinha</t>
  </si>
  <si>
    <t>144</t>
  </si>
  <si>
    <t>07129de8e22c10211b32be08f0377f6b</t>
  </si>
  <si>
    <t>ID-01031704647</t>
  </si>
  <si>
    <t>ORDYEX2UDV4RXQSK</t>
  </si>
  <si>
    <t>30/01/2026 20:23</t>
  </si>
  <si>
    <t>30/01/2026</t>
  </si>
  <si>
    <t>28974115835FG8K47E0E</t>
  </si>
  <si>
    <t>Janete Lima Barbosa</t>
  </si>
  <si>
    <t>45587181871</t>
  </si>
  <si>
    <t>janete.barbosa1@br.nestle.com</t>
  </si>
  <si>
    <t>5511982680514</t>
  </si>
  <si>
    <t>04730090</t>
  </si>
  <si>
    <t>Avenida Nacoes Unidas</t>
  </si>
  <si>
    <t>17007</t>
  </si>
  <si>
    <t>28 andar</t>
  </si>
  <si>
    <t>Varzea de Baixo</t>
  </si>
  <si>
    <t>SÃO PAULO</t>
  </si>
  <si>
    <t>b20bd2102c2eac1aa2221df98328a3ba</t>
  </si>
  <si>
    <t>Explorer-NewBrokers</t>
  </si>
  <si>
    <t>ID-45587181871</t>
  </si>
  <si>
    <t>ORDAMOYFQ0JSWLK8</t>
  </si>
  <si>
    <t>30/01/2026 20:02</t>
  </si>
  <si>
    <t>Elemer Ricardo Castro Carneiro</t>
  </si>
  <si>
    <t>42838657100</t>
  </si>
  <si>
    <t>elemer@tribanco.com.br</t>
  </si>
  <si>
    <t>5561992729741</t>
  </si>
  <si>
    <t>Condomínio Vivendas Bela Vista D 04</t>
  </si>
  <si>
    <t>D 04</t>
  </si>
  <si>
    <t>e1a450653ec86140bbe9760c1dc53eec</t>
  </si>
  <si>
    <t>ID-42838657100</t>
  </si>
  <si>
    <t>COM697D30D07C4B3</t>
  </si>
  <si>
    <t>30/01/2026 19:29</t>
  </si>
  <si>
    <t>31/01/2026</t>
  </si>
  <si>
    <t>Pré Pago - Melhor Escolha - China Xperience</t>
  </si>
  <si>
    <t>melhor-escolha-china-xperience_pre</t>
  </si>
  <si>
    <t>04.088.208/0001-65</t>
  </si>
  <si>
    <t>SEM PARAR INSTITUICAO DE PAGAMENTO LTDA</t>
  </si>
  <si>
    <t>11976111062</t>
  </si>
  <si>
    <t>1145732300</t>
  </si>
  <si>
    <t>05425902</t>
  </si>
  <si>
    <t>Avenida Dra Ruth Cardoso</t>
  </si>
  <si>
    <t>7221</t>
  </si>
  <si>
    <t>Andar 17 18 19 e 26 Parte</t>
  </si>
  <si>
    <t>Pinheiros</t>
  </si>
  <si>
    <t>6 Vagas Imersão China Maio | Turma aberta</t>
  </si>
  <si>
    <t>7b3c5c8dc91934c361ddcb76bfc0fc88</t>
  </si>
  <si>
    <t>01/01/2099</t>
  </si>
  <si>
    <t>https://loja.startse.com.br//processamento/fatura/7b3c5c8dc91934c361ddcb76bfc0fc88</t>
  </si>
  <si>
    <t>01/12/2017</t>
  </si>
  <si>
    <t>ID-04088208000165</t>
  </si>
  <si>
    <t>COM697D2DE0BB0C4</t>
  </si>
  <si>
    <t>30/01/2026 19:17</t>
  </si>
  <si>
    <t>Laura Rios Di Cicco</t>
  </si>
  <si>
    <t>61.190.096/0008-69</t>
  </si>
  <si>
    <t>EUROFARMA LABORATORIOS S.A.</t>
  </si>
  <si>
    <t>laura.cicco@eurofarma.com</t>
  </si>
  <si>
    <t>11995637301</t>
  </si>
  <si>
    <t>1150908600</t>
  </si>
  <si>
    <t>06696000</t>
  </si>
  <si>
    <t>PRESIDENTE CASTELO BRANCO</t>
  </si>
  <si>
    <t>3565</t>
  </si>
  <si>
    <t>INGAHI</t>
  </si>
  <si>
    <t>Itapevi</t>
  </si>
  <si>
    <t>3 Vagas Imersão China Health | 01 a 05/06/2026
Nº / Data Emissão
4500838273 / 20.01.2026</t>
  </si>
  <si>
    <t>528ed7aca6c35f5ff13dada7fbed2b70</t>
  </si>
  <si>
    <t>https://loja.startse.com.br//processamento/fatura/528ed7aca6c35f5ff13dada7fbed2b70</t>
  </si>
  <si>
    <t>ID-61190096000869</t>
  </si>
  <si>
    <t>COM697D1E1BCBFE9</t>
  </si>
  <si>
    <t>30/01/2026 18:09</t>
  </si>
  <si>
    <t>IRB - AI SPRINT</t>
  </si>
  <si>
    <t>consulting-ai-sprint-ed2a26_pagamento-01</t>
  </si>
  <si>
    <t>Guilherme Coelho Neves</t>
  </si>
  <si>
    <t>33.376.989/0001-91</t>
  </si>
  <si>
    <t>IRB-BRASIL RESSEGUROS S.A.</t>
  </si>
  <si>
    <t>guilherme.neves@irbre.com</t>
  </si>
  <si>
    <t>21987828821</t>
  </si>
  <si>
    <t>2122720806</t>
  </si>
  <si>
    <t>TORRE LESTE 3 E 4 ANDAR</t>
  </si>
  <si>
    <t>dca69965bc214cf65cbed37a43ff9512</t>
  </si>
  <si>
    <t>24/11/2018</t>
  </si>
  <si>
    <t>ID-33376989000191</t>
  </si>
  <si>
    <t>consulting-ai-sprint-ed2a26_pagamento-02</t>
  </si>
  <si>
    <t>consulting-ai-sprint-ed2a26_pagamento-03</t>
  </si>
  <si>
    <t>Volkswagen - Consultoria IA</t>
  </si>
  <si>
    <t>11996859555</t>
  </si>
  <si>
    <t>COM697D16781734A</t>
  </si>
  <si>
    <t>30/01/2026 17:37</t>
  </si>
  <si>
    <t>Volkswagen - Contrato Guarda-chuva</t>
  </si>
  <si>
    <t>corporate-melhor-escolha-ed5a26</t>
  </si>
  <si>
    <t>Volkswagen - Contrato Guarda-chuva Observação de solicitação de cancelamento: Guid precisou ser cancelada pois criamos uma NOVA com o valor de desconto aplicado conforme vendedor deu na proposta comercial</t>
  </si>
  <si>
    <t>15facb4cc90bac146f4f67468788337b</t>
  </si>
  <si>
    <t>COM699EE994611F0</t>
  </si>
  <si>
    <t>Workshop Marketing | Volkswagen</t>
  </si>
  <si>
    <t>corporate-workshop-ed16a26</t>
  </si>
  <si>
    <t>Workshop Marketing LAM | Volkswagen</t>
  </si>
  <si>
    <t>bdfcf9cf9ea82b1c4b13c8d3013378b8</t>
  </si>
  <si>
    <t>COM69B9C41CAFD18</t>
  </si>
  <si>
    <t>Workshop SLD | Volkswagen</t>
  </si>
  <si>
    <t>corporate-workshop-ed20a26</t>
  </si>
  <si>
    <t>tatiana.costa@volkswagen.com.br</t>
  </si>
  <si>
    <t>Workshop SLD - 1 dia - Volkswagen LAM</t>
  </si>
  <si>
    <t>406b5f79d42be7d12567f027449034eb</t>
  </si>
  <si>
    <t>COM69BA993276F2C</t>
  </si>
  <si>
    <t>c1a4342fcb6f84323fe943e26c21cbcd</t>
  </si>
  <si>
    <t>COM69F2180C2E086</t>
  </si>
  <si>
    <t>corporate-melhor-escolha-ed5a26_entrega1</t>
  </si>
  <si>
    <t>6 vagas do StartSe Executive Program</t>
  </si>
  <si>
    <t>0b514feda63864006a30aac7db417a90</t>
  </si>
  <si>
    <t>27/04/2099</t>
  </si>
  <si>
    <t>COM69F2197529B4C</t>
  </si>
  <si>
    <t>corporate-melhor-escolha-ed5a26_entrega2</t>
  </si>
  <si>
    <t>60 vagas do IA para Negócios - StartSe</t>
  </si>
  <si>
    <t>b8615f0d5dbcb36a46d5bbb102b4a7dd</t>
  </si>
  <si>
    <t>ORDCXZQW4M0VHHSJ</t>
  </si>
  <si>
    <t>30/01/2026 17:35</t>
  </si>
  <si>
    <t>maria j p da silva</t>
  </si>
  <si>
    <t>93632134472</t>
  </si>
  <si>
    <t>mjsilva@tribanco.com.br</t>
  </si>
  <si>
    <t>5583981898138</t>
  </si>
  <si>
    <t>50721290</t>
  </si>
  <si>
    <t>Rio Capibaribe N</t>
  </si>
  <si>
    <t>cs 01</t>
  </si>
  <si>
    <t>Cordeiro</t>
  </si>
  <si>
    <t>89ec6110ed54102823db16cfa93311b8</t>
  </si>
  <si>
    <t>ID-93632134472</t>
  </si>
  <si>
    <t>ORDE7LTLVASPANZB</t>
  </si>
  <si>
    <t>30/01/2026 17:24</t>
  </si>
  <si>
    <t>KARINA TOBIAS DA SILVA MELO</t>
  </si>
  <si>
    <t>03928431617</t>
  </si>
  <si>
    <t>karinam@tribancoseguros.com.br</t>
  </si>
  <si>
    <t>5534999760393</t>
  </si>
  <si>
    <t>38411358</t>
  </si>
  <si>
    <t>Rua Aracaty</t>
  </si>
  <si>
    <t>140</t>
  </si>
  <si>
    <t>Jardim Karaíba</t>
  </si>
  <si>
    <t>7971124db698e786a6ef094464fe690f</t>
  </si>
  <si>
    <t>ID-03928431617</t>
  </si>
  <si>
    <t>Sara Dall Agnol</t>
  </si>
  <si>
    <t>SERVIÇO NACIONAL DE APRENDIZAGEM DO COOPERATIVISMO DO ESTADO DO RIO GRANDE DO SUL – SESCOOP/RS</t>
  </si>
  <si>
    <t>sara.dallagnol@unimedrs.coop.br</t>
  </si>
  <si>
    <t>51998341876</t>
  </si>
  <si>
    <t>ORD2GDDRSCZ11XE7</t>
  </si>
  <si>
    <t>30/01/2026 17:13</t>
  </si>
  <si>
    <t>Hilejhanne de Paula Alves</t>
  </si>
  <si>
    <t>04739621606</t>
  </si>
  <si>
    <t>halves@tribancoseguros.com.br</t>
  </si>
  <si>
    <t>5534998129500</t>
  </si>
  <si>
    <t>38408648</t>
  </si>
  <si>
    <t>Rua Leopoldo Bulhões</t>
  </si>
  <si>
    <t>274</t>
  </si>
  <si>
    <t>Pampulha</t>
  </si>
  <si>
    <t>1de57782da86ed37d681cd7f938377f6</t>
  </si>
  <si>
    <t>ID-04739621606</t>
  </si>
  <si>
    <t>ORDK5YMSA5VFU61K</t>
  </si>
  <si>
    <t>30/01/2026 16:35</t>
  </si>
  <si>
    <t>Vinicius Serafim dos Anjos</t>
  </si>
  <si>
    <t>95094083104</t>
  </si>
  <si>
    <t>vserafim@tribanco.com.br</t>
  </si>
  <si>
    <t>5562999515595</t>
  </si>
  <si>
    <t>74922305</t>
  </si>
  <si>
    <t>Rua X 35</t>
  </si>
  <si>
    <t>Qd 20 Lt 43</t>
  </si>
  <si>
    <t>Jardim Olímpico</t>
  </si>
  <si>
    <t>Aparecida de Goiânia</t>
  </si>
  <si>
    <t>2c7e7b554559cf7154e83e3c91242799</t>
  </si>
  <si>
    <t>24/04/2023</t>
  </si>
  <si>
    <t>ID-95094083104</t>
  </si>
  <si>
    <t>ORDCZA6JRR88QHHT</t>
  </si>
  <si>
    <t>30/01/2026 16:34</t>
  </si>
  <si>
    <t>Alfeu de Olveira Jácome</t>
  </si>
  <si>
    <t>82803471604</t>
  </si>
  <si>
    <t>alfeu@tricard.com.br</t>
  </si>
  <si>
    <t>5534999919329</t>
  </si>
  <si>
    <t>38408268</t>
  </si>
  <si>
    <t>Rua Lourdes de Carvalho</t>
  </si>
  <si>
    <t>1615</t>
  </si>
  <si>
    <t>Segismundo Pereira</t>
  </si>
  <si>
    <t>6a458e336358a3123fad25398ab569be</t>
  </si>
  <si>
    <t>ID-82803471604</t>
  </si>
  <si>
    <t>ORDCG93FN167RQG5</t>
  </si>
  <si>
    <t>30/01/2026 16:31</t>
  </si>
  <si>
    <t>FELIPE PITHAN</t>
  </si>
  <si>
    <t>96143070059</t>
  </si>
  <si>
    <t>fpithan@tribanco.com.br</t>
  </si>
  <si>
    <t>5548991260488</t>
  </si>
  <si>
    <t>88025000</t>
  </si>
  <si>
    <t>Rua Frei Caneca</t>
  </si>
  <si>
    <t>802</t>
  </si>
  <si>
    <t>Agronômica</t>
  </si>
  <si>
    <t>939ccc4d54b39f6115fdb009dab6f857</t>
  </si>
  <si>
    <t>ID-96143070059</t>
  </si>
  <si>
    <t>ORDG555MR1VE0LH9</t>
  </si>
  <si>
    <t>30/01/2026 16:28</t>
  </si>
  <si>
    <t>alfeu@tribanco.com.br</t>
  </si>
  <si>
    <t>c72df346099e62d037d35f25459bdc57</t>
  </si>
  <si>
    <t>ORDQUPBZ2PTI14OD</t>
  </si>
  <si>
    <t>30/01/2026 16:16</t>
  </si>
  <si>
    <t>Germano Miranda Duarte</t>
  </si>
  <si>
    <t>00404264166</t>
  </si>
  <si>
    <t>gduarte@tribanco.com.br</t>
  </si>
  <si>
    <t>5534988298768</t>
  </si>
  <si>
    <t>38405358</t>
  </si>
  <si>
    <t>Rua Maria José Durães</t>
  </si>
  <si>
    <t>350</t>
  </si>
  <si>
    <t>Alto Umuarama</t>
  </si>
  <si>
    <t>cf02fe84c6c25d43439f1afb2aaed7ab</t>
  </si>
  <si>
    <t>ID-00404264166</t>
  </si>
  <si>
    <t>ORDH45D8S146LQL6</t>
  </si>
  <si>
    <t>30/01/2026 16:11</t>
  </si>
  <si>
    <t>28974115835FG8JO2CAE</t>
  </si>
  <si>
    <t>Fabiana Esteves</t>
  </si>
  <si>
    <t>41725126826</t>
  </si>
  <si>
    <t>fabiana.esteves@br.nestle.com</t>
  </si>
  <si>
    <t>5511963276989</t>
  </si>
  <si>
    <t>04043400</t>
  </si>
  <si>
    <t>Rua Luís Góis</t>
  </si>
  <si>
    <t>2073</t>
  </si>
  <si>
    <t>Gerente de Talent Aquisition &amp;amp;amp; Employer Branding</t>
  </si>
  <si>
    <t>Mirandópolis</t>
  </si>
  <si>
    <t>a6c599e4399ddc743be141883557c42f</t>
  </si>
  <si>
    <t>24/03/2025</t>
  </si>
  <si>
    <t>ID-41725126826</t>
  </si>
  <si>
    <t>ORDHZ0CKO1FCUD18</t>
  </si>
  <si>
    <t>RODRIGO LINS</t>
  </si>
  <si>
    <t>22741714835</t>
  </si>
  <si>
    <t>rlins@tribanco.com.br</t>
  </si>
  <si>
    <t>5511999210489</t>
  </si>
  <si>
    <t>60ac3d4dd088fab3a39880fcbf74f9bb</t>
  </si>
  <si>
    <t>ID-22741714835</t>
  </si>
  <si>
    <t>ORDE2GZ60E2YZN7Z</t>
  </si>
  <si>
    <t>30/01/2026 16:06</t>
  </si>
  <si>
    <t>FABIO AUGUSTO LIMA SANTOS</t>
  </si>
  <si>
    <t>00792990404</t>
  </si>
  <si>
    <t>fabioa@tribanco.com.br</t>
  </si>
  <si>
    <t>5582999285060</t>
  </si>
  <si>
    <t>57035250</t>
  </si>
  <si>
    <t>Avenida Senador Rui Palmeira</t>
  </si>
  <si>
    <t>707</t>
  </si>
  <si>
    <t>AP 702</t>
  </si>
  <si>
    <t>Ponta Verde</t>
  </si>
  <si>
    <t>Maceió</t>
  </si>
  <si>
    <t>AL</t>
  </si>
  <si>
    <t>7e71969fe7c91fd2bce4d2a49da38e8c</t>
  </si>
  <si>
    <t>ID-00792990404</t>
  </si>
  <si>
    <t>ORDDN7SY5I3F2COY</t>
  </si>
  <si>
    <t>30/01/2026 16:02</t>
  </si>
  <si>
    <t>ANDERSON MOREIRA ULHÔA</t>
  </si>
  <si>
    <t>04301266623</t>
  </si>
  <si>
    <t>andersmu@tribanco.com.br</t>
  </si>
  <si>
    <t>5534991246015</t>
  </si>
  <si>
    <t>BANCO</t>
  </si>
  <si>
    <t>d7e9d5f31d3581c3feec07d23c7daf8e</t>
  </si>
  <si>
    <t>ORDRD5DSNIVCQXCG</t>
  </si>
  <si>
    <t>30/01/2026 16:01</t>
  </si>
  <si>
    <t>Simoniza Lucia Moreira LInhares</t>
  </si>
  <si>
    <t>98647113691</t>
  </si>
  <si>
    <t>simoniza@tribanco.com.br</t>
  </si>
  <si>
    <t>5534999790731</t>
  </si>
  <si>
    <t>-</t>
  </si>
  <si>
    <t>6c97767dfb4cdfaa37aa1f94d7c5e510</t>
  </si>
  <si>
    <t>ORD1XN0AJQI72B30</t>
  </si>
  <si>
    <t>30/01/2026 15:53</t>
  </si>
  <si>
    <t>ea0c883622d2d28b4f2844b92e242b1e</t>
  </si>
  <si>
    <t>COM69D5491D81027</t>
  </si>
  <si>
    <t>30/01/2026 15:12</t>
  </si>
  <si>
    <t>1adf53e7ec6ad0a7ad5cd2035aba5c3c</t>
  </si>
  <si>
    <t>COM69D54AD6ED8EB</t>
  </si>
  <si>
    <t>08/04/2026</t>
  </si>
  <si>
    <t>fede3072fd8797c43b44e5567dd3a7f0</t>
  </si>
  <si>
    <t>ORDTO2MURYMMDW6I</t>
  </si>
  <si>
    <t>Fabio Castro Alves Ribeiro</t>
  </si>
  <si>
    <t>55502660591</t>
  </si>
  <si>
    <t>fribeiro@tribanco.com.br</t>
  </si>
  <si>
    <t>5561992581807</t>
  </si>
  <si>
    <t>70683265</t>
  </si>
  <si>
    <t>Quadra SQNW 103 Bloco C</t>
  </si>
  <si>
    <t>504</t>
  </si>
  <si>
    <t>Setor Noroeste</t>
  </si>
  <si>
    <t>f96d19db2e69301e1b0a81b0f98b196b</t>
  </si>
  <si>
    <t>ID-55502660591</t>
  </si>
  <si>
    <t>COM697CF0326A6FD</t>
  </si>
  <si>
    <t>30/01/2026 14:53</t>
  </si>
  <si>
    <t>AI for Leaders - 2025</t>
  </si>
  <si>
    <t>ai-for-leaders-ed1a25</t>
  </si>
  <si>
    <t>Denys Soares</t>
  </si>
  <si>
    <t>16590348847</t>
  </si>
  <si>
    <t>denys.gmotors@gmail.com</t>
  </si>
  <si>
    <t>5511972622485</t>
  </si>
  <si>
    <t>09521-300</t>
  </si>
  <si>
    <t>Santo Antônio</t>
  </si>
  <si>
    <t>Denys GM</t>
  </si>
  <si>
    <t>424a4e903eff9e40b9d3010c0c14c533</t>
  </si>
  <si>
    <t>21/01/2025</t>
  </si>
  <si>
    <t>ID-16590348847</t>
  </si>
  <si>
    <t>COM697CEAA79DD1A</t>
  </si>
  <si>
    <t>30/01/2026 14:30</t>
  </si>
  <si>
    <t>Imersão São Paulo_Ipiranga_Jornada.</t>
  </si>
  <si>
    <t>corporate-jornada-ed8a26</t>
  </si>
  <si>
    <t>Mariana Oliveira</t>
  </si>
  <si>
    <t>33.337.122/0001-27</t>
  </si>
  <si>
    <t>IPIRANGA PRODUTOS DE PETROLEO S.A.</t>
  </si>
  <si>
    <t>mariana.ooliveira@ipiranga.ipiranga</t>
  </si>
  <si>
    <t>11940795327</t>
  </si>
  <si>
    <t>2125745858</t>
  </si>
  <si>
    <t>00330</t>
  </si>
  <si>
    <t>BLC 2 SAL 2801 2901 E 3001</t>
  </si>
  <si>
    <t>Imersão São Paulo_Ipiranga</t>
  </si>
  <si>
    <t>a8a3cd40b74bd3cc97820ff68608ef48</t>
  </si>
  <si>
    <t>19/08/2026</t>
  </si>
  <si>
    <t>ID-33337122000127</t>
  </si>
  <si>
    <t>Imersão São Paulo_Ipiranga_Jornada - Pagamento 01</t>
  </si>
  <si>
    <t>corporate-jornada-ed8a26_pagamento-01</t>
  </si>
  <si>
    <t>Imersão São Paulo_Ipiranga_Jornada - Pagamento 02</t>
  </si>
  <si>
    <t>corporate-jornada-ed8a26_pagamento-02</t>
  </si>
  <si>
    <t>COM697CE93E86AF7</t>
  </si>
  <si>
    <t>30/01/2026 14:24</t>
  </si>
  <si>
    <t>Liderança Feminina - IPIRANGA</t>
  </si>
  <si>
    <t>corporate-jornada-ed9a26</t>
  </si>
  <si>
    <t>0b614662b341ff6b9c2b70b2e44562d8</t>
  </si>
  <si>
    <t>Liderança Feminina - IPIRANGA - Pagamento 01</t>
  </si>
  <si>
    <t>corporate-jornada-ed9a26_pagamento-01</t>
  </si>
  <si>
    <t>Liderança Feminina - IPIRANGA - Pagamento 02</t>
  </si>
  <si>
    <t>corporate-jornada-ed9a26_pagamento-02</t>
  </si>
  <si>
    <t>COM697CD3F60CD53</t>
  </si>
  <si>
    <t>30/01/2026 12:53</t>
  </si>
  <si>
    <t>Marcel Korn</t>
  </si>
  <si>
    <t>44728615855</t>
  </si>
  <si>
    <t>marcelkorn@klihbr.com</t>
  </si>
  <si>
    <t>5511953004471</t>
  </si>
  <si>
    <t>01244-000</t>
  </si>
  <si>
    <t>Rua Bahia</t>
  </si>
  <si>
    <t>Higienópolis</t>
  </si>
  <si>
    <t>2d39a584b8af393d75fb11ae1443553e</t>
  </si>
  <si>
    <t>ID-44728615855</t>
  </si>
  <si>
    <t>COM69DE536F78E26</t>
  </si>
  <si>
    <t>30/01/2026 11:47</t>
  </si>
  <si>
    <t>consulting-ai-advisory-ed3a26_pagamento01</t>
  </si>
  <si>
    <t>Carlos Eduardo</t>
  </si>
  <si>
    <t>carlos.maselli@vw.com.ar</t>
  </si>
  <si>
    <t>9357215d9c05eb1a63f9044f72dc8e5a</t>
  </si>
  <si>
    <t>consulting-ai-advisory-ed3a26_pagamento02</t>
  </si>
  <si>
    <t>20/05/2026</t>
  </si>
  <si>
    <t>consulting-ai-advisory-ed3a26_pagemento03</t>
  </si>
  <si>
    <t>20/06/2026</t>
  </si>
  <si>
    <t>consulting-ai-advisory-ed3a26_pagamento04</t>
  </si>
  <si>
    <t>20/07/2026</t>
  </si>
  <si>
    <t>consulting-ai-advisory-ed3a26</t>
  </si>
  <si>
    <t>ORDY7LUM74Q63YE4</t>
  </si>
  <si>
    <t>30/01/2026 11:39</t>
  </si>
  <si>
    <t>FERNANDA RODRIGUES MOYZES</t>
  </si>
  <si>
    <t>04859186680</t>
  </si>
  <si>
    <t>fmoyzes@tribanco.com.br</t>
  </si>
  <si>
    <t>5534991214053</t>
  </si>
  <si>
    <t>38410665</t>
  </si>
  <si>
    <t>Avenida Vereador Carlito Cordeiro</t>
  </si>
  <si>
    <t>2315</t>
  </si>
  <si>
    <t>rua 05,346</t>
  </si>
  <si>
    <t>b160427b39c56d78599af1adddeadf54</t>
  </si>
  <si>
    <t>ID-04859186680</t>
  </si>
  <si>
    <t>ORDI38Y7Q3IQGJ2R</t>
  </si>
  <si>
    <t>30/01/2026 11:35</t>
  </si>
  <si>
    <t>Anderson Pacheco de Oliveira</t>
  </si>
  <si>
    <t>01634308379</t>
  </si>
  <si>
    <t>apolivei@tribanco.com.br</t>
  </si>
  <si>
    <t>5511971622965</t>
  </si>
  <si>
    <t>13214661</t>
  </si>
  <si>
    <t>Avenida Caetano Gornati</t>
  </si>
  <si>
    <t>1101</t>
  </si>
  <si>
    <t>Cond Vintage Casa 506</t>
  </si>
  <si>
    <t>Engordadouro</t>
  </si>
  <si>
    <t>6a9e7024da28ea5c0bb5a5235c1bfbc1</t>
  </si>
  <si>
    <t>ID-01634308379</t>
  </si>
  <si>
    <t>ORDMVH02KGLZFQR6</t>
  </si>
  <si>
    <t>30/01/2026 11:14</t>
  </si>
  <si>
    <t>rua 346</t>
  </si>
  <si>
    <t>a5e8a1ccc9dd5d5a8715ebd33d6eb0b1</t>
  </si>
  <si>
    <t>COM697CB54C1A474</t>
  </si>
  <si>
    <t>30/01/2026 10:42</t>
  </si>
  <si>
    <t>Sicredi Norte SC - Imersão China</t>
  </si>
  <si>
    <t>corporate-china-xperience-ed5a26</t>
  </si>
  <si>
    <t>Nilton Weber</t>
  </si>
  <si>
    <t>02.843.443/0001-70</t>
  </si>
  <si>
    <t>COOPERATIVA DE CREDITO, POUPANCA E INVESTIMENTO DO NORTE E NORDESTE DE SANTA CATARINA - SICREDI NORTE SC</t>
  </si>
  <si>
    <t>nilton_weber@sicredi.com.br</t>
  </si>
  <si>
    <t>47999764993</t>
  </si>
  <si>
    <t>4730290244</t>
  </si>
  <si>
    <t>89219600</t>
  </si>
  <si>
    <t>DONA FRANCISCA</t>
  </si>
  <si>
    <t>8300</t>
  </si>
  <si>
    <t>SALA M0</t>
  </si>
  <si>
    <t>Joinville</t>
  </si>
  <si>
    <t>Imersão China StartSe - Exclusiva Sicredi Norte SC - Até 35 participantes</t>
  </si>
  <si>
    <t>ef1eca771f248669153dce50c3c7f942</t>
  </si>
  <si>
    <t>22/06/2026</t>
  </si>
  <si>
    <t>https://loja.startse.com.br//processamento/fatura/ef1eca771f248669153dce50c3c7f942</t>
  </si>
  <si>
    <t>21/11/2024</t>
  </si>
  <si>
    <t>ID-02843443000170</t>
  </si>
  <si>
    <t>COM697CB4CCC91AC</t>
  </si>
  <si>
    <t>30/01/2026 10:40</t>
  </si>
  <si>
    <t>Imersão Multiagentes - Presencial - 11 de Fevereiro de 2026</t>
  </si>
  <si>
    <t>imersao-multiagentes-ed2a26</t>
  </si>
  <si>
    <t>Lais Guedes</t>
  </si>
  <si>
    <t>06.184.184/0001-73</t>
  </si>
  <si>
    <t>SEBRAE PREVIDENCIA - INSTITUTO SEBRAE DE SEGURIDADE SOCIAL</t>
  </si>
  <si>
    <t>lais@sebraeprev.com.br</t>
  </si>
  <si>
    <t>6133271226</t>
  </si>
  <si>
    <t>70770503</t>
  </si>
  <si>
    <t>SEPN QUADRA 515 BLOCO C LOJA</t>
  </si>
  <si>
    <t>32</t>
  </si>
  <si>
    <t>ANDAR 1</t>
  </si>
  <si>
    <t>ASA NORTE</t>
  </si>
  <si>
    <t>975f33823e713918d6794cc6c4407c19</t>
  </si>
  <si>
    <t>08/04/2024</t>
  </si>
  <si>
    <t>ID-06184184000173</t>
  </si>
  <si>
    <t>COM697CB3470272A</t>
  </si>
  <si>
    <t>30/01/2026 10:33</t>
  </si>
  <si>
    <t>AI para Negócios - Imersão Presencial -  09 e 10 de Fevereiro de 2026</t>
  </si>
  <si>
    <t>imersao-presencial-de-ai-ed2a26</t>
  </si>
  <si>
    <t>AI para Negócios - Imersão Presencial - 09 e 10 de Fevereiro de 2026</t>
  </si>
  <si>
    <t>258f6d4cc2b3c8a61151154ab209443a</t>
  </si>
  <si>
    <t>ORDY2DQCRACGTWGE</t>
  </si>
  <si>
    <t>30/01/2026 07:50</t>
  </si>
  <si>
    <t>aniziobauru@gmail.com</t>
  </si>
  <si>
    <t>5521967722386</t>
  </si>
  <si>
    <t>cfb19206bc2cc65d94f1db030df4fa88</t>
  </si>
  <si>
    <t>COM697C08F8EC3DB</t>
  </si>
  <si>
    <t>29/01/2026 22:27</t>
  </si>
  <si>
    <t>Oracle - Master Program [Educacional]</t>
  </si>
  <si>
    <t>corporate-jornada-ed5a26</t>
  </si>
  <si>
    <t>fiorellaperoni@oracle.com</t>
  </si>
  <si>
    <t>11997108819</t>
  </si>
  <si>
    <t>Master Program - Oracle</t>
  </si>
  <si>
    <t>1c0ea1c61c42c4fd8c00adfe3e891389</t>
  </si>
  <si>
    <t>ORD0GKFN5SYOSJDE</t>
  </si>
  <si>
    <t>29/01/2026 21:36</t>
  </si>
  <si>
    <t>29/01/2026</t>
  </si>
  <si>
    <t>28974115835FFAOCB9CE</t>
  </si>
  <si>
    <t>Caroline Chainho Tosta</t>
  </si>
  <si>
    <t>34752031892</t>
  </si>
  <si>
    <t>caroline.tosta@br.nestle.com</t>
  </si>
  <si>
    <t>5516982232485</t>
  </si>
  <si>
    <t>14015100</t>
  </si>
  <si>
    <t>Rua Prudente de Morais</t>
  </si>
  <si>
    <t>1713</t>
  </si>
  <si>
    <t>28e8b0aeef165d418562db5424fa525b</t>
  </si>
  <si>
    <t>ID-34752031892</t>
  </si>
  <si>
    <t>ORDJSHOY0D4AZPMU</t>
  </si>
  <si>
    <t>29/01/2026 18:44</t>
  </si>
  <si>
    <t>Fabio Pereira Ribas</t>
  </si>
  <si>
    <t>50498398072</t>
  </si>
  <si>
    <t>fabio@tribanco.com.br</t>
  </si>
  <si>
    <t>5554996538418</t>
  </si>
  <si>
    <t>95185000</t>
  </si>
  <si>
    <t>Rua Assis Brasil</t>
  </si>
  <si>
    <t>171</t>
  </si>
  <si>
    <t>Apto 304</t>
  </si>
  <si>
    <t>centro</t>
  </si>
  <si>
    <t>Carlos Barbosa</t>
  </si>
  <si>
    <t>693b5332f973cb026b96594ee2ef4a96</t>
  </si>
  <si>
    <t>ID-50498398072</t>
  </si>
  <si>
    <t>ORDFS7ME5HCNR0EZ</t>
  </si>
  <si>
    <t>29/01/2026 18:43</t>
  </si>
  <si>
    <t>luciano seibel</t>
  </si>
  <si>
    <t>62713906091</t>
  </si>
  <si>
    <t>lseibel@tribanco.com.br</t>
  </si>
  <si>
    <t>5551981290410</t>
  </si>
  <si>
    <t>91751040</t>
  </si>
  <si>
    <t>Travessa Alfredo Magalhães</t>
  </si>
  <si>
    <t>Ipanema</t>
  </si>
  <si>
    <t>f6a2d2d50ef1a1b808fd21f10b4c7abb</t>
  </si>
  <si>
    <t>ID-62713906091</t>
  </si>
  <si>
    <t>ORDSSOMC616X3GQ4</t>
  </si>
  <si>
    <t>29/01/2026 18:00</t>
  </si>
  <si>
    <t>Thiago Silva Garcia</t>
  </si>
  <si>
    <t>27708774888</t>
  </si>
  <si>
    <t>tgarcia@tribanco.com.br</t>
  </si>
  <si>
    <t>5511998856565</t>
  </si>
  <si>
    <t>38411201</t>
  </si>
  <si>
    <t>Rua José Elias</t>
  </si>
  <si>
    <t>ap 2402b</t>
  </si>
  <si>
    <t>138f3867e4a8227ea1987df88af0d443</t>
  </si>
  <si>
    <t>ID-27708774888</t>
  </si>
  <si>
    <t>ORD9XSR0OTT1BUZ4</t>
  </si>
  <si>
    <t>29/01/2026 17:56</t>
  </si>
  <si>
    <t>Daniela Pereira da Costa Farah</t>
  </si>
  <si>
    <t>27789132890</t>
  </si>
  <si>
    <t>dfarah@tribanco.com.br</t>
  </si>
  <si>
    <t>5511988586918</t>
  </si>
  <si>
    <t>09726350</t>
  </si>
  <si>
    <t>Rua Antônio de Salema</t>
  </si>
  <si>
    <t>211A</t>
  </si>
  <si>
    <t>Jardim do Mar</t>
  </si>
  <si>
    <t>82083fa34d8c1870e3c09ff448911a4d</t>
  </si>
  <si>
    <t>01/11/2023</t>
  </si>
  <si>
    <t>ID-27789132890</t>
  </si>
  <si>
    <t>ORDZWQSQDTB689LV</t>
  </si>
  <si>
    <t>29/01/2026 17:39</t>
  </si>
  <si>
    <t>ADSON FRANCK MACEDO GOMES</t>
  </si>
  <si>
    <t>60073942200</t>
  </si>
  <si>
    <t>adsong@tribanco.com.br</t>
  </si>
  <si>
    <t>5592996135219</t>
  </si>
  <si>
    <t>69090001</t>
  </si>
  <si>
    <t>Avenida Max Teixeira</t>
  </si>
  <si>
    <t>142</t>
  </si>
  <si>
    <t>Bloco E 201</t>
  </si>
  <si>
    <t>Cidade Nova</t>
  </si>
  <si>
    <t>3a807f9292713fb4b2ad25eeaaf87090</t>
  </si>
  <si>
    <t>ID-60073942200</t>
  </si>
  <si>
    <t>COM697BBE81685F2</t>
  </si>
  <si>
    <t>29/01/2026 17:09</t>
  </si>
  <si>
    <t>Imersão Multiagentes - Presencial - 15 de Abril de 202</t>
  </si>
  <si>
    <t>08bb75645347fd735cd52e8226154b94</t>
  </si>
  <si>
    <t>COM697BBDCF6B600</t>
  </si>
  <si>
    <t>29/01/2026 17:06</t>
  </si>
  <si>
    <t>6abb01db13a91cdab66a7540e7334106</t>
  </si>
  <si>
    <t>COM697BBD174D21A</t>
  </si>
  <si>
    <t>29/01/2026 17:03</t>
  </si>
  <si>
    <t>974fe954d29157de2aec946f106647b1</t>
  </si>
  <si>
    <t>COM697BBC91BA378</t>
  </si>
  <si>
    <t>29/01/2026 17:01</t>
  </si>
  <si>
    <t>83f2d1f28dcbf9ccbe8c6af79f02d475</t>
  </si>
  <si>
    <t>COM697BB7ECD0CEF</t>
  </si>
  <si>
    <t>29/01/2026 16:41</t>
  </si>
  <si>
    <t>86d22c9aca3b18442b637eccb611f1a0</t>
  </si>
  <si>
    <t>COM697BB4EE477B1</t>
  </si>
  <si>
    <t>29/01/2026 16:28</t>
  </si>
  <si>
    <t>Imersão Multiagentes - Presencial - 13 de Março de 2026</t>
  </si>
  <si>
    <t>imersao-multiagentes-ed3a26</t>
  </si>
  <si>
    <t>33cd016f759594b0329d4085bb295035</t>
  </si>
  <si>
    <t>COM697BB2F26FE31</t>
  </si>
  <si>
    <t>29/01/2026 16:20</t>
  </si>
  <si>
    <t>7d2db6651d77d884ec54f136d1662724</t>
  </si>
  <si>
    <t>ORD7W2LGD8UTN5F9</t>
  </si>
  <si>
    <t>29/01/2026 16:18</t>
  </si>
  <si>
    <t>5511971292372</t>
  </si>
  <si>
    <t>38412215</t>
  </si>
  <si>
    <t>Rua dos Colibris</t>
  </si>
  <si>
    <t>337</t>
  </si>
  <si>
    <t>Jardim das Palmeiras</t>
  </si>
  <si>
    <t>bedc7de347ccf074d20cd7ae869ced4e</t>
  </si>
  <si>
    <t>ORDSQ73HM8179UK1</t>
  </si>
  <si>
    <t>29/01/2026 15:28</t>
  </si>
  <si>
    <t>Rodrigo Lins</t>
  </si>
  <si>
    <t>e3b2caa4503155b2107cad5e3fd97794</t>
  </si>
  <si>
    <t>ORDW32W3RVKOBRUK</t>
  </si>
  <si>
    <t>29/01/2026 15:23</t>
  </si>
  <si>
    <t>5534984066718</t>
  </si>
  <si>
    <t>418351cf7de5f1ab39ae88c74006e51a</t>
  </si>
  <si>
    <t>COM697B750B2F66C</t>
  </si>
  <si>
    <t>29/01/2026 11:56</t>
  </si>
  <si>
    <t>Areane Jaqueline Springer</t>
  </si>
  <si>
    <t>90.729.369/0001-22</t>
  </si>
  <si>
    <t>COOPERATIVA DE CREDITO, POUPANCA E INVESTIMENTO REGIOES DAS CULTURAS - SICREDI DAS CULTURAS RS/MG</t>
  </si>
  <si>
    <t>areane_springer@sicredi.com.br</t>
  </si>
  <si>
    <t>5533320800</t>
  </si>
  <si>
    <t>98700000</t>
  </si>
  <si>
    <t>Ijuí</t>
  </si>
  <si>
    <t>Participante: Francisco Lunardi Guarda</t>
  </si>
  <si>
    <t>ebb5308b342c40886d426f4e9b3bfdfe</t>
  </si>
  <si>
    <t>03/07/2017</t>
  </si>
  <si>
    <t>ID-90729369000122</t>
  </si>
  <si>
    <t>ORDJ4BRW9DUTDFON</t>
  </si>
  <si>
    <t>29/01/2026 10:17</t>
  </si>
  <si>
    <t>rafael barra della torres</t>
  </si>
  <si>
    <t>07705155680</t>
  </si>
  <si>
    <t>rtorres@tribanco.com.br</t>
  </si>
  <si>
    <t>5534998046837</t>
  </si>
  <si>
    <t>38400376</t>
  </si>
  <si>
    <t>Rua Melo Viana</t>
  </si>
  <si>
    <t>514</t>
  </si>
  <si>
    <t>Martins</t>
  </si>
  <si>
    <t>fa349c225ef71e45af05e1d02b115e09</t>
  </si>
  <si>
    <t>ID-07705155680</t>
  </si>
  <si>
    <t>ORDOW5PYI46WTAEW</t>
  </si>
  <si>
    <t>29/01/2026 10:11</t>
  </si>
  <si>
    <t>JAMIR BATISTA SOARES JUNIOR</t>
  </si>
  <si>
    <t>00616414641</t>
  </si>
  <si>
    <t>jamir@tribanco.com.br</t>
  </si>
  <si>
    <t>5534998383951</t>
  </si>
  <si>
    <t>38444230</t>
  </si>
  <si>
    <t>Rua Estácio de Sá</t>
  </si>
  <si>
    <t>1125</t>
  </si>
  <si>
    <t>Miranda</t>
  </si>
  <si>
    <t>Araguari</t>
  </si>
  <si>
    <t>b854373953c60c0b493d8092539f1a9f</t>
  </si>
  <si>
    <t>ID-00616414641</t>
  </si>
  <si>
    <t>ORDV6E7VTXIMBA72</t>
  </si>
  <si>
    <t>28/01/2026 18:16</t>
  </si>
  <si>
    <t>JOAO HENRIQUE DALL OSTO ZABINI</t>
  </si>
  <si>
    <t>42107297878</t>
  </si>
  <si>
    <t>joao.zabini@hidratei.com.br</t>
  </si>
  <si>
    <t>5511989315588</t>
  </si>
  <si>
    <t>05315021</t>
  </si>
  <si>
    <t>Rua Aroaba</t>
  </si>
  <si>
    <t>482</t>
  </si>
  <si>
    <t>81b</t>
  </si>
  <si>
    <t>Vila Leopoldina</t>
  </si>
  <si>
    <t>9c28234c3294f71e7d5804a4bc3629b9</t>
  </si>
  <si>
    <t>Cortesia_BeautyFair</t>
  </si>
  <si>
    <t>ID-42107297878</t>
  </si>
  <si>
    <t>ORD6YHMCQAJQP8WN</t>
  </si>
  <si>
    <t>28/01/2026 18:08</t>
  </si>
  <si>
    <t>Thais Nakamura</t>
  </si>
  <si>
    <t>37457151877</t>
  </si>
  <si>
    <t>thais.nakamura@bimdistribuidora.com.br</t>
  </si>
  <si>
    <t>5511974681518</t>
  </si>
  <si>
    <t>05302041</t>
  </si>
  <si>
    <t>Rua Brentano</t>
  </si>
  <si>
    <t>306</t>
  </si>
  <si>
    <t>Vila Hamburguesa</t>
  </si>
  <si>
    <t>dd6c328d30aba07a2b44a676ed337e09</t>
  </si>
  <si>
    <t>ID-37457151877</t>
  </si>
  <si>
    <t>ORD6CXOZTMU6WRQ0</t>
  </si>
  <si>
    <t>28/01/2026 18:06</t>
  </si>
  <si>
    <t>Carlos Fernando Teixeira da Fonseca</t>
  </si>
  <si>
    <t>12017428701</t>
  </si>
  <si>
    <t>fernando.fonseca@dutycosmeticos.com</t>
  </si>
  <si>
    <t>5521971601229</t>
  </si>
  <si>
    <t>20231016</t>
  </si>
  <si>
    <t>Rua Ubaldino do Amaral</t>
  </si>
  <si>
    <t>41</t>
  </si>
  <si>
    <t>a3ee005837c0438931dbb962f6eb981a</t>
  </si>
  <si>
    <t>ID-12017428701</t>
  </si>
  <si>
    <t>ORDLLPUEIP00Q2KI</t>
  </si>
  <si>
    <t>28/01/2026 18:04</t>
  </si>
  <si>
    <t>Andréa Previdelli</t>
  </si>
  <si>
    <t>32605715825</t>
  </si>
  <si>
    <t>andrea.previdelli@loreal.com</t>
  </si>
  <si>
    <t>5516997022294</t>
  </si>
  <si>
    <t>15904190</t>
  </si>
  <si>
    <t>Avenida Ernesto Salvagni</t>
  </si>
  <si>
    <t>678</t>
  </si>
  <si>
    <t>Parque Residencial Laranjeiras III</t>
  </si>
  <si>
    <t>Taquaritinga</t>
  </si>
  <si>
    <t>105b35b0ce5377a50487dd933e83f9e7</t>
  </si>
  <si>
    <t>ID-32605715825</t>
  </si>
  <si>
    <t>ORDTM8UXEG08HK84</t>
  </si>
  <si>
    <t>28/01/2026 18:03</t>
  </si>
  <si>
    <t>DANIELE LARANJEIRAS FIGUEIREDO</t>
  </si>
  <si>
    <t>04836964474</t>
  </si>
  <si>
    <t>daniele.laranjeiras@bimdistribuidora.com.br</t>
  </si>
  <si>
    <t>5511942674496</t>
  </si>
  <si>
    <t>04086003</t>
  </si>
  <si>
    <t>Alameda dos Aicás</t>
  </si>
  <si>
    <t>91</t>
  </si>
  <si>
    <t>Indianópolis</t>
  </si>
  <si>
    <t>5951ae98a8405e83244b0bfb8f7b204b</t>
  </si>
  <si>
    <t>ID-04836964474</t>
  </si>
  <si>
    <t>ORDX6M4RF6MJ3Y18</t>
  </si>
  <si>
    <t>28/01/2026 17:53</t>
  </si>
  <si>
    <t>CIBELE SUMIE ONO</t>
  </si>
  <si>
    <t>24799853856</t>
  </si>
  <si>
    <t>cibele@beautyfair.com.br</t>
  </si>
  <si>
    <t>5511964400750</t>
  </si>
  <si>
    <t>01506000</t>
  </si>
  <si>
    <t>R GALVAO BUENO</t>
  </si>
  <si>
    <t>562355bad0ec1f1e1ac8775980070663</t>
  </si>
  <si>
    <t>ID-24799853856</t>
  </si>
  <si>
    <t>ORDXTG8IXJK5KDQA</t>
  </si>
  <si>
    <t>28/01/2026 17:51</t>
  </si>
  <si>
    <t>Alexandre Araújo de Deus</t>
  </si>
  <si>
    <t>93665350620</t>
  </si>
  <si>
    <t>alexandre.araujo@beautyfair.com.br</t>
  </si>
  <si>
    <t>5511995944951</t>
  </si>
  <si>
    <t>Rua Galvão Bueno</t>
  </si>
  <si>
    <t>Liberdade</t>
  </si>
  <si>
    <t>22ebec23a8890988b3dd6e0ff1f211aa</t>
  </si>
  <si>
    <t>ID-93665350620</t>
  </si>
  <si>
    <t>ORD0824LH272T9TD</t>
  </si>
  <si>
    <t>Marisa sasaki</t>
  </si>
  <si>
    <t>25925395816</t>
  </si>
  <si>
    <t>msasakiogeda@gmail.com</t>
  </si>
  <si>
    <t>5511991761225</t>
  </si>
  <si>
    <t>09770170</t>
  </si>
  <si>
    <t>Rua Carlos Rosa Lopes</t>
  </si>
  <si>
    <t>Santa Terezinha</t>
  </si>
  <si>
    <t>108f1514508fa401290e84b3a0af2b63</t>
  </si>
  <si>
    <t>ID-25925395816</t>
  </si>
  <si>
    <t>ORDCG3EWHVDI90CL</t>
  </si>
  <si>
    <t>28/01/2026 17:49</t>
  </si>
  <si>
    <t>Isabella rodrigues Guedes pérsico</t>
  </si>
  <si>
    <t>12629644669</t>
  </si>
  <si>
    <t>marketing@arvensis.com.br</t>
  </si>
  <si>
    <t>5532991983547</t>
  </si>
  <si>
    <t>36880025</t>
  </si>
  <si>
    <t>Rua Sebastião Abrantes</t>
  </si>
  <si>
    <t>72</t>
  </si>
  <si>
    <t>Muriaé</t>
  </si>
  <si>
    <t>efa5682ef29c070b119484fb9e441eb7</t>
  </si>
  <si>
    <t>ID-12629644669</t>
  </si>
  <si>
    <t>ORD0AOMWMJHT32XL</t>
  </si>
  <si>
    <t>28/01/2026 17:22</t>
  </si>
  <si>
    <t>Fernanda Bittencourt</t>
  </si>
  <si>
    <t>01601511639</t>
  </si>
  <si>
    <t>fernanda.bittencourt@startse.com</t>
  </si>
  <si>
    <t>5511933354455</t>
  </si>
  <si>
    <t>01408001</t>
  </si>
  <si>
    <t>Alameda Casa Branca</t>
  </si>
  <si>
    <t>799</t>
  </si>
  <si>
    <t>Apt 54G</t>
  </si>
  <si>
    <t>Jardim Paulista</t>
  </si>
  <si>
    <t>d47eabd28e134e70eff65b8ce21dd560</t>
  </si>
  <si>
    <t>14/04/2023</t>
  </si>
  <si>
    <t>ID-01601511639</t>
  </si>
  <si>
    <t>ORD8HWJHZNH2XVWD</t>
  </si>
  <si>
    <t>28/01/2026 17:17</t>
  </si>
  <si>
    <t>Felipe Augusto Camargo Lunardi</t>
  </si>
  <si>
    <t>07372456894</t>
  </si>
  <si>
    <t>felipe.lunardi@ikesaki.com.br</t>
  </si>
  <si>
    <t>5511995557576</t>
  </si>
  <si>
    <t>09d60a7c67e2ed4c1888388a8378b63a</t>
  </si>
  <si>
    <t>ID-07372456894</t>
  </si>
  <si>
    <t>ORDRXBQ5LP4FCMPY</t>
  </si>
  <si>
    <t>28/01/2026 17:15</t>
  </si>
  <si>
    <t>Denis Simabucuro</t>
  </si>
  <si>
    <t>denis@ikesaki.com.br</t>
  </si>
  <si>
    <t>5511997033521</t>
  </si>
  <si>
    <t>bf0bfdcd644fd7915e927ede6423d98e</t>
  </si>
  <si>
    <t>ORDX94L0ZVXQITGK</t>
  </si>
  <si>
    <t>28/01/2026 17:09</t>
  </si>
  <si>
    <t>José Antônio de Paiva</t>
  </si>
  <si>
    <t>11528838874</t>
  </si>
  <si>
    <t>japaiva@gmail.com</t>
  </si>
  <si>
    <t>5511991513378</t>
  </si>
  <si>
    <t>52aba0ab84060854f8df71579fd765b6</t>
  </si>
  <si>
    <t>ID-11528838874</t>
  </si>
  <si>
    <t>ORD6F6KEYDLATWKR</t>
  </si>
  <si>
    <t>28/01/2026 17:05</t>
  </si>
  <si>
    <t>Luana Bulhosa Leite</t>
  </si>
  <si>
    <t>06476204807</t>
  </si>
  <si>
    <t>luana.leite@ikesaki.com.br</t>
  </si>
  <si>
    <t>5511934293084</t>
  </si>
  <si>
    <t>68948f98cf2712c3d6ee39f29865a3a1</t>
  </si>
  <si>
    <t>ID-06476204807</t>
  </si>
  <si>
    <t>ORDV5JWZ1N8LH936</t>
  </si>
  <si>
    <t>28/01/2026 16:58</t>
  </si>
  <si>
    <t>Deliane Leme</t>
  </si>
  <si>
    <t>35929467811</t>
  </si>
  <si>
    <t>delianecristina.leme@hotmail.com</t>
  </si>
  <si>
    <t>5514996976723</t>
  </si>
  <si>
    <t>18680440</t>
  </si>
  <si>
    <t>Rua Nicolau Dias Batista</t>
  </si>
  <si>
    <t>112</t>
  </si>
  <si>
    <t>Parque Residencial Elizabeth</t>
  </si>
  <si>
    <t>Lençóis Paulista</t>
  </si>
  <si>
    <t>f04eae61457c90a0a305cfd6465128cb</t>
  </si>
  <si>
    <t>ID-35929467811</t>
  </si>
  <si>
    <t>ORDP7WK82QU979ZF</t>
  </si>
  <si>
    <t>MICHAEL ALVES DA SILVA</t>
  </si>
  <si>
    <t>33033172830</t>
  </si>
  <si>
    <t>michael.silva3622@gmail.com</t>
  </si>
  <si>
    <t>5511988938517</t>
  </si>
  <si>
    <t>13332170</t>
  </si>
  <si>
    <t>Rua Terni</t>
  </si>
  <si>
    <t>192</t>
  </si>
  <si>
    <t>H38</t>
  </si>
  <si>
    <t>Jardim Bréscia</t>
  </si>
  <si>
    <t>3702c65fff6e991be89624b8d64f8b97</t>
  </si>
  <si>
    <t>ID-33033172830</t>
  </si>
  <si>
    <t>ORDX3L0HD2TQLSZX</t>
  </si>
  <si>
    <t>28/01/2026 16:41</t>
  </si>
  <si>
    <t>Ricardo Jo Ikesaki</t>
  </si>
  <si>
    <t>ricardoj@ikesaki.com.br</t>
  </si>
  <si>
    <t>5511975649017</t>
  </si>
  <si>
    <t>85302d5e5c19c7e89aae26236f8ef86f</t>
  </si>
  <si>
    <t>ORDE7G58WSXHG9QR</t>
  </si>
  <si>
    <t>28/01/2026 16:34</t>
  </si>
  <si>
    <t>Vitor Dan Ikesaki Fukui</t>
  </si>
  <si>
    <t>49882519857</t>
  </si>
  <si>
    <t>victordan199@gmail.com</t>
  </si>
  <si>
    <t>5511943141101</t>
  </si>
  <si>
    <t>f5a0a4e681b18422b03a01bb6cbe053e</t>
  </si>
  <si>
    <t>ID-49882519857</t>
  </si>
  <si>
    <t>ORD9DXQVAWLB8IWZ</t>
  </si>
  <si>
    <t>28/01/2026 16:22</t>
  </si>
  <si>
    <t>Ricardo Spera Condo</t>
  </si>
  <si>
    <t>35388512800</t>
  </si>
  <si>
    <t>condo@ikesaki.com.br</t>
  </si>
  <si>
    <t>5511997505675</t>
  </si>
  <si>
    <t>5edfa5ea9f8beb5f4933ad3e9c16b777</t>
  </si>
  <si>
    <t>ID-35388512800</t>
  </si>
  <si>
    <t>ORD0ELR5ZFGWWK01</t>
  </si>
  <si>
    <t>28/01/2026 16:18</t>
  </si>
  <si>
    <t>Ricardo Yoshikawa</t>
  </si>
  <si>
    <t>29653466860</t>
  </si>
  <si>
    <t>yoshi.ricardo@ikesaki.com.br</t>
  </si>
  <si>
    <t>5511948046718</t>
  </si>
  <si>
    <t>e0b45087626f50af688f454201fe4ee1</t>
  </si>
  <si>
    <t>ID-29653466860</t>
  </si>
  <si>
    <t>ORDORU1K35I4I8OX</t>
  </si>
  <si>
    <t>28/01/2026 16:09</t>
  </si>
  <si>
    <t>Yasmin Mariano Nunes</t>
  </si>
  <si>
    <t>44653162832</t>
  </si>
  <si>
    <t>vendas@vizzela.com.br</t>
  </si>
  <si>
    <t>5511912881301</t>
  </si>
  <si>
    <t>08760500</t>
  </si>
  <si>
    <t>Avenida Kaoru Hiramatsu</t>
  </si>
  <si>
    <t>2341</t>
  </si>
  <si>
    <t>Casa 183</t>
  </si>
  <si>
    <t>Braz Cubas</t>
  </si>
  <si>
    <t>80e3f22b1999e485c52b69d014b06857</t>
  </si>
  <si>
    <t>ID-44653162832</t>
  </si>
  <si>
    <t>ORDJ3VJ6WPGGCQN6</t>
  </si>
  <si>
    <t>28/01/2026 16:06</t>
  </si>
  <si>
    <t>Natalia Roberta Segantini Caldas</t>
  </si>
  <si>
    <t>45382408858</t>
  </si>
  <si>
    <t>comercial@vizzela.com.br</t>
  </si>
  <si>
    <t>5511969235681</t>
  </si>
  <si>
    <t>08775310</t>
  </si>
  <si>
    <t>Rua Pedro Gomes</t>
  </si>
  <si>
    <t>Jardim Rodeio</t>
  </si>
  <si>
    <t>cb82f63b29f2cb3c463ae4750e281066</t>
  </si>
  <si>
    <t>ID-45382408858</t>
  </si>
  <si>
    <t>ORD4TVAV4ZEI3CEI</t>
  </si>
  <si>
    <t>28/01/2026 15:55</t>
  </si>
  <si>
    <t>Marcia Yumi Ikesaki Yokoyama</t>
  </si>
  <si>
    <t>07800458822</t>
  </si>
  <si>
    <t>marcia@ikesaki.com.br</t>
  </si>
  <si>
    <t>995a44d0cbbfdad30de2319b8092380f</t>
  </si>
  <si>
    <t>ID-07800458822</t>
  </si>
  <si>
    <t>ORDEZDI0TR7E1O29</t>
  </si>
  <si>
    <t>28/01/2026 15:51</t>
  </si>
  <si>
    <t>Suzi Hitomi Ikesaki</t>
  </si>
  <si>
    <t>06927984801</t>
  </si>
  <si>
    <t>suzi@ikesaki.com.br</t>
  </si>
  <si>
    <t>ecec8cbcd84c47e08d6b6ab267a0df1b</t>
  </si>
  <si>
    <t>ID-06927984801</t>
  </si>
  <si>
    <t>ORDEKM4NIQJ8SAAS</t>
  </si>
  <si>
    <t>28/01/2026 15:45</t>
  </si>
  <si>
    <t>Cibele Zampolli</t>
  </si>
  <si>
    <t>27895618857</t>
  </si>
  <si>
    <t>cibele@ebccosmeticos.com.br</t>
  </si>
  <si>
    <t>5511991720596</t>
  </si>
  <si>
    <t>aeadb6c401b2d961c7f3de207c4b6e3b</t>
  </si>
  <si>
    <t>ID-27895618857</t>
  </si>
  <si>
    <t>ORDSQXDKYEIFX8TF</t>
  </si>
  <si>
    <t>28/01/2026 15:35</t>
  </si>
  <si>
    <t>Rafael Corrêa</t>
  </si>
  <si>
    <t>29621557828</t>
  </si>
  <si>
    <t>rafaelcorrea.advogado@gmail.com</t>
  </si>
  <si>
    <t>5511940065184</t>
  </si>
  <si>
    <t>9e9a595806353291788e02888d8f8f1b</t>
  </si>
  <si>
    <t>ID-29621557828</t>
  </si>
  <si>
    <t>ORDULV5LPTXNTNEA</t>
  </si>
  <si>
    <t>28/01/2026 15:18</t>
  </si>
  <si>
    <t>VALTER LACERDA DE ANDRADE JUNIOR</t>
  </si>
  <si>
    <t>34453070837</t>
  </si>
  <si>
    <t>vandrade@visa.com</t>
  </si>
  <si>
    <t>5511973352153</t>
  </si>
  <si>
    <t>04358090</t>
  </si>
  <si>
    <t>Rua Orlando Murgel</t>
  </si>
  <si>
    <t>352</t>
  </si>
  <si>
    <t>Parque Jabaquara</t>
  </si>
  <si>
    <t>8f9574161026de97180ee0d1cb2d3283</t>
  </si>
  <si>
    <t>OFFVISAVALTER</t>
  </si>
  <si>
    <t>ID-34453070837</t>
  </si>
  <si>
    <t>ORD8VZP5SW50L7N9</t>
  </si>
  <si>
    <t>28/01/2026 15:12</t>
  </si>
  <si>
    <t>Fernanda Vaz Do Val</t>
  </si>
  <si>
    <t>07728681664</t>
  </si>
  <si>
    <t>fernanda.vaz@eibeleza.com.br</t>
  </si>
  <si>
    <t>5531991499481</t>
  </si>
  <si>
    <t>31270640</t>
  </si>
  <si>
    <t>Rua Walace</t>
  </si>
  <si>
    <t>269</t>
  </si>
  <si>
    <t>304</t>
  </si>
  <si>
    <t>Uniao</t>
  </si>
  <si>
    <t>a8c0774d06d9f79c1c6bf183abeebda3</t>
  </si>
  <si>
    <t>ID-07728681664</t>
  </si>
  <si>
    <t>ORDKB0P5QTI2GLA7</t>
  </si>
  <si>
    <t>28/01/2026 14:57</t>
  </si>
  <si>
    <t>Graziele Juliane Boz de Paula</t>
  </si>
  <si>
    <t>35476836888</t>
  </si>
  <si>
    <t>adm@vizzela.com.br</t>
  </si>
  <si>
    <t>5511910260479</t>
  </si>
  <si>
    <t>08775000</t>
  </si>
  <si>
    <t>Avenida Lothar Waldemar Hoehne</t>
  </si>
  <si>
    <t>9ed197d0d4b11e6402e347facbaab3f4</t>
  </si>
  <si>
    <t>ID-35476836888</t>
  </si>
  <si>
    <t>ORD00JV4P9MGHG49</t>
  </si>
  <si>
    <t>28/01/2026 14:56</t>
  </si>
  <si>
    <t>Francisco Thome</t>
  </si>
  <si>
    <t>65593197920</t>
  </si>
  <si>
    <t>fthome@taiff.com.br</t>
  </si>
  <si>
    <t>5511964210151</t>
  </si>
  <si>
    <t>09210360</t>
  </si>
  <si>
    <t>Rua Rio Grande do Norte</t>
  </si>
  <si>
    <t>326</t>
  </si>
  <si>
    <t>Ap 01</t>
  </si>
  <si>
    <t>1f78984b98762b20da012b974d7d8bfd</t>
  </si>
  <si>
    <t>ID-65593197920</t>
  </si>
  <si>
    <t>ORDGZ7MTN7RIB9GF</t>
  </si>
  <si>
    <t>mariana burger dos santos</t>
  </si>
  <si>
    <t>00212161008</t>
  </si>
  <si>
    <t>mariana.burger@eibeleza.com.br</t>
  </si>
  <si>
    <t>5511951310065</t>
  </si>
  <si>
    <t>04110030</t>
  </si>
  <si>
    <t>Rua Dona Carolina</t>
  </si>
  <si>
    <t>62</t>
  </si>
  <si>
    <t>Vila Mariana</t>
  </si>
  <si>
    <t>a81fd66f027b53de8a38c2aa50833931</t>
  </si>
  <si>
    <t>ID-00212161008</t>
  </si>
  <si>
    <t>COM697A4850AA840</t>
  </si>
  <si>
    <t>28/01/2026 14:33</t>
  </si>
  <si>
    <t>Brunno Freitas Ramos</t>
  </si>
  <si>
    <t>08518770793</t>
  </si>
  <si>
    <t>Brunno.ramos@irbre.com</t>
  </si>
  <si>
    <t>5521995590818</t>
  </si>
  <si>
    <t>e8a3073ef1ce9c670b18cf73af8f22eb</t>
  </si>
  <si>
    <t>ID-08518770793</t>
  </si>
  <si>
    <t>COM697A40725F944</t>
  </si>
  <si>
    <t>28/01/2026 13:59</t>
  </si>
  <si>
    <t>Maria Milene da Rocha Viana</t>
  </si>
  <si>
    <t>70081991479</t>
  </si>
  <si>
    <t>mileneviana1996@gmail.com</t>
  </si>
  <si>
    <t>5519984452425</t>
  </si>
  <si>
    <t>36cbbdaf0b45c22a4ade3ba821222bfe</t>
  </si>
  <si>
    <t>ID-70081991479</t>
  </si>
  <si>
    <t>ORDQR9KC3YQM4ZUE</t>
  </si>
  <si>
    <t>28/01/2026 13:57</t>
  </si>
  <si>
    <t>Gabriella Delfino</t>
  </si>
  <si>
    <t>15095316706</t>
  </si>
  <si>
    <t>gabriella.delfino@loreal.com</t>
  </si>
  <si>
    <t>5521999827453</t>
  </si>
  <si>
    <t>22261001</t>
  </si>
  <si>
    <t>Rua do Humaitá</t>
  </si>
  <si>
    <t>244</t>
  </si>
  <si>
    <t>Bl1</t>
  </si>
  <si>
    <t>Humaitá</t>
  </si>
  <si>
    <t>cb1e77f5137a274b46aad4e90f1943f4</t>
  </si>
  <si>
    <t>ID-15095316706</t>
  </si>
  <si>
    <t>ORDB0OC0NXRFJINY</t>
  </si>
  <si>
    <t>28/01/2026 13:45</t>
  </si>
  <si>
    <t>Camila Reis</t>
  </si>
  <si>
    <t>05693604713</t>
  </si>
  <si>
    <t>camila.reis@loreal.com</t>
  </si>
  <si>
    <t>5521999698334</t>
  </si>
  <si>
    <t>22041011</t>
  </si>
  <si>
    <t>Rua Santa Clara</t>
  </si>
  <si>
    <t>245</t>
  </si>
  <si>
    <t>106</t>
  </si>
  <si>
    <t>Copacabana</t>
  </si>
  <si>
    <t>22f18fd7e5d70d6233c1d131fef9547e</t>
  </si>
  <si>
    <t>ID-05693604713</t>
  </si>
  <si>
    <t>ORD4ZV1X9SUUAMZJ</t>
  </si>
  <si>
    <t>28/01/2026 12:24</t>
  </si>
  <si>
    <t>8c5d232d3ead2cc8c51d3a4a86135b4b</t>
  </si>
  <si>
    <t>ORDMEOF3OIIVZFCG</t>
  </si>
  <si>
    <t>28/01/2026 12:21</t>
  </si>
  <si>
    <t>Carolina Novaes Fernandes</t>
  </si>
  <si>
    <t>10105951722</t>
  </si>
  <si>
    <t>carolina.novaes@grupoboticario.com.br</t>
  </si>
  <si>
    <t>5511976133716</t>
  </si>
  <si>
    <t>05709050</t>
  </si>
  <si>
    <t>Rua Samia Haddad</t>
  </si>
  <si>
    <t>2A</t>
  </si>
  <si>
    <t>Vila Suzana</t>
  </si>
  <si>
    <t>9048f4a70013b5cc7e05ee33fce3cde3</t>
  </si>
  <si>
    <t>20/05/2020</t>
  </si>
  <si>
    <t>ID-10105951722</t>
  </si>
  <si>
    <t>ORDHEAHTKJLW4ZKG</t>
  </si>
  <si>
    <t>28/01/2026 12:04</t>
  </si>
  <si>
    <t>henrique semeghini</t>
  </si>
  <si>
    <t>30781587808</t>
  </si>
  <si>
    <t>henrique.semeghini@grupoboticario.com.br</t>
  </si>
  <si>
    <t>5511999802209</t>
  </si>
  <si>
    <t>04662002</t>
  </si>
  <si>
    <t>Avenida Washington Luís</t>
  </si>
  <si>
    <t>1576</t>
  </si>
  <si>
    <t>f6338d455d0febe5fb20f5a8be0332bf</t>
  </si>
  <si>
    <t>26/11/2023</t>
  </si>
  <si>
    <t>ID-30781587808</t>
  </si>
  <si>
    <t>ORD671HJ857DGR9M</t>
  </si>
  <si>
    <t>28/01/2026 11:56</t>
  </si>
  <si>
    <t>Bruna Carneiro</t>
  </si>
  <si>
    <t>34028519896</t>
  </si>
  <si>
    <t>brunacpe@gmail.com</t>
  </si>
  <si>
    <t>5511973748191</t>
  </si>
  <si>
    <t>05634000</t>
  </si>
  <si>
    <t>Rua David Ben Gurion</t>
  </si>
  <si>
    <t>955</t>
  </si>
  <si>
    <t>203 1</t>
  </si>
  <si>
    <t>Jardim Monte Kemel</t>
  </si>
  <si>
    <t>af524033af8ef86d0476e03eb1a0df36</t>
  </si>
  <si>
    <t>ID-34028519896</t>
  </si>
  <si>
    <t>ORDELDS86PZH5PNP</t>
  </si>
  <si>
    <t>28/01/2026 11:46</t>
  </si>
  <si>
    <t>JOSE CARLOS BENATTI FILHO</t>
  </si>
  <si>
    <t>07326773866</t>
  </si>
  <si>
    <t>jbenatti@taiff.com.br</t>
  </si>
  <si>
    <t>5511964210058</t>
  </si>
  <si>
    <t>04696000</t>
  </si>
  <si>
    <t>Avenida Engenheiro Eusébio Stevaux</t>
  </si>
  <si>
    <t>APTO 204-A</t>
  </si>
  <si>
    <t>Jurubatuba</t>
  </si>
  <si>
    <t>e7c9be7f6f0727b99fd8f06c6113d852</t>
  </si>
  <si>
    <t>ID-07326773866</t>
  </si>
  <si>
    <t>ORD5U0201ONX50N5</t>
  </si>
  <si>
    <t>28/01/2026 11:44</t>
  </si>
  <si>
    <t>Glaucia Rotta</t>
  </si>
  <si>
    <t>29356291837</t>
  </si>
  <si>
    <t>glaucia.rotta@alfaparfdbdc.com.br</t>
  </si>
  <si>
    <t>5511984348910</t>
  </si>
  <si>
    <t>18147212</t>
  </si>
  <si>
    <t>Rua Manoel Mariano de Araújo</t>
  </si>
  <si>
    <t>1342</t>
  </si>
  <si>
    <t>Jardim Bela Vista</t>
  </si>
  <si>
    <t>Araçariguama</t>
  </si>
  <si>
    <t>5446d748461f50be6ee299cf73bbaf72</t>
  </si>
  <si>
    <t>26/01/2024</t>
  </si>
  <si>
    <t>ID-29356291837</t>
  </si>
  <si>
    <t>ORDYUMCVNOLB3GYE</t>
  </si>
  <si>
    <t>28/01/2026 11:39</t>
  </si>
  <si>
    <t>Douglas Moura</t>
  </si>
  <si>
    <t>35104685896</t>
  </si>
  <si>
    <t>douglas.moura@taiff.com.br</t>
  </si>
  <si>
    <t>5511966896798</t>
  </si>
  <si>
    <t>05836280</t>
  </si>
  <si>
    <t>Rua Luís Gil</t>
  </si>
  <si>
    <t>301</t>
  </si>
  <si>
    <t>Jardim Monte Azul</t>
  </si>
  <si>
    <t>e6ad7b9becf79f961347c62a61097dbf</t>
  </si>
  <si>
    <t>05/03/2025</t>
  </si>
  <si>
    <t>ID-35104685896</t>
  </si>
  <si>
    <t>ORDPA03RHM3V6A1G</t>
  </si>
  <si>
    <t>28/01/2026 11:34</t>
  </si>
  <si>
    <t>Rafael Carvalho da Silva</t>
  </si>
  <si>
    <t>05492488627</t>
  </si>
  <si>
    <t>rafael.carvalho@alfaparfdbdc.com.br</t>
  </si>
  <si>
    <t>5511976963606</t>
  </si>
  <si>
    <t>05083010</t>
  </si>
  <si>
    <t>Avenida Diógenes Ribeiro de Lima</t>
  </si>
  <si>
    <t>2991</t>
  </si>
  <si>
    <t>apto 253</t>
  </si>
  <si>
    <t>Alto da Lapa</t>
  </si>
  <si>
    <t>504635c97565f68793a0a14f3f1928ed</t>
  </si>
  <si>
    <t>ID-05492488627</t>
  </si>
  <si>
    <t>ORD4JCTSDR3R7IGA</t>
  </si>
  <si>
    <t>28/01/2026 11:29</t>
  </si>
  <si>
    <t>Breno Soares Correia Lustosa</t>
  </si>
  <si>
    <t>11017563497</t>
  </si>
  <si>
    <t>breno.lustosa@grupoboticario.com.br</t>
  </si>
  <si>
    <t>5581989838701</t>
  </si>
  <si>
    <t>51130320</t>
  </si>
  <si>
    <t>Rua General Salgado</t>
  </si>
  <si>
    <t>235</t>
  </si>
  <si>
    <t>Apto 101</t>
  </si>
  <si>
    <t>Boa Viagem</t>
  </si>
  <si>
    <t>79c3f4c21ecf86a785f9cc92aa167a7d</t>
  </si>
  <si>
    <t>ID-11017563497</t>
  </si>
  <si>
    <t>ORD467XW4MC8RWL6</t>
  </si>
  <si>
    <t>Danielle Jesus</t>
  </si>
  <si>
    <t>10992943710</t>
  </si>
  <si>
    <t>danielle@dutycosmeticos.com</t>
  </si>
  <si>
    <t>5521981601898</t>
  </si>
  <si>
    <t>22630011</t>
  </si>
  <si>
    <t>Avenida Lúcio Costa</t>
  </si>
  <si>
    <t>4350</t>
  </si>
  <si>
    <t>Bl 6 apt 403</t>
  </si>
  <si>
    <t>Barra da Tijuca</t>
  </si>
  <si>
    <t>0cfef1d12e8bb432714a13e5b332ec6d</t>
  </si>
  <si>
    <t>ID-10992943710</t>
  </si>
  <si>
    <t>ORDIRG3Z0I9PB2S3</t>
  </si>
  <si>
    <t>28/01/2026 11:22</t>
  </si>
  <si>
    <t>8a64c9ade0fabe3476827fe0f159bcba</t>
  </si>
  <si>
    <t>ORDPYVNLWYEPPS6E</t>
  </si>
  <si>
    <t>28/01/2026 11:10</t>
  </si>
  <si>
    <t>Anna Michelin</t>
  </si>
  <si>
    <t>39579551812</t>
  </si>
  <si>
    <t>aninha.fulvia@gmail.com</t>
  </si>
  <si>
    <t>5514991217197</t>
  </si>
  <si>
    <t>17020018</t>
  </si>
  <si>
    <t>Alameda das Rosas</t>
  </si>
  <si>
    <t>Parque Vista Alegre</t>
  </si>
  <si>
    <t>71afe1a785a35e1a17d4bf1df742bd57</t>
  </si>
  <si>
    <t>ID-39579551812</t>
  </si>
  <si>
    <t>ORDH6MPSEWMK2YWW</t>
  </si>
  <si>
    <t>28/01/2026 10:50</t>
  </si>
  <si>
    <t>Gabriel Gonçalves Breowicz Wendt</t>
  </si>
  <si>
    <t>02514304130</t>
  </si>
  <si>
    <t>gabrielbwendt@gmail.com</t>
  </si>
  <si>
    <t>5511962330308</t>
  </si>
  <si>
    <t>22203002</t>
  </si>
  <si>
    <t>Rua farani</t>
  </si>
  <si>
    <t>apto 901</t>
  </si>
  <si>
    <t>Rio De Janeiro</t>
  </si>
  <si>
    <t>eab0d4911d4e553440f29b9570c4d247</t>
  </si>
  <si>
    <t>ID-02514304130</t>
  </si>
  <si>
    <t>ORD6KZJY00KVZ9X4</t>
  </si>
  <si>
    <t>28/01/2026 10:48</t>
  </si>
  <si>
    <t>Guilherme Ascencio</t>
  </si>
  <si>
    <t>38116951858</t>
  </si>
  <si>
    <t>guilherme.ascencio33@gmail.com</t>
  </si>
  <si>
    <t>5518981911400</t>
  </si>
  <si>
    <t>18686451</t>
  </si>
  <si>
    <t>Rua Antônio Frederico Ozanam</t>
  </si>
  <si>
    <t>Residencial Spazio Verde</t>
  </si>
  <si>
    <t>9bdb5e4bd6089f5e21afb8c2917549cd</t>
  </si>
  <si>
    <t>ID-38116951858</t>
  </si>
  <si>
    <t>ORDT7X8TUUSS6MNA</t>
  </si>
  <si>
    <t>Camila Villalva Piccolomini Lazarini</t>
  </si>
  <si>
    <t>17834366890</t>
  </si>
  <si>
    <t>camila@vizzela.com.br</t>
  </si>
  <si>
    <t>5519981378587</t>
  </si>
  <si>
    <t>13920077</t>
  </si>
  <si>
    <t>Rua Siqueira Campos</t>
  </si>
  <si>
    <t>243</t>
  </si>
  <si>
    <t>Apto 11</t>
  </si>
  <si>
    <t>Pedreira</t>
  </si>
  <si>
    <t>435c15eee5409594b0d57fd13b48c235</t>
  </si>
  <si>
    <t>ID-17834366890</t>
  </si>
  <si>
    <t>ORD2PKCSE5I74XRA</t>
  </si>
  <si>
    <t>28/01/2026 10:38</t>
  </si>
  <si>
    <t>Marisa Sasaki</t>
  </si>
  <si>
    <t>gmarketing@arvensis.com.br</t>
  </si>
  <si>
    <t>6b38acd0ae2084240dfb1ea6b7428d56</t>
  </si>
  <si>
    <t>ORDQC56GNWK5SVHP</t>
  </si>
  <si>
    <t>28/01/2026 10:23</t>
  </si>
  <si>
    <t>Tanise Diel Cassiano Seger</t>
  </si>
  <si>
    <t>02389492061</t>
  </si>
  <si>
    <t>digital@arvensis.com.br</t>
  </si>
  <si>
    <t>5554996351783</t>
  </si>
  <si>
    <t>18192028</t>
  </si>
  <si>
    <t>Estrada da Cooperativa</t>
  </si>
  <si>
    <t>Barreiros</t>
  </si>
  <si>
    <t>Araçoiaba da Serra</t>
  </si>
  <si>
    <t>510ac363902be93dd64d6a2a1dd03645</t>
  </si>
  <si>
    <t>ID-02389492061</t>
  </si>
  <si>
    <t>ORDMAS7I0FCAWOSO</t>
  </si>
  <si>
    <t>28/01/2026 10:00</t>
  </si>
  <si>
    <t>Kaio Souza</t>
  </si>
  <si>
    <t>10840018452</t>
  </si>
  <si>
    <t>kaio.souza@loreal.com</t>
  </si>
  <si>
    <t>5511993199452</t>
  </si>
  <si>
    <t>05711001</t>
  </si>
  <si>
    <t>Rua Doutor Luiz Migliano</t>
  </si>
  <si>
    <t>1870</t>
  </si>
  <si>
    <t>281b</t>
  </si>
  <si>
    <t>Jardim Caboré</t>
  </si>
  <si>
    <t>d7fa49496a95c9bada7fed7ed99d0dea</t>
  </si>
  <si>
    <t>08/08/2025</t>
  </si>
  <si>
    <t>ID-10840018452</t>
  </si>
  <si>
    <t>ORD6NWJIU25EX0W3</t>
  </si>
  <si>
    <t>28/01/2026 09:59</t>
  </si>
  <si>
    <t>Leonardo Pinto</t>
  </si>
  <si>
    <t>20275049825</t>
  </si>
  <si>
    <t>leonardopinto@arvensis.com.br</t>
  </si>
  <si>
    <t>5516982530406</t>
  </si>
  <si>
    <t>05588000</t>
  </si>
  <si>
    <t>Avenida Engenheiro Heitor Antônio Eiras Garcia</t>
  </si>
  <si>
    <t>509</t>
  </si>
  <si>
    <t>apto 174 Torre 4</t>
  </si>
  <si>
    <t>Jardim Esmeralda</t>
  </si>
  <si>
    <t>5d670d444aa684257d74492fbe19a475</t>
  </si>
  <si>
    <t>ID-20275049825</t>
  </si>
  <si>
    <t>ORD44R7BS2DHNFVI</t>
  </si>
  <si>
    <t>27/01/2026 20:03</t>
  </si>
  <si>
    <t>27/01/2026</t>
  </si>
  <si>
    <t>Filipi Nunes Erthal</t>
  </si>
  <si>
    <t>03047584001</t>
  </si>
  <si>
    <t>fnerthal@somaposto.com.br</t>
  </si>
  <si>
    <t>5551995200766</t>
  </si>
  <si>
    <t>92510300</t>
  </si>
  <si>
    <t>Rua Buarque de Macedo</t>
  </si>
  <si>
    <t>63</t>
  </si>
  <si>
    <t>Montenegro</t>
  </si>
  <si>
    <t>beb459336ccd7512e57b6eab30cb2c21</t>
  </si>
  <si>
    <t>31/10/2023</t>
  </si>
  <si>
    <t>ID-03047584001</t>
  </si>
  <si>
    <t>ORDGE3JJZYI9QYIH</t>
  </si>
  <si>
    <t>27/01/2026 18:08</t>
  </si>
  <si>
    <t>fe_bitt@yahoo.com.br</t>
  </si>
  <si>
    <t>21459a16230250dc575af3b9825bcbf4</t>
  </si>
  <si>
    <t>COM69790FA246771</t>
  </si>
  <si>
    <t>27/01/2026 16:18</t>
  </si>
  <si>
    <t>Sicredi Gerações - Workshop Liderança [pagamento 02]</t>
  </si>
  <si>
    <t>corporate-workshop-ed9a26_pagamento-02</t>
  </si>
  <si>
    <t>Deise Casarotto da Silva</t>
  </si>
  <si>
    <t>88.471.024/0001-70</t>
  </si>
  <si>
    <t>COOPERATIVA DE CREDITO GERACOES - SICREDI GERACOES RS/MG</t>
  </si>
  <si>
    <t>deise_silva@sicredi.com.br</t>
  </si>
  <si>
    <t>51980174876</t>
  </si>
  <si>
    <t>5137225005</t>
  </si>
  <si>
    <t>96508001</t>
  </si>
  <si>
    <t>SALDANHA MARINHO</t>
  </si>
  <si>
    <t>Cachoeira do Sul</t>
  </si>
  <si>
    <t>SICREDI GERACOES RS/MG</t>
  </si>
  <si>
    <t>Workshop Sicredi Gerações RS/MG  – Liderança Educadora da Sede</t>
  </si>
  <si>
    <t>48a4dc6e4bef35ff3bb699c509b89f49</t>
  </si>
  <si>
    <t>30/07/2026</t>
  </si>
  <si>
    <t>02/10/2024</t>
  </si>
  <si>
    <t>ID-88471024000170</t>
  </si>
  <si>
    <t>Sicredi Gerações - Workshop Liderança [pagamento01]</t>
  </si>
  <si>
    <t>corporate-workshop-ed9a26_pagamento-01</t>
  </si>
  <si>
    <t>Sicredi Gerações - Workshop Liderança</t>
  </si>
  <si>
    <t>corporate-workshop-ed9a26</t>
  </si>
  <si>
    <t>COM6978F7E6D0179</t>
  </si>
  <si>
    <t>27/01/2026 14:37</t>
  </si>
  <si>
    <t>Antônio Felipe Fonseca</t>
  </si>
  <si>
    <t>Felipe.fonseca@grupovamos.com.br</t>
  </si>
  <si>
    <t>5511941699166</t>
  </si>
  <si>
    <t>Cortesia StartSe</t>
  </si>
  <si>
    <t>68769cd1f23a0c4ef3a222a8aa2b3073</t>
  </si>
  <si>
    <t>COM6978EA91D85D7</t>
  </si>
  <si>
    <t>27/01/2026 13:40</t>
  </si>
  <si>
    <t>ANA ROCCO</t>
  </si>
  <si>
    <t>09471330700</t>
  </si>
  <si>
    <t>anacarolina_rocco@bat.com</t>
  </si>
  <si>
    <t>4c959d0dccb09491041504a6059d106f</t>
  </si>
  <si>
    <t>ID-09471330700</t>
  </si>
  <si>
    <t>ORDRBHHWBIY0PJ55</t>
  </si>
  <si>
    <t>26/01/2026 09:38</t>
  </si>
  <si>
    <t>26/01/2026</t>
  </si>
  <si>
    <t>PAMELA EDUARADA PEREIRA OLIVEIRA</t>
  </si>
  <si>
    <t>01868706630</t>
  </si>
  <si>
    <t>pameladuellder@gmail.com</t>
  </si>
  <si>
    <t>5534997755356</t>
  </si>
  <si>
    <t>38425522</t>
  </si>
  <si>
    <t>Rua João Bernardes Cândido</t>
  </si>
  <si>
    <t>CASA 2</t>
  </si>
  <si>
    <t>Shopping Park</t>
  </si>
  <si>
    <t>bca6e81c6f0b790b199d502487c288b0</t>
  </si>
  <si>
    <t>IAFORLEADERS100%OFFMARTINS</t>
  </si>
  <si>
    <t>ID-01868706630</t>
  </si>
  <si>
    <t>COM6973DF23A7333</t>
  </si>
  <si>
    <t>23/01/2026 17:50</t>
  </si>
  <si>
    <t>Executive Program - 26 a 28 de Janeiro de 2026</t>
  </si>
  <si>
    <t>executive-program-ed1a26</t>
  </si>
  <si>
    <t>64297097375c6798e9a92cc789988876</t>
  </si>
  <si>
    <t>COM6973DB864EAC5</t>
  </si>
  <si>
    <t>23/01/2026 17:35</t>
  </si>
  <si>
    <t>Gilnara da Costa Silva</t>
  </si>
  <si>
    <t>81938541014</t>
  </si>
  <si>
    <t>gilnara.silva@basa.com.br</t>
  </si>
  <si>
    <t>5591985854762</t>
  </si>
  <si>
    <t>52e6c387311f5ad686ccf287193e1c98</t>
  </si>
  <si>
    <t>ID-81938541014</t>
  </si>
  <si>
    <t>COM6973D250965C0</t>
  </si>
  <si>
    <t>23/01/2026 16:56</t>
  </si>
  <si>
    <t>Sicredi Dexis - Jornada</t>
  </si>
  <si>
    <t>corporate-jornada-ed7a26_pagamento01</t>
  </si>
  <si>
    <t>Jessica Ketelin da Silva Correa</t>
  </si>
  <si>
    <t>79.342.069/0001-53</t>
  </si>
  <si>
    <t>COOPERATIVA DE CREDITO POUPANCA E INVESTIMENTO DEXIS SICREDI DEXIS</t>
  </si>
  <si>
    <t>jessica_scorrea@sicredi.com.br</t>
  </si>
  <si>
    <t>44999693880</t>
  </si>
  <si>
    <t>4433445000</t>
  </si>
  <si>
    <t>87013070</t>
  </si>
  <si>
    <t>PARANA</t>
  </si>
  <si>
    <t>891</t>
  </si>
  <si>
    <t>ZONA 01</t>
  </si>
  <si>
    <t>Jornada Conselheiros Sicredi Dexis</t>
  </si>
  <si>
    <t>0811c6fa0cbc3771af44bfbbe2deb543</t>
  </si>
  <si>
    <t>08/07/2019</t>
  </si>
  <si>
    <t>ID-79342069000153</t>
  </si>
  <si>
    <t>corporate-jornada-ed7a26_pagamento02</t>
  </si>
  <si>
    <t>corporate-jornada-ed7a26_pagamento03</t>
  </si>
  <si>
    <t>26/04/2026</t>
  </si>
  <si>
    <t>corporate-jornada-ed7a26_pagamento04</t>
  </si>
  <si>
    <t>COM6973AFC2C2C99</t>
  </si>
  <si>
    <t>23/01/2026 14:28</t>
  </si>
  <si>
    <t>Multiplica - Business Strategy Design - pagamento 01</t>
  </si>
  <si>
    <t>consulting-strategy-design-ed2a26_pagamento01</t>
  </si>
  <si>
    <t>Giseli Munaretti de Oliveira</t>
  </si>
  <si>
    <t>29.695.351/0001-46</t>
  </si>
  <si>
    <t>PERPETUO CONSULTORIA ESPECIALIZADA LTDA</t>
  </si>
  <si>
    <t>giseli.oliveira@grupomultiplica.com.br</t>
  </si>
  <si>
    <t>11948148240</t>
  </si>
  <si>
    <t>1125785628</t>
  </si>
  <si>
    <t>01311000</t>
  </si>
  <si>
    <t>283</t>
  </si>
  <si>
    <t>CONJ 141</t>
  </si>
  <si>
    <t>Multiplica - Business Strategy Design</t>
  </si>
  <si>
    <t>47eab543350ddbf2505235d3c1c61bac</t>
  </si>
  <si>
    <t>StartSe Consulting,StartSe Consulting,StartSe Consulting,StartSe Consulting,StartSe Consulting,StartSe Consulting,StartSe Consulting,StartSe Consulting,StartSe Consulting,StartSe Consulting,StartSe Consulting</t>
  </si>
  <si>
    <t>17/06/2022</t>
  </si>
  <si>
    <t>ID-29695351000146</t>
  </si>
  <si>
    <t>Multiplica - Business Strategy Design - pagamento 02</t>
  </si>
  <si>
    <t>consulting-strategy-design-ed2a26_pagamento02</t>
  </si>
  <si>
    <t>28/02/2026</t>
  </si>
  <si>
    <t>Multiplica - Business Strategy Design - pagamento 03</t>
  </si>
  <si>
    <t>consulting-strategy-design-ed2a26_pagamento03</t>
  </si>
  <si>
    <t>Multiplica - Business Strategy Design - pagamento 04</t>
  </si>
  <si>
    <t>consulting-strategy-design-ed2a26_pagamento04</t>
  </si>
  <si>
    <t>Multiplica - Business Strategy Design - pagamento 05</t>
  </si>
  <si>
    <t>consulting-strategy-design-ed2a26_pagamento05</t>
  </si>
  <si>
    <t>31/05/2026</t>
  </si>
  <si>
    <t>Multiplica - Business Strategy Design - pagamento 06</t>
  </si>
  <si>
    <t>consulting-strategy-design-ed2a26_pagamento06</t>
  </si>
  <si>
    <t>30/06/2026</t>
  </si>
  <si>
    <t>Multiplica - Business Strategy Design - pagamento 07</t>
  </si>
  <si>
    <t>consulting-strategy-design-ed2a26_pagamento07</t>
  </si>
  <si>
    <t>31/07/2026</t>
  </si>
  <si>
    <t>Multiplica - Business Strategy Design - pagamento 08</t>
  </si>
  <si>
    <t>consulting-strategy-design-ed2a26_pagamento08</t>
  </si>
  <si>
    <t>Multiplica - Business Strategy Design - pagamento 09</t>
  </si>
  <si>
    <t>consulting-strategy-design-ed2a26_pagamento09</t>
  </si>
  <si>
    <t>30/09/2026</t>
  </si>
  <si>
    <t>Multiplica - Business Strategy Design - pagamento 10</t>
  </si>
  <si>
    <t>consulting-strategy-design-ed2a26_pagamento10</t>
  </si>
  <si>
    <t>31/10/2026</t>
  </si>
  <si>
    <t>Multiplica - Business Strategy Design - pagamento 11</t>
  </si>
  <si>
    <t>consulting-strategy-design-ed2a26_pagamento11</t>
  </si>
  <si>
    <t>30/11/2026</t>
  </si>
  <si>
    <t>ORD0EAT50OPY1X7E</t>
  </si>
  <si>
    <t>22/01/2026 17:19</t>
  </si>
  <si>
    <t>22/01/2026</t>
  </si>
  <si>
    <t>Nixon Santos Ribeiro</t>
  </si>
  <si>
    <t>01516651685</t>
  </si>
  <si>
    <t>nribeiro@tribanco.com.br</t>
  </si>
  <si>
    <t>5534999991747</t>
  </si>
  <si>
    <t>38408084</t>
  </si>
  <si>
    <t>Rua Manoel Camargos da Cruz</t>
  </si>
  <si>
    <t>285</t>
  </si>
  <si>
    <t>Apto 603</t>
  </si>
  <si>
    <t>Santa Mônica</t>
  </si>
  <si>
    <t>860c652a57610a0da4556d7df1d4e6b2</t>
  </si>
  <si>
    <t>ID-01516651685</t>
  </si>
  <si>
    <t>ORD9N9IPTEHRV8FK</t>
  </si>
  <si>
    <t>22/01/2026 17:16</t>
  </si>
  <si>
    <t>Alfeu de Oliveira Jácome</t>
  </si>
  <si>
    <t>6d9575ed8d8266a660e216344f3fcfe5</t>
  </si>
  <si>
    <t>COM697259BDE8FAD</t>
  </si>
  <si>
    <t>22/01/2026 14:09</t>
  </si>
  <si>
    <t>Marcelo Ferreira da Gama</t>
  </si>
  <si>
    <t>12762462851</t>
  </si>
  <si>
    <t>marcelo.gama@lusobank.com.br</t>
  </si>
  <si>
    <t>5511976154262</t>
  </si>
  <si>
    <t>8a998869abc0e55dbce2ce3fdea95a66</t>
  </si>
  <si>
    <t>ID-12762462851</t>
  </si>
  <si>
    <t>ORD040SYG7B6MX0U</t>
  </si>
  <si>
    <t>22/01/2026 10:30</t>
  </si>
  <si>
    <t>28974115835F8PI6EOBE</t>
  </si>
  <si>
    <t>Samara Marinho Lisboa</t>
  </si>
  <si>
    <t>93895445304</t>
  </si>
  <si>
    <t>35.125.640/0001-02</t>
  </si>
  <si>
    <t>Distribuidora Litoral de Gêneros Alimentícios Ltda</t>
  </si>
  <si>
    <t>contasapagar@brokersaoluis.com.br</t>
  </si>
  <si>
    <t>5598981181541</t>
  </si>
  <si>
    <t>65095601</t>
  </si>
  <si>
    <t>Avenida Engenheiro Emiliano Macieira</t>
  </si>
  <si>
    <t>Rod Br 135</t>
  </si>
  <si>
    <t>Tibiri</t>
  </si>
  <si>
    <t>e8b046e1282240d28d8cea91a1da0761</t>
  </si>
  <si>
    <t>Interactive-NewBrokers</t>
  </si>
  <si>
    <t>ID-35125640000102</t>
  </si>
  <si>
    <t>COM697148048AE0A</t>
  </si>
  <si>
    <t>21/01/2026 18:41</t>
  </si>
  <si>
    <t>Alexandre Mancini</t>
  </si>
  <si>
    <t>21814251839</t>
  </si>
  <si>
    <t>Alexandre.Mancini@senior.com.br</t>
  </si>
  <si>
    <t>5519997253989</t>
  </si>
  <si>
    <t>336576ff5fa982bf2bcc7738590673f1</t>
  </si>
  <si>
    <t>ID-21814251839</t>
  </si>
  <si>
    <t>COM6971479130415</t>
  </si>
  <si>
    <t>21/01/2026 18:39</t>
  </si>
  <si>
    <t>Priscila Falcão</t>
  </si>
  <si>
    <t>09815924737</t>
  </si>
  <si>
    <t>pbfalcao@ipiranga.ipiranga</t>
  </si>
  <si>
    <t>5521996762674</t>
  </si>
  <si>
    <t>eab6cc3eefb37a93e13dcc3c900359c3</t>
  </si>
  <si>
    <t>ID-09815924737</t>
  </si>
  <si>
    <t>COM6971226F5EB0A</t>
  </si>
  <si>
    <t>21/01/2026 16:01</t>
  </si>
  <si>
    <t>430.335.588-79</t>
  </si>
  <si>
    <t>518880b3e2053a5c7ef30e0583bfad38</t>
  </si>
  <si>
    <t>COM697113E598594</t>
  </si>
  <si>
    <t>21/01/2026 14:59</t>
  </si>
  <si>
    <t>bb72ffbff42b4926eb6b6fdf61f10a50</t>
  </si>
  <si>
    <t>COM69711348D2219</t>
  </si>
  <si>
    <t>21/01/2026 14:56</t>
  </si>
  <si>
    <t>ALLEN CHAHAD</t>
  </si>
  <si>
    <t>29510918857</t>
  </si>
  <si>
    <t>allen@vibra.digital</t>
  </si>
  <si>
    <t>5511975411621</t>
  </si>
  <si>
    <t>1ce878a6a84db9ced5cf7273112c7087</t>
  </si>
  <si>
    <t>ID-29510918857</t>
  </si>
  <si>
    <t>COM697110DDB7267</t>
  </si>
  <si>
    <t>21/01/2026 14:46</t>
  </si>
  <si>
    <t>Rafael Leite Gregorio</t>
  </si>
  <si>
    <t>01464883424</t>
  </si>
  <si>
    <t>rafael.gregorio@santander.com.br</t>
  </si>
  <si>
    <t>5561981348409</t>
  </si>
  <si>
    <t>6ed314f15b3ee5ecbe6feb5964d4a667</t>
  </si>
  <si>
    <t>ID-01464883424</t>
  </si>
  <si>
    <t>COM6971107A70110</t>
  </si>
  <si>
    <t>21/01/2026 14:44</t>
  </si>
  <si>
    <t>Fabio Domingues de Oliveira</t>
  </si>
  <si>
    <t>15548167855</t>
  </si>
  <si>
    <t>fabio.doliveira@jsl.com.br</t>
  </si>
  <si>
    <t>5555119557791</t>
  </si>
  <si>
    <t>3c9ff058e0569cd128e74ede387db39b</t>
  </si>
  <si>
    <t>10/07/2023</t>
  </si>
  <si>
    <t>ID-15548167855</t>
  </si>
  <si>
    <t>COM69710DBC0E796</t>
  </si>
  <si>
    <t>21/01/2026 14:32</t>
  </si>
  <si>
    <t>William Vicentini</t>
  </si>
  <si>
    <t>35954421803</t>
  </si>
  <si>
    <t>william.vicentini@olxbr.com</t>
  </si>
  <si>
    <t>5511950912634</t>
  </si>
  <si>
    <t>fa01f52afbed7c73f610d0370f484d4a</t>
  </si>
  <si>
    <t>ID-35954421803</t>
  </si>
  <si>
    <t>COM69710D57E07C0</t>
  </si>
  <si>
    <t>21/01/2026 14:31</t>
  </si>
  <si>
    <t>Felipe Tadeu Valcanaia</t>
  </si>
  <si>
    <t>06362747992</t>
  </si>
  <si>
    <t>felipe.valcanaia@olxbr.com</t>
  </si>
  <si>
    <t>5547988054899</t>
  </si>
  <si>
    <t>69343b51e7ca21f97023742ef1244948</t>
  </si>
  <si>
    <t>ID-06362747992</t>
  </si>
  <si>
    <t>COM69710CB01CB63</t>
  </si>
  <si>
    <t>21/01/2026 14:28</t>
  </si>
  <si>
    <t>Silvano Lima de luna</t>
  </si>
  <si>
    <t>06938565805</t>
  </si>
  <si>
    <t>Silvano.Luna@cacaufoods.com.br</t>
  </si>
  <si>
    <t>839e50d3887664636964c38ed436406b</t>
  </si>
  <si>
    <t>ID-06938565805</t>
  </si>
  <si>
    <t>ORD206UW739LXI6C</t>
  </si>
  <si>
    <t>21/01/2026 08:47</t>
  </si>
  <si>
    <t>21/01/2026</t>
  </si>
  <si>
    <t>Bruna Meireles dos Santos</t>
  </si>
  <si>
    <t>11145923666</t>
  </si>
  <si>
    <t>bruna.santos@martins.com.br</t>
  </si>
  <si>
    <t>5534991519667</t>
  </si>
  <si>
    <t>38410384</t>
  </si>
  <si>
    <t>Avenida Serra do Espinhaço</t>
  </si>
  <si>
    <t>911</t>
  </si>
  <si>
    <t>São Jorge</t>
  </si>
  <si>
    <t>203b3d78907594c38b04d13a4745310a</t>
  </si>
  <si>
    <t>ID-11145923666</t>
  </si>
  <si>
    <t>COM696E6DFB225F0</t>
  </si>
  <si>
    <t>19/01/2026 14:46</t>
  </si>
  <si>
    <t>19/01/2026</t>
  </si>
  <si>
    <t>Marco Aurélio Alves Melo</t>
  </si>
  <si>
    <t>77898435168</t>
  </si>
  <si>
    <t>marcoaurelio@grupomtf.com.br</t>
  </si>
  <si>
    <t>556291570090</t>
  </si>
  <si>
    <t>3052b39b557ec0a7894de58a121c2741</t>
  </si>
  <si>
    <t>ID-77898435168</t>
  </si>
  <si>
    <t>ORD2J89D39MUAO47</t>
  </si>
  <si>
    <t>16/01/2026 16:00</t>
  </si>
  <si>
    <t>16/01/2026</t>
  </si>
  <si>
    <t>Luiz Felipe Vieira Maciel</t>
  </si>
  <si>
    <t>13318947601</t>
  </si>
  <si>
    <t>luiz.felipe@martins.com.br</t>
  </si>
  <si>
    <t>5534999943641</t>
  </si>
  <si>
    <t>38413069</t>
  </si>
  <si>
    <t>Avenida Jacarandá</t>
  </si>
  <si>
    <t>Apto 202 - C</t>
  </si>
  <si>
    <t>Jaraguá</t>
  </si>
  <si>
    <t>0a54016ec0d787dab5d1dc3b18a3c7f9</t>
  </si>
  <si>
    <t>ID-13318947601</t>
  </si>
  <si>
    <t>COM696A4A16E38FE</t>
  </si>
  <si>
    <t>16/01/2026 11:24</t>
  </si>
  <si>
    <t>José Fernando Uchôa Costa Neto</t>
  </si>
  <si>
    <t>37532618404</t>
  </si>
  <si>
    <t>jfuchoa@compesa.com.br</t>
  </si>
  <si>
    <t>5581982426670</t>
  </si>
  <si>
    <t>50040-000</t>
  </si>
  <si>
    <t>Avenida Cruz Cabugá</t>
  </si>
  <si>
    <t>d96f88220f7e6ddd1a3396876c726814</t>
  </si>
  <si>
    <t>ID-37532618404</t>
  </si>
  <si>
    <t>COM696A1C6A38478</t>
  </si>
  <si>
    <t>16/01/2026 08:09</t>
  </si>
  <si>
    <t>Pamela Lima de Oliveira</t>
  </si>
  <si>
    <t>40075590824</t>
  </si>
  <si>
    <t>pamela6202@gmail.com</t>
  </si>
  <si>
    <t>5535998087375</t>
  </si>
  <si>
    <t>05616-011</t>
  </si>
  <si>
    <t>Rua Dom Armando Lombardi</t>
  </si>
  <si>
    <t>Vila Progredior</t>
  </si>
  <si>
    <t>60220befd1da69f73540ad4ca1ed7891</t>
  </si>
  <si>
    <t>ID-40075590824</t>
  </si>
  <si>
    <t>COM696924BA3E3D2</t>
  </si>
  <si>
    <t>15/01/2026 14:32</t>
  </si>
  <si>
    <t>Daniella Alexim Romano</t>
  </si>
  <si>
    <t>41018920838</t>
  </si>
  <si>
    <t>daniellaromano3@gmail.com</t>
  </si>
  <si>
    <t>551197514800</t>
  </si>
  <si>
    <t>57ffb2473db1ae760ba1d391bd81216d</t>
  </si>
  <si>
    <t>ID-41018920838</t>
  </si>
  <si>
    <t>15/01/2026</t>
  </si>
  <si>
    <t>ORDZ7IY3R77RKFVM</t>
  </si>
  <si>
    <t>15/01/2026 13:12</t>
  </si>
  <si>
    <t>Andreia Martins Lopes</t>
  </si>
  <si>
    <t>84714921649</t>
  </si>
  <si>
    <t>alopes@tribanco.com.br</t>
  </si>
  <si>
    <t>5534991357294</t>
  </si>
  <si>
    <t>38400074</t>
  </si>
  <si>
    <t>Rua Carajás</t>
  </si>
  <si>
    <t>1600</t>
  </si>
  <si>
    <t>Bloco D APTO 02</t>
  </si>
  <si>
    <t>Lídice</t>
  </si>
  <si>
    <t>84e32bf820ef8cae37a30bfce3129ee8</t>
  </si>
  <si>
    <t>ID-84714921649</t>
  </si>
  <si>
    <t>ORDUVYXWYDFIJ2WN</t>
  </si>
  <si>
    <t>14/01/2026 15:12</t>
  </si>
  <si>
    <t>14/01/2026</t>
  </si>
  <si>
    <t>HILEJHANNE DE PAULA ALVES</t>
  </si>
  <si>
    <t>5534988279323</t>
  </si>
  <si>
    <t>84e29b0c8a3a5389d2810fb31a89a380</t>
  </si>
  <si>
    <t>ORDT9YF66992UPFN</t>
  </si>
  <si>
    <t>14/01/2026 15:05</t>
  </si>
  <si>
    <t>Roberta Berjas de Barros</t>
  </si>
  <si>
    <t>5511997863924</t>
  </si>
  <si>
    <t>01307002</t>
  </si>
  <si>
    <t>1380</t>
  </si>
  <si>
    <t>Andar 4</t>
  </si>
  <si>
    <t>Consolação</t>
  </si>
  <si>
    <t>9d1295a8ae0fc69e1c926f84eb735849</t>
  </si>
  <si>
    <t>ORD8GSSNM4L50XY4</t>
  </si>
  <si>
    <t>14/01/2026 14:05</t>
  </si>
  <si>
    <t>9619d660c1a2fd177637d1456517f286</t>
  </si>
  <si>
    <t>COM6967C9D884842</t>
  </si>
  <si>
    <t>14/01/2026 13:52</t>
  </si>
  <si>
    <t>GM Financial/Banco GM - Contrato Guarda-chuva</t>
  </si>
  <si>
    <t>corporate-melhor-escolha-ed3a26</t>
  </si>
  <si>
    <t>Valeria Machado</t>
  </si>
  <si>
    <t>59.274.605/0001-13</t>
  </si>
  <si>
    <t>BANCO GM S.A</t>
  </si>
  <si>
    <t>valeriamachado@gmfinancial.com</t>
  </si>
  <si>
    <t>11953053199</t>
  </si>
  <si>
    <t>1189221469</t>
  </si>
  <si>
    <t>04062003</t>
  </si>
  <si>
    <t>INDIANOPOLIS</t>
  </si>
  <si>
    <t>3096</t>
  </si>
  <si>
    <t>StartSe 2026/2027</t>
  </si>
  <si>
    <t>a1e7cac78ecd2363132aeefb9c464f9f</t>
  </si>
  <si>
    <t>28/09/2017</t>
  </si>
  <si>
    <t>ID-59274605000113</t>
  </si>
  <si>
    <t>ORD91PSVK5BQCM4C</t>
  </si>
  <si>
    <t>14/01/2026 09:39</t>
  </si>
  <si>
    <t>Marcos Clay da Rocha e Silva</t>
  </si>
  <si>
    <t>75933675172</t>
  </si>
  <si>
    <t>mclay@tribanco.com.br</t>
  </si>
  <si>
    <t>5534992340001</t>
  </si>
  <si>
    <t>Alameda dos Ingás, 450</t>
  </si>
  <si>
    <t>c600084fb5d6a1558fdd5defd90db392</t>
  </si>
  <si>
    <t>ID-75933675172</t>
  </si>
  <si>
    <t>COM6966B3D0EDF3C</t>
  </si>
  <si>
    <t>13/01/2026 18:06</t>
  </si>
  <si>
    <t>15cb2685f761770187c3726f9c295c58</t>
  </si>
  <si>
    <t>ORDVE0R2L2HJMI7O</t>
  </si>
  <si>
    <t>13/01/2026 17:09</t>
  </si>
  <si>
    <t>Fabrício Silva de Oliveira</t>
  </si>
  <si>
    <t>04035137669</t>
  </si>
  <si>
    <t>folivei@tribanco.com.br</t>
  </si>
  <si>
    <t>5534998876612</t>
  </si>
  <si>
    <t>38400694</t>
  </si>
  <si>
    <t>Av. Cesário Alvim</t>
  </si>
  <si>
    <t>Nossa Sra. Aparecida</t>
  </si>
  <si>
    <t>uberlandia</t>
  </si>
  <si>
    <t>41369fc95e1529d9c38e06289cfb1500</t>
  </si>
  <si>
    <t>ID-04035137669</t>
  </si>
  <si>
    <t>ORD6G1X3W4F1XTGW</t>
  </si>
  <si>
    <t>13/01/2026 16:36</t>
  </si>
  <si>
    <t>Avenida Cesário Alvim</t>
  </si>
  <si>
    <t>2936e32a4113d48ad341004ab6924170</t>
  </si>
  <si>
    <t>ORD8N1HWQ34JNOVJ</t>
  </si>
  <si>
    <t>13/01/2026 16:10</t>
  </si>
  <si>
    <t>Priscila Barbosa da Silva</t>
  </si>
  <si>
    <t>21881328821</t>
  </si>
  <si>
    <t>pbsilva@tribanco.com.br</t>
  </si>
  <si>
    <t>5511981290547</t>
  </si>
  <si>
    <t>Empresarial</t>
  </si>
  <si>
    <t>3908ca519439514d159df6ed80d1209a</t>
  </si>
  <si>
    <t>COM6966943101B43</t>
  </si>
  <si>
    <t>13/01/2026 15:51</t>
  </si>
  <si>
    <t>China Xperience - IPM Educação</t>
  </si>
  <si>
    <t>china-xperience-ed14a26</t>
  </si>
  <si>
    <t>Pedro Ernesto Fereira Miranda</t>
  </si>
  <si>
    <t>34.896.823/0001-69</t>
  </si>
  <si>
    <t>IPM EDUCACAO LTDA</t>
  </si>
  <si>
    <t>pedro@ipmeducacao.com.br</t>
  </si>
  <si>
    <t>62981123842</t>
  </si>
  <si>
    <t>6282650187</t>
  </si>
  <si>
    <t>74840060</t>
  </si>
  <si>
    <t>ARUMA</t>
  </si>
  <si>
    <t>129</t>
  </si>
  <si>
    <t>QUADRA163 LOTE 12</t>
  </si>
  <si>
    <t>PRQ AMAZONIA</t>
  </si>
  <si>
    <t>82322e983964af39a1caa69821977e2a</t>
  </si>
  <si>
    <t>https://loja.startse.com.br//processamento/fatura/82322e983964af39a1caa69821977e2a</t>
  </si>
  <si>
    <t>ID-34896823000169</t>
  </si>
  <si>
    <t>ORDZYKRJ6MXL53SD</t>
  </si>
  <si>
    <t>13/01/2026 14:18</t>
  </si>
  <si>
    <t>Rua 05, 346</t>
  </si>
  <si>
    <t>e5b18e2b6b0ce19e6a5ef7fa74de42d1</t>
  </si>
  <si>
    <t>ORDCS6DMVBM695FY</t>
  </si>
  <si>
    <t>13/01/2026 14:16</t>
  </si>
  <si>
    <t>Michelle Fidélis Vieira de Paiva</t>
  </si>
  <si>
    <t>06202090626</t>
  </si>
  <si>
    <t>mpai@tribanco.com.br</t>
  </si>
  <si>
    <t>5534996857442</t>
  </si>
  <si>
    <t>38405356</t>
  </si>
  <si>
    <t>Rua Jornalista José Batista Coury</t>
  </si>
  <si>
    <t>196</t>
  </si>
  <si>
    <t>91a58853dd49afc2719090134d67fe65</t>
  </si>
  <si>
    <t>21/03/2022</t>
  </si>
  <si>
    <t>ID-06202090626</t>
  </si>
  <si>
    <t>ORDIGD8F01EJ9X5B</t>
  </si>
  <si>
    <t>12/01/2026 18:42</t>
  </si>
  <si>
    <t>12/01/2026</t>
  </si>
  <si>
    <t>28974115835EVEV1JHJE</t>
  </si>
  <si>
    <t>Cintia Salmazo</t>
  </si>
  <si>
    <t>14745806884</t>
  </si>
  <si>
    <t>csalmazo@ford.com</t>
  </si>
  <si>
    <t>5511971205644</t>
  </si>
  <si>
    <t>04210060</t>
  </si>
  <si>
    <t>Rua Oliveira Alves</t>
  </si>
  <si>
    <t>354</t>
  </si>
  <si>
    <t>Apto62</t>
  </si>
  <si>
    <t>Ipiranga</t>
  </si>
  <si>
    <t>943702f59858560e7b1a3e499fdaed32</t>
  </si>
  <si>
    <t>FORDRH</t>
  </si>
  <si>
    <t>06/11/2024</t>
  </si>
  <si>
    <t>ID-14745806884</t>
  </si>
  <si>
    <t>COM69652F6923851</t>
  </si>
  <si>
    <t>12/01/2026 14:29</t>
  </si>
  <si>
    <t>Executive Program StartSe - Participantes: Fabio Shoiti Kanno e Renê Ribeiro de Lima</t>
  </si>
  <si>
    <t>768d68caf170f34b8f7876780f20a5f1</t>
  </si>
  <si>
    <t>COM6965236940739</t>
  </si>
  <si>
    <t>12/01/2026 13:38</t>
  </si>
  <si>
    <t>AI para Negócios - Imersão Presencial -  22 e 23 de Janeiro de 2026</t>
  </si>
  <si>
    <t>imersao-presencial-de-ai-ed1a26</t>
  </si>
  <si>
    <t>Carlos Rogério Aldeia</t>
  </si>
  <si>
    <t>01074515730</t>
  </si>
  <si>
    <t>carlos.rogerio@cinbal.com.br</t>
  </si>
  <si>
    <t>5524992793925</t>
  </si>
  <si>
    <t>AI para Negócios - Imersão Presencial - 22 e 23 de Janeiro de 2026</t>
  </si>
  <si>
    <t>47d8f49581e491a345f79c876f4b6540</t>
  </si>
  <si>
    <t>ID-01074515730</t>
  </si>
  <si>
    <t>ORD532B4THLTLE7G</t>
  </si>
  <si>
    <t>12/01/2026 12:05</t>
  </si>
  <si>
    <t>28974115835EVEU85JLE</t>
  </si>
  <si>
    <t>Asia Shipping Transportes Internacionais Ltda</t>
  </si>
  <si>
    <t>27707272811</t>
  </si>
  <si>
    <t>01.137.526/0001-80</t>
  </si>
  <si>
    <t>ASIA SHIPPING TRANSPORTES INTERNACIONAIS LTDA</t>
  </si>
  <si>
    <t>sergio.bueno@br-asgroup.com</t>
  </si>
  <si>
    <t>5511972355070</t>
  </si>
  <si>
    <t>11050031</t>
  </si>
  <si>
    <t>Rua Alexandre Herculano</t>
  </si>
  <si>
    <t>197</t>
  </si>
  <si>
    <t>Sala 702-703-1301-1304</t>
  </si>
  <si>
    <t>Gonzaga</t>
  </si>
  <si>
    <t>Santos</t>
  </si>
  <si>
    <t>249e15bfff1ccd2a7a35cc57510cf212</t>
  </si>
  <si>
    <t>Especial_FernandaBitt</t>
  </si>
  <si>
    <t>29/12/2023</t>
  </si>
  <si>
    <t>ID-01137526000180</t>
  </si>
  <si>
    <t>ORDADBDBC4R6ZC91</t>
  </si>
  <si>
    <t>12/01/2026 11:11</t>
  </si>
  <si>
    <t>AI MAX - Turma 15</t>
  </si>
  <si>
    <t>ai-max-ed15a26</t>
  </si>
  <si>
    <t>Michelle Martins Ferreira</t>
  </si>
  <si>
    <t>36703021821</t>
  </si>
  <si>
    <t>michelle.ferreira@fraslemobility.com</t>
  </si>
  <si>
    <t>5554999582674</t>
  </si>
  <si>
    <t>fe6ccd746e9c8be9c7c16f7eeec962eb</t>
  </si>
  <si>
    <t>CORTESIARANDONCORP</t>
  </si>
  <si>
    <t>Vale do Silício,Brasil</t>
  </si>
  <si>
    <t>ID-36703021821</t>
  </si>
  <si>
    <t>COM6964FF6AC3E3A</t>
  </si>
  <si>
    <t>12/01/2026 11:04</t>
  </si>
  <si>
    <t>Data for Leaders - 2025</t>
  </si>
  <si>
    <t>data-for-leaders-ed1a25</t>
  </si>
  <si>
    <t>5499582674</t>
  </si>
  <si>
    <t>3dc1c2aaed3181c79a5a59079cdc5947</t>
  </si>
  <si>
    <t>01/01/2025</t>
  </si>
  <si>
    <t>COM6964EF09D1596</t>
  </si>
  <si>
    <t>12/01/2026 09:54</t>
  </si>
  <si>
    <t>Raquel Zachara</t>
  </si>
  <si>
    <t>21.045.128/0001-41</t>
  </si>
  <si>
    <t>POLO CURSOS E PALESTRAS LTDA</t>
  </si>
  <si>
    <t>sebrae.sc@polopalestrantes.com</t>
  </si>
  <si>
    <t>12991718728</t>
  </si>
  <si>
    <t>1236725532</t>
  </si>
  <si>
    <t>12125360</t>
  </si>
  <si>
    <t>Avenida Tom Jobim</t>
  </si>
  <si>
    <t>257</t>
  </si>
  <si>
    <t>Sala 02</t>
  </si>
  <si>
    <t>Loteamento Residencial Porto Seguro</t>
  </si>
  <si>
    <t>Tremembé</t>
  </si>
  <si>
    <t>Sebrae SC - AI para Negócios - Imersão Presencial - 22 e 23 de Janeiro de 2026 - Fabio Burigo Zanuzzi - Roberto Tavares de Albuquerque - Rafael Barcelos Perfeito</t>
  </si>
  <si>
    <t>3323f2f0ba739c5f321b23ffcb3a707c</t>
  </si>
  <si>
    <t>17/10/2024</t>
  </si>
  <si>
    <t>ID-21045128000141</t>
  </si>
  <si>
    <t>COM6964E778E0244</t>
  </si>
  <si>
    <t>12/01/2026 09:22</t>
  </si>
  <si>
    <t>Jonas Eduardo Nicodemo</t>
  </si>
  <si>
    <t>05769412631</t>
  </si>
  <si>
    <t>jonasen@sebraesp.com.br</t>
  </si>
  <si>
    <t>5511983691994</t>
  </si>
  <si>
    <t>01504-001</t>
  </si>
  <si>
    <t>Rua Vergueiro</t>
  </si>
  <si>
    <t>99a11e8226aeb42fbb15040747c26204</t>
  </si>
  <si>
    <t>ID-05769412631</t>
  </si>
  <si>
    <t>ORDCQ89LKGQSQPSM</t>
  </si>
  <si>
    <t>09/01/2026 21:56</t>
  </si>
  <si>
    <t>09/01/2026</t>
  </si>
  <si>
    <t>Marcos Vinicius Benvindo Moreira</t>
  </si>
  <si>
    <t>07613357651</t>
  </si>
  <si>
    <t>marcos.moreira@martins.com.br</t>
  </si>
  <si>
    <t>5534996532123</t>
  </si>
  <si>
    <t>38408094</t>
  </si>
  <si>
    <t>Praça Geraldo Teixeira Machado</t>
  </si>
  <si>
    <t>364</t>
  </si>
  <si>
    <t>0255769965fcecc010e00fb0c7194560</t>
  </si>
  <si>
    <t>ID-07613357651</t>
  </si>
  <si>
    <t>ORDJDJGMKI2I1TED</t>
  </si>
  <si>
    <t>09/01/2026 17:36</t>
  </si>
  <si>
    <t>Eugênia Carolina Morais Duarte</t>
  </si>
  <si>
    <t>09168640498</t>
  </si>
  <si>
    <t>11.895.927/0001-53</t>
  </si>
  <si>
    <t>NORDESA LOGISTICA E DISTRIBUICAO LTDA</t>
  </si>
  <si>
    <t>eugenia@nordesa.com.br</t>
  </si>
  <si>
    <t>5583998004278</t>
  </si>
  <si>
    <t>58087000</t>
  </si>
  <si>
    <t>CRUZ DAS ARMAS</t>
  </si>
  <si>
    <t>2222</t>
  </si>
  <si>
    <t>TERREO</t>
  </si>
  <si>
    <t>5ae9e3d6a2371a9472e48fab42e627a5</t>
  </si>
  <si>
    <t>03/07/2019</t>
  </si>
  <si>
    <t>ID-11895927000153</t>
  </si>
  <si>
    <t>ORDZWR7004YWG4CQ</t>
  </si>
  <si>
    <t>09/01/2026 12:38</t>
  </si>
  <si>
    <t>Juliene Salvan</t>
  </si>
  <si>
    <t>00694199907</t>
  </si>
  <si>
    <t>jsalvan@band.com.br</t>
  </si>
  <si>
    <t>5511986411141</t>
  </si>
  <si>
    <t>04562000</t>
  </si>
  <si>
    <t>Rua Indiana</t>
  </si>
  <si>
    <t>555</t>
  </si>
  <si>
    <t>apto 82</t>
  </si>
  <si>
    <t>85a7555c1e106cbb64243c733de1c47f</t>
  </si>
  <si>
    <t>JulieneSalvanCORTESIA</t>
  </si>
  <si>
    <t>ID-00694199907</t>
  </si>
  <si>
    <t>COM696112EBD1A46</t>
  </si>
  <si>
    <t>09/01/2026 11:38</t>
  </si>
  <si>
    <t>Francisco Lima Júnior</t>
  </si>
  <si>
    <t>81033567191</t>
  </si>
  <si>
    <t>francisco.junior@sebraego.com.br</t>
  </si>
  <si>
    <t>5562985974502</t>
  </si>
  <si>
    <t>09484d4a379041ec5540dfd262fd9d33</t>
  </si>
  <si>
    <t>23/08/2017</t>
  </si>
  <si>
    <t>ID-81033567191</t>
  </si>
  <si>
    <t>COM69602259B1EF6</t>
  </si>
  <si>
    <t>08/01/2026 18:32</t>
  </si>
  <si>
    <t>08/01/2026</t>
  </si>
  <si>
    <t>Aline Soares da Silva</t>
  </si>
  <si>
    <t>34276703840</t>
  </si>
  <si>
    <t>Aline.soares@automob.com.br</t>
  </si>
  <si>
    <t>AI for Leaders</t>
  </si>
  <si>
    <t>b33fb53110db02d9b67200e7d3d75564</t>
  </si>
  <si>
    <t>ID-34276703840</t>
  </si>
  <si>
    <t>COM696021DEDCF97</t>
  </si>
  <si>
    <t>08/01/2026 18:30</t>
  </si>
  <si>
    <t>ai-for-leaders-ed1a23</t>
  </si>
  <si>
    <t>Peterson Francisco de Jesus</t>
  </si>
  <si>
    <t>38513762857</t>
  </si>
  <si>
    <t>Peterson.jesus@simpar.com.br</t>
  </si>
  <si>
    <t>8d22c615fbb4ab997deaf42f15a6c7c7</t>
  </si>
  <si>
    <t>01/05/2023</t>
  </si>
  <si>
    <t>ID-38513762857</t>
  </si>
  <si>
    <t>COM6960215719CF2</t>
  </si>
  <si>
    <t>08/01/2026 18:27</t>
  </si>
  <si>
    <t>KENNEDY MOURAO FIGUEIREDO</t>
  </si>
  <si>
    <t>06257693683</t>
  </si>
  <si>
    <t>kennedy.figueiredo@grupovamos.com.br</t>
  </si>
  <si>
    <t>6531130419483cdb9d961174e0ca654b</t>
  </si>
  <si>
    <t>ID-06257693683</t>
  </si>
  <si>
    <t>COM69601FE35B805</t>
  </si>
  <si>
    <t>08/01/2026 18:21</t>
  </si>
  <si>
    <t>Larissa Matos Cardoso Castro</t>
  </si>
  <si>
    <t>02920544594</t>
  </si>
  <si>
    <t>larissa.castro@odontoprev.com.br</t>
  </si>
  <si>
    <t>557188607385</t>
  </si>
  <si>
    <t>0853b79376dbbdec70b0000ca5511440</t>
  </si>
  <si>
    <t>ID-02920544594</t>
  </si>
  <si>
    <t>COM69601EB6DF042</t>
  </si>
  <si>
    <t>08/01/2026 18:16</t>
  </si>
  <si>
    <t>daa0241436a9fed1294c81640ce6f03b</t>
  </si>
  <si>
    <t>COM695EC6500B8F6</t>
  </si>
  <si>
    <t>07/01/2026 17:47</t>
  </si>
  <si>
    <t>07/01/2026</t>
  </si>
  <si>
    <t>02.846.056/0001-97</t>
  </si>
  <si>
    <t>MOTIVA INFRAESTRUTURA DE MOBILIDADE S.A.</t>
  </si>
  <si>
    <t>11933354455</t>
  </si>
  <si>
    <t>1197394814</t>
  </si>
  <si>
    <t>05425070</t>
  </si>
  <si>
    <t>DRA RUTH CARDOSO</t>
  </si>
  <si>
    <t>8501</t>
  </si>
  <si>
    <t>ANDAR 5</t>
  </si>
  <si>
    <t>Multa de 15% referente ao distrato do contrato junto à StartSe | Imersão Internacional China.</t>
  </si>
  <si>
    <t>731719e59145811c8e4769341cae6f81</t>
  </si>
  <si>
    <t>ID-02846056000197</t>
  </si>
  <si>
    <t>Marcos Cassol</t>
  </si>
  <si>
    <t>90207009015</t>
  </si>
  <si>
    <t>cassolmarcosr@johndeere.com</t>
  </si>
  <si>
    <t>5519996400520</t>
  </si>
  <si>
    <t>Rodovia Engenheiro Ermênio de Oliveira Penteado</t>
  </si>
  <si>
    <t>Helvétia</t>
  </si>
  <si>
    <t>Cassol John Deere</t>
  </si>
  <si>
    <t>ID-90207009015</t>
  </si>
  <si>
    <t>ORDN4UHFQJY10DQU</t>
  </si>
  <si>
    <t>07/01/2026 09:20</t>
  </si>
  <si>
    <t>Luiz Gustavo Neves</t>
  </si>
  <si>
    <t>12694498698</t>
  </si>
  <si>
    <t>luiz.neve@martins.com.br</t>
  </si>
  <si>
    <t>5534987009803</t>
  </si>
  <si>
    <t>38408603</t>
  </si>
  <si>
    <t>Rua Tapajós</t>
  </si>
  <si>
    <t>263</t>
  </si>
  <si>
    <t>Vigilato Pereira</t>
  </si>
  <si>
    <t>7c69d149a7e3cf81904b61ebc66a4c9a</t>
  </si>
  <si>
    <t>ID-12694498698</t>
  </si>
  <si>
    <t>ORDOVO1RYKIL9DDP</t>
  </si>
  <si>
    <t>07/01/2026 09:03</t>
  </si>
  <si>
    <t>João Paulo Silva Moreira</t>
  </si>
  <si>
    <t>07088036606</t>
  </si>
  <si>
    <t>joao.moreir@martins.com.br</t>
  </si>
  <si>
    <t>5534999700948</t>
  </si>
  <si>
    <t>38400679</t>
  </si>
  <si>
    <t>Rua Jatai</t>
  </si>
  <si>
    <t>1150</t>
  </si>
  <si>
    <t>baa8fdd12bf2403dcc29f6d134a4def6</t>
  </si>
  <si>
    <t>ID-07088036606</t>
  </si>
  <si>
    <t>ORD0OP5PWT8KVH1R</t>
  </si>
  <si>
    <t>06/01/2026 18:18</t>
  </si>
  <si>
    <t>06/01/2026</t>
  </si>
  <si>
    <t>MARIA APARECIDA FERREIRA</t>
  </si>
  <si>
    <t>02607724619</t>
  </si>
  <si>
    <t>maria.ferreira@martins.com.br</t>
  </si>
  <si>
    <t>5534988279529</t>
  </si>
  <si>
    <t>38401760</t>
  </si>
  <si>
    <t>Rua Maestro Alyrio França</t>
  </si>
  <si>
    <t>126</t>
  </si>
  <si>
    <t>ap 02</t>
  </si>
  <si>
    <t>ba3edc694cf3ecd936f94e26de4e408a</t>
  </si>
  <si>
    <t>ID-02607724619</t>
  </si>
  <si>
    <t>COM695D69EB75B9D</t>
  </si>
  <si>
    <t>06/01/2026 17:00</t>
  </si>
  <si>
    <t>AI Journey - Turma 3</t>
  </si>
  <si>
    <t>ai-journey-ed1a26</t>
  </si>
  <si>
    <t>Déborah Vivian Grigória Pereira</t>
  </si>
  <si>
    <t>03.566.655/0001-10</t>
  </si>
  <si>
    <t>COOPERATIVA DE CREDITO, POUPANCA E INVESTIMENTO CELEIRO CENTRO OESTE SICREDI CELEIRO CENTRO OESTE</t>
  </si>
  <si>
    <t>pereira_deborah@sicredi.com.br</t>
  </si>
  <si>
    <t>67992261264</t>
  </si>
  <si>
    <t>6732952097</t>
  </si>
  <si>
    <t>79490011</t>
  </si>
  <si>
    <t>MINAS GERAIS</t>
  </si>
  <si>
    <t>1226</t>
  </si>
  <si>
    <t>ESQUINA COM AVENIDA GETULIO VARGAS 1 E 2 PISO</t>
  </si>
  <si>
    <t>São Gabriel do Oeste</t>
  </si>
  <si>
    <t>4 Inscrições AI Journey - Participantes: Eduardo Jose Morando Freitas, Raiany Sousa Gomes, Kauan Scatolin Sabka e Jonatas Stein Ribeiro</t>
  </si>
  <si>
    <t>f206d55ae75deac5cfbf176bb3550652</t>
  </si>
  <si>
    <t>Brasil,Vale do Silício,Brasil,Vale do Silício,Brasil</t>
  </si>
  <si>
    <t>ID-03566655000110</t>
  </si>
  <si>
    <t>AI MAX - Turma 18</t>
  </si>
  <si>
    <t>ai-max-ed18a26</t>
  </si>
  <si>
    <t>27/05/2026</t>
  </si>
  <si>
    <t>COM695D4106D666F</t>
  </si>
  <si>
    <t>06/01/2026 14:06</t>
  </si>
  <si>
    <t>Tomorrow Learning - São Paulo - 19 a 21 de Janeiro 2026</t>
  </si>
  <si>
    <t>tomorrow-learning-ed2a26</t>
  </si>
  <si>
    <t>André Kohama</t>
  </si>
  <si>
    <t>97097470020</t>
  </si>
  <si>
    <t>andre.kohama@startse.com</t>
  </si>
  <si>
    <t>5511991249858</t>
  </si>
  <si>
    <t>05633-010</t>
  </si>
  <si>
    <t>Rua Doutor Mário de Moura e Albuquerque</t>
  </si>
  <si>
    <t>ap 103 D</t>
  </si>
  <si>
    <t>kOHAMA B2B</t>
  </si>
  <si>
    <t>1592be1bb2780cf56eec1ef257d10b0c</t>
  </si>
  <si>
    <t>ID-97097470020</t>
  </si>
  <si>
    <t>COM695D3E4B16432</t>
  </si>
  <si>
    <t>06/01/2026 13:54</t>
  </si>
  <si>
    <t>Kohama B2B</t>
  </si>
  <si>
    <t>0c7e110d4391bc8aa287f56f265e2cc0</t>
  </si>
  <si>
    <t>ORDBRJBX5BWX2YYA</t>
  </si>
  <si>
    <t>05/01/2026 17:16</t>
  </si>
  <si>
    <t>05/01/2026</t>
  </si>
  <si>
    <t>Programa de Liderança Feminina - Turma 03</t>
  </si>
  <si>
    <t>programa-de-lideranca-feminina-ed3a25</t>
  </si>
  <si>
    <t>Ana Laura Macedo Couto</t>
  </si>
  <si>
    <t>51623197830</t>
  </si>
  <si>
    <t>anacoutoo@outlook.com</t>
  </si>
  <si>
    <t>5515997308739</t>
  </si>
  <si>
    <t>06132140</t>
  </si>
  <si>
    <t>Rua Circular</t>
  </si>
  <si>
    <t>09a46e52dcee877f1577d515cb80313f</t>
  </si>
  <si>
    <t>offplfcortesia2026</t>
  </si>
  <si>
    <t>18/07/2025</t>
  </si>
  <si>
    <t>ID-51623197830</t>
  </si>
  <si>
    <t>COM695C13BE18157</t>
  </si>
  <si>
    <t>05/01/2026 16:40</t>
  </si>
  <si>
    <t>13337-300</t>
  </si>
  <si>
    <t>0d2227bd1a6dbc0c95740483866ddd86</t>
  </si>
  <si>
    <t>COM695C0F5EB464C</t>
  </si>
  <si>
    <t>05/01/2026 16:22</t>
  </si>
  <si>
    <t>Isabela Lobel</t>
  </si>
  <si>
    <t>41745113819</t>
  </si>
  <si>
    <t>isabela_lobel@hotmail.com</t>
  </si>
  <si>
    <t>5511999886459</t>
  </si>
  <si>
    <t>05414-025</t>
  </si>
  <si>
    <t>Rua Francisco Leitão</t>
  </si>
  <si>
    <t>97</t>
  </si>
  <si>
    <t>3eb1381e8da81f94ccafc61d98db3621</t>
  </si>
  <si>
    <t>ID-41745113819</t>
  </si>
  <si>
    <t>Mês</t>
  </si>
  <si>
    <t>Vendedor</t>
  </si>
  <si>
    <t>Row Labels</t>
  </si>
  <si>
    <t>(blank)</t>
  </si>
  <si>
    <t>Grand Total</t>
  </si>
  <si>
    <t>Column Labels</t>
  </si>
  <si>
    <t>Sum of Quantidade</t>
  </si>
  <si>
    <t>Total Sum of Total</t>
  </si>
  <si>
    <t>Total Sum of Quantidade</t>
  </si>
  <si>
    <t>Sum of Total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</si>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</sst>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/>
    <xf numFmtId="0" fontId="2" fillId="0" borderId="0" xfId="0" applyNumberFormat="1" applyFont="1" applyAlignment="1"/>
    <xf numFmtId="4" fontId="2" fillId="0" borderId="0" xfId="0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artSe" refreshedDate="46156.434695254633" createdVersion="8" refreshedVersion="8" minRefreshableVersion="3" recordCount="1199" xr:uid="{5663C61E-9C8A-4C89-B9D8-7ED75DFF91A2}">
  <cacheSource type="worksheet">
    <worksheetSource ref="A1:AZ1048576" sheet="Sheet1"/>
  </cacheSource>
  <cacheFields count="52">
    <cacheField name="Guid" numFmtId="0">
      <sharedItems containsBlank="1"/>
    </cacheField>
    <cacheField name="Fatura" numFmtId="0">
      <sharedItems containsString="0" containsBlank="1" containsNumber="1" containsInteger="1" minValue="239555" maxValue="250199"/>
    </cacheField>
    <cacheField name="Data" numFmtId="0">
      <sharedItems containsBlank="1"/>
    </cacheField>
    <cacheField name="Mês" numFmtId="0">
      <sharedItems containsString="0" containsBlank="1" containsNumber="1" containsInteger="1" minValue="1" maxValue="5" count="6">
        <n v="5"/>
        <n v="4"/>
        <n v="3"/>
        <n v="2"/>
        <n v="1"/>
        <m/>
      </sharedItems>
    </cacheField>
    <cacheField name="Boleto_vencimento" numFmtId="0">
      <sharedItems containsNonDate="0" containsString="0" containsBlank="1"/>
    </cacheField>
    <cacheField name="Data_pagamento" numFmtId="0">
      <sharedItems containsBlank="1"/>
    </cacheField>
    <cacheField name="Status" numFmtId="0">
      <sharedItems containsBlank="1"/>
    </cacheField>
    <cacheField name="Quantidade" numFmtId="0">
      <sharedItems containsString="0" containsBlank="1" containsNumber="1" containsInteger="1" minValue="0" maxValue="174"/>
    </cacheField>
    <cacheField name="Parcelas" numFmtId="0">
      <sharedItems containsString="0" containsBlank="1" containsNumber="1" containsInteger="1" minValue="0" maxValue="12"/>
    </cacheField>
    <cacheField name="Total" numFmtId="0">
      <sharedItems containsString="0" containsBlank="1" containsNumber="1" minValue="0" maxValue="4267500"/>
    </cacheField>
    <cacheField name="Gateway" numFmtId="0">
      <sharedItems containsBlank="1"/>
    </cacheField>
    <cacheField name="Valor_cartao" numFmtId="0">
      <sharedItems containsString="0" containsBlank="1" containsNumber="1" minValue="0" maxValue="4005048.75"/>
    </cacheField>
    <cacheField name="Tid" numFmtId="0">
      <sharedItems containsBlank="1"/>
    </cacheField>
    <cacheField name="Meio" numFmtId="0">
      <sharedItems containsBlank="1"/>
    </cacheField>
    <cacheField name="Bandeira" numFmtId="0">
      <sharedItems containsBlank="1"/>
    </cacheField>
    <cacheField name="Produto" numFmtId="0">
      <sharedItems containsBlank="1"/>
    </cacheField>
    <cacheField name="Identificador" numFmtId="0">
      <sharedItems containsBlank="1"/>
    </cacheField>
    <cacheField name="Nome_cliente" numFmtId="0">
      <sharedItems containsBlank="1"/>
    </cacheField>
    <cacheField name="Cpf" numFmtId="0">
      <sharedItems containsBlank="1"/>
    </cacheField>
    <cacheField name="Cnpj" numFmtId="0">
      <sharedItems containsBlank="1"/>
    </cacheField>
    <cacheField name="Empresa" numFmtId="0">
      <sharedItems containsBlank="1"/>
    </cacheField>
    <cacheField name="Email" numFmtId="0">
      <sharedItems containsBlank="1"/>
    </cacheField>
    <cacheField name="Telefone" numFmtId="0">
      <sharedItems containsBlank="1"/>
    </cacheField>
    <cacheField name="Telefone_comercial" numFmtId="0">
      <sharedItems containsBlank="1"/>
    </cacheField>
    <cacheField name="Cep" numFmtId="0">
      <sharedItems containsBlank="1"/>
    </cacheField>
    <cacheField name="Logradouro" numFmtId="0">
      <sharedItems containsBlank="1"/>
    </cacheField>
    <cacheField name="Numero" numFmtId="0">
      <sharedItems containsBlank="1"/>
    </cacheField>
    <cacheField name="Complemento" numFmtId="0">
      <sharedItems containsBlank="1"/>
    </cacheField>
    <cacheField name="Bairro" numFmtId="0">
      <sharedItems containsBlank="1"/>
    </cacheField>
    <cacheField name="Cidade" numFmtId="0">
      <sharedItems containsBlank="1"/>
    </cacheField>
    <cacheField name="Estado" numFmtId="0">
      <sharedItems containsBlank="1"/>
    </cacheField>
    <cacheField name="Tipo_imposto" numFmtId="0">
      <sharedItems containsBlank="1"/>
    </cacheField>
    <cacheField name="Anotacoes" numFmtId="0">
      <sharedItems containsBlank="1"/>
    </cacheField>
    <cacheField name="Desconto_descricao" numFmtId="0">
      <sharedItems containsNonDate="0" containsString="0" containsBlank="1"/>
    </cacheField>
    <cacheField name="Url_invoice" numFmtId="0">
      <sharedItems containsNonDate="0" containsString="0" containsBlank="1"/>
    </cacheField>
    <cacheField name="Url_contrato" numFmtId="0">
      <sharedItems containsNonDate="0" containsString="0" containsBlank="1"/>
    </cacheField>
    <cacheField name="Hash_compra" numFmtId="0">
      <sharedItems containsBlank="1"/>
    </cacheField>
    <cacheField name="Cupom" numFmtId="0">
      <sharedItems containsBlank="1"/>
    </cacheField>
    <cacheField name="Venda_afiliado" numFmtId="0">
      <sharedItems containsBlank="1"/>
    </cacheField>
    <cacheField name="Vendedor" numFmtId="0">
      <sharedItems containsBlank="1" count="16">
        <s v="Alvaro Carnio"/>
        <s v="Leticia Lenox Lage Paulino"/>
        <s v="CAIO BATISTA PAIXAO"/>
        <s v="JULIA CHAGAS DINIZ CAMARGO"/>
        <s v="GUSTAVO MARQUES DE ALMEIDA"/>
        <s v="LIGIA TORCATTO FRANZINI"/>
        <s v="Pedro Lobel"/>
        <s v="Fernanda França Bittencourt"/>
        <s v="FELIPE BARBOSA DOS SANTOS VASCONCELOS"/>
        <s v="Moises Cicero Brito Irmao"/>
        <s v="Andre Luis Kohama"/>
        <s v="Felipe Frias Ceitlin"/>
        <s v="Bruna Freire Silva"/>
        <s v="Junior Borneli"/>
        <s v="Luis Fernando Roos Acosta"/>
        <m/>
      </sharedItems>
    </cacheField>
    <cacheField name="Afiliado_desconto" numFmtId="0">
      <sharedItems containsNonDate="0" containsString="0" containsBlank="1"/>
    </cacheField>
    <cacheField name="Data_entrega" numFmtId="0">
      <sharedItems containsBlank="1"/>
    </cacheField>
    <cacheField name="Reembolso_data" numFmtId="0">
      <sharedItems containsNonDate="0" containsString="0" containsBlank="1"/>
    </cacheField>
    <cacheField name="Reembolso_msg" numFmtId="0">
      <sharedItems containsNonDate="0" containsString="0" containsBlank="1"/>
    </cacheField>
    <cacheField name="Url_fatura" numFmtId="0">
      <sharedItems containsBlank="1"/>
    </cacheField>
    <cacheField name="Verticais" numFmtId="0">
      <sharedItems containsBlank="1" longText="1"/>
    </cacheField>
    <cacheField name="Canal" numFmtId="0">
      <sharedItems containsBlank="1"/>
    </cacheField>
    <cacheField name="Data_primeira_compra_cnpj_cpf" numFmtId="0">
      <sharedItems containsBlank="1"/>
    </cacheField>
    <cacheField name="Refid" numFmtId="0">
      <sharedItems containsBlank="1"/>
    </cacheField>
    <cacheField name="Status_a_receber" numFmtId="0">
      <sharedItems containsBlank="1"/>
    </cacheField>
    <cacheField name="Usuario_cancelamento" numFmtId="0">
      <sharedItems containsNonDate="0" containsString="0" containsBlank="1"/>
    </cacheField>
    <cacheField name="Status_financeiro" numFmtId="0">
      <sharedItems containsBlank="1" count="6">
        <s v="Pago"/>
        <s v="??"/>
        <s v="Não Iniciado"/>
        <s v="Em Atraso"/>
        <s v="Adimplente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9">
  <r>
    <s v="COM6A05B67435CB2"/>
    <n v="250199"/>
    <s v="14/05/2026 08:48"/>
    <x v="0"/>
    <m/>
    <s v="14/05/2026"/>
    <s v="Aprovado"/>
    <n v="1"/>
    <n v="1"/>
    <n v="950"/>
    <m/>
    <n v="950"/>
    <s v=""/>
    <s v="Cortesia"/>
    <s v="cortesia"/>
    <s v="AI Festival 2026 - Ingresso Interactive"/>
    <s v="evento-ia-ed1a26_interactive"/>
    <s v="WESLEY CARIOLANO"/>
    <s v="07124289505"/>
    <m/>
    <m/>
    <s v="WJCARIOLANO@GMAIL.COM"/>
    <s v="5571982746897"/>
    <m/>
    <s v="04578-910"/>
    <s v="Avenida das Nações Unidas"/>
    <s v="12901"/>
    <m/>
    <s v="Brooklin Paulista"/>
    <s v="São Paulo"/>
    <s v="SP"/>
    <s v="Filial(São Paulo)"/>
    <m/>
    <m/>
    <m/>
    <m/>
    <s v="a873a778ff6bd7ca7f33396f1eb57fd8"/>
    <m/>
    <s v="Nao"/>
    <x v="0"/>
    <m/>
    <s v="13/05/2026"/>
    <m/>
    <m/>
    <m/>
    <m/>
    <s v="KAM"/>
    <s v="14/05/2026"/>
    <s v="ID-07124289505"/>
    <m/>
    <m/>
    <x v="0"/>
  </r>
  <r>
    <s v="ORDWGBI2G6F3BPE4"/>
    <n v="250168"/>
    <s v="13/05/2026 18:33"/>
    <x v="0"/>
    <m/>
    <s v="13/05/2026"/>
    <s v="Aprovado"/>
    <n v="2"/>
    <n v="12"/>
    <n v="70000"/>
    <s v="Braintree"/>
    <n v="70000"/>
    <s v="28987210985IGDCI6GAC"/>
    <s v="Crédito Parcelado"/>
    <s v="visa"/>
    <s v="Imersão China 2026 | Clube Nord"/>
    <s v="corporate-china-xperience-ed7a26"/>
    <s v="Enorê Antonio Bondan Filho"/>
    <s v="97019232000"/>
    <m/>
    <m/>
    <s v="enorebondan@gmail.com"/>
    <s v="51981113388"/>
    <m/>
    <s v="93340140"/>
    <s v="Rua Inconfidentes"/>
    <s v="120"/>
    <s v="Casa 16"/>
    <s v="Primavera"/>
    <s v="Novo Hamburgo"/>
    <s v="RS"/>
    <s v="Turismo - 50%"/>
    <m/>
    <m/>
    <m/>
    <m/>
    <s v="08f61af7abe452fccedb7731a7c2f842"/>
    <s v="OFFCLUBENORD"/>
    <s v="Nao"/>
    <x v="1"/>
    <m/>
    <s v="23/11/2026"/>
    <m/>
    <m/>
    <m/>
    <s v="China"/>
    <s v="KAM"/>
    <s v="13/05/2026"/>
    <s v="ID-97019232000"/>
    <m/>
    <m/>
    <x v="0"/>
  </r>
  <r>
    <s v="COM6A04E980035D0"/>
    <n v="250166"/>
    <s v="13/05/2026 18:13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Fabiana Rego"/>
    <s v="42825832820"/>
    <m/>
    <m/>
    <s v="fabiana.lemos@fiap.com.br"/>
    <s v="551194505681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ab2ba1de24e8ed63dd088b898a73689b"/>
    <m/>
    <s v="Nao"/>
    <x v="1"/>
    <m/>
    <s v="15/05/2026"/>
    <m/>
    <m/>
    <m/>
    <s v="Brasil"/>
    <s v="KAM"/>
    <m/>
    <s v="ID-42825832820"/>
    <m/>
    <m/>
    <x v="1"/>
  </r>
  <r>
    <s v="COM6A04E8FBCA421"/>
    <n v="250164"/>
    <s v="13/05/2026 18:11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Gustavo Pinhati Torrente"/>
    <s v="41852638800"/>
    <m/>
    <m/>
    <s v="gustavo.torrente@fiap.com.br"/>
    <s v="551195400199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75a497e79d2e08e8f3e956859a5914d8"/>
    <m/>
    <s v="Nao"/>
    <x v="1"/>
    <m/>
    <s v="15/05/2026"/>
    <m/>
    <m/>
    <m/>
    <s v="Brasil"/>
    <s v="KAM"/>
    <m/>
    <s v="ID-41852638800"/>
    <m/>
    <m/>
    <x v="1"/>
  </r>
  <r>
    <s v="COM6A04E8A356637"/>
    <n v="250162"/>
    <s v="13/05/2026 18:0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Camila Farinho"/>
    <s v="36928633816"/>
    <m/>
    <m/>
    <s v="camila.farinho@alura.com.br"/>
    <s v="551199888404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dc5af68c7035567675d93bd3242858c"/>
    <m/>
    <s v="Nao"/>
    <x v="1"/>
    <m/>
    <s v="15/05/2026"/>
    <m/>
    <m/>
    <m/>
    <s v="Brasil"/>
    <s v="KAM"/>
    <m/>
    <s v="ID-36928633816"/>
    <m/>
    <m/>
    <x v="1"/>
  </r>
  <r>
    <s v="COM6A04E806CCA5C"/>
    <n v="250160"/>
    <s v="13/05/2026 18:0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Brenda Goedert"/>
    <s v="07533177967"/>
    <m/>
    <m/>
    <s v="brenda.goedert@alura.com.br"/>
    <s v="558598155066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2bd118478823a09216f75e8a827ac6ae"/>
    <m/>
    <s v="Nao"/>
    <x v="1"/>
    <m/>
    <s v="15/05/2026"/>
    <m/>
    <m/>
    <m/>
    <s v="Brasil"/>
    <s v="KAM"/>
    <m/>
    <s v="ID-07533177967"/>
    <m/>
    <m/>
    <x v="1"/>
  </r>
  <r>
    <s v="COM6A04E6E95291F"/>
    <n v="250158"/>
    <s v="13/05/2026 18:02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thena Bastos"/>
    <s v="08824933963"/>
    <m/>
    <m/>
    <s v="athena.bastos@alura.com.br"/>
    <s v="554899960112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b8b0f284ffe8fec4c22a1729b6ac408"/>
    <m/>
    <s v="Nao"/>
    <x v="1"/>
    <m/>
    <s v="15/05/2026"/>
    <m/>
    <m/>
    <m/>
    <s v="Brasil"/>
    <s v="KAM"/>
    <s v="01/04/2022"/>
    <s v="ID-08824933963"/>
    <m/>
    <m/>
    <x v="1"/>
  </r>
  <r>
    <s v="COM6A04E61D7C4EF"/>
    <n v="250156"/>
    <s v="13/05/2026 17:5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Leonardo Coelho Marques De Araujo"/>
    <s v="07538097708"/>
    <m/>
    <m/>
    <s v="leonardo.coelho@alura.com.br"/>
    <s v="552198320260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552545e957051689916d16e0b546294b"/>
    <m/>
    <s v="Nao"/>
    <x v="1"/>
    <m/>
    <s v="15/05/2026"/>
    <m/>
    <m/>
    <m/>
    <s v="Brasil"/>
    <s v="KAM"/>
    <m/>
    <s v="ID-07538097708"/>
    <m/>
    <m/>
    <x v="1"/>
  </r>
  <r>
    <s v="COM6A04E5A96EF02"/>
    <n v="250155"/>
    <s v="13/05/2026 17:5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na Pestana"/>
    <s v="37193240870"/>
    <m/>
    <m/>
    <s v="ana.pestana@alura.com.br"/>
    <s v="551196580903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d45a0ee9e101b59404cbeb346d007a6"/>
    <m/>
    <s v="Nao"/>
    <x v="1"/>
    <m/>
    <s v="15/05/2026"/>
    <m/>
    <m/>
    <m/>
    <s v="Brasil"/>
    <s v="KAM"/>
    <m/>
    <s v="ID-37193240870"/>
    <m/>
    <m/>
    <x v="1"/>
  </r>
  <r>
    <s v="COM6A04E56251A85"/>
    <n v="250153"/>
    <s v="13/05/2026 17:56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Luiz Bassi"/>
    <s v="34388916897"/>
    <m/>
    <m/>
    <s v="luiz.bassi@alura.com.br"/>
    <s v="551199388838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35926e8091a288fa9a8852e48e376a9"/>
    <m/>
    <s v="Nao"/>
    <x v="1"/>
    <m/>
    <s v="15/05/2026"/>
    <m/>
    <m/>
    <m/>
    <s v="Brasil"/>
    <s v="KAM"/>
    <m/>
    <s v="ID-34388916897"/>
    <m/>
    <m/>
    <x v="1"/>
  </r>
  <r>
    <s v="COM6A04D6777915F"/>
    <n v="250143"/>
    <s v="13/05/2026 16:52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Camila Tereza do Nascimento"/>
    <s v="06118711658"/>
    <m/>
    <m/>
    <s v="camila.nascimento@cateno.com.br"/>
    <s v="55349678123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7175c796d2b631064897835534e84673"/>
    <m/>
    <s v="Nao"/>
    <x v="1"/>
    <m/>
    <s v="15/05/2026"/>
    <m/>
    <m/>
    <m/>
    <s v="Brasil"/>
    <s v="KAM"/>
    <s v="09/01/2023"/>
    <s v="ID-06118711658"/>
    <m/>
    <m/>
    <x v="1"/>
  </r>
  <r>
    <s v="COM6A04D629ACE86"/>
    <n v="250142"/>
    <s v="13/05/2026 16:51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Luciano Pasqualin"/>
    <s v="60706066049"/>
    <m/>
    <m/>
    <s v="lucianopasqualin@ioasys.com.br"/>
    <s v="551194521544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b1f032dd6e5e5c7ccb8f9d5176b6bd7a"/>
    <m/>
    <s v="Nao"/>
    <x v="1"/>
    <m/>
    <s v="15/05/2026"/>
    <m/>
    <m/>
    <m/>
    <s v="Brasil"/>
    <s v="KAM"/>
    <m/>
    <s v="ID-60706066049"/>
    <m/>
    <m/>
    <x v="1"/>
  </r>
  <r>
    <s v="COM6A04D5CF58C4A"/>
    <n v="250140"/>
    <s v="13/05/2026 16:4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Mateus Rodrigues"/>
    <s v="42116645816"/>
    <m/>
    <m/>
    <s v="mateusrodrigues@ioasys.com.br"/>
    <s v="551199369235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72faec22376060e648cf5e479179e3f8"/>
    <m/>
    <s v="Nao"/>
    <x v="1"/>
    <m/>
    <s v="15/05/2026"/>
    <m/>
    <m/>
    <m/>
    <s v="Brasil"/>
    <s v="KAM"/>
    <m/>
    <s v="ID-42116645816"/>
    <m/>
    <m/>
    <x v="1"/>
  </r>
  <r>
    <s v="COM6A04D58A4E5DA"/>
    <n v="250139"/>
    <s v="13/05/2026 16:48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Roberto de Azevedo"/>
    <s v="73945668700"/>
    <m/>
    <m/>
    <s v="robertodecarvalho@ioasys.com.br"/>
    <s v="5511998988702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dc3f3f8a200fc5c3f72e737ee6c1eda7"/>
    <m/>
    <s v="Nao"/>
    <x v="1"/>
    <m/>
    <s v="15/05/2026"/>
    <m/>
    <m/>
    <m/>
    <s v="Brasil"/>
    <s v="KAM"/>
    <m/>
    <s v="ID-73945668700"/>
    <m/>
    <m/>
    <x v="1"/>
  </r>
  <r>
    <s v="COM6A04D5461F3B2"/>
    <n v="250138"/>
    <s v="13/05/2026 16:4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Wanderly Temoteo Limeira"/>
    <s v="27073582820"/>
    <m/>
    <m/>
    <s v="wanderly.limeira@hvar.com.br"/>
    <s v="551199736714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5823b519778efca6e45c2a30bd5114c"/>
    <m/>
    <s v="Nao"/>
    <x v="1"/>
    <m/>
    <s v="15/05/2026"/>
    <m/>
    <m/>
    <m/>
    <s v="Brasil"/>
    <s v="KAM"/>
    <m/>
    <s v="ID-27073582820"/>
    <m/>
    <m/>
    <x v="1"/>
  </r>
  <r>
    <s v="COM6A04D115B2A3B"/>
    <n v="250137"/>
    <s v="13/05/2026 16:2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ndrea Silvia Przewodowski"/>
    <s v="26053583804"/>
    <m/>
    <m/>
    <s v="andrea.silvia@onr.org.br"/>
    <s v="5511997873544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c230dcf2cd28ac9c7c5f31d30cbd8c26"/>
    <m/>
    <s v="Nao"/>
    <x v="1"/>
    <m/>
    <s v="15/05/2026"/>
    <m/>
    <m/>
    <m/>
    <s v="Brasil"/>
    <s v="KAM"/>
    <s v="27/03/2026"/>
    <s v="ID-26053583804"/>
    <m/>
    <m/>
    <x v="1"/>
  </r>
  <r>
    <s v="COM6A04CC7F43616"/>
    <n v="250127"/>
    <s v="13/05/2026 16:0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Rafael Victor de Melo Donadon"/>
    <s v="02701125022"/>
    <m/>
    <m/>
    <s v="Rafaelvm@sebraesp.com.br"/>
    <s v="551198734616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ab2e4d96a5bd48db38d3828ca142b5d"/>
    <m/>
    <s v="Nao"/>
    <x v="2"/>
    <m/>
    <s v="15/05/2026"/>
    <m/>
    <m/>
    <m/>
    <s v="Brasil"/>
    <s v="KAM"/>
    <m/>
    <s v="ID-02701125022"/>
    <m/>
    <m/>
    <x v="1"/>
  </r>
  <r>
    <s v="COM6A04CB8874DCA"/>
    <n v="250125"/>
    <s v="13/05/2026 16:05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Felipe Ferreira de Barros"/>
    <s v="11746444606"/>
    <m/>
    <m/>
    <s v="Felipefb@sebraesp.com.br"/>
    <s v="553299126775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5b64c4ef34d1bbc21e7079dd88abaac4"/>
    <m/>
    <s v="Nao"/>
    <x v="2"/>
    <m/>
    <s v="15/05/2026"/>
    <m/>
    <m/>
    <m/>
    <s v="Brasil"/>
    <s v="KAM"/>
    <m/>
    <s v="ID-11746444606"/>
    <m/>
    <m/>
    <x v="1"/>
  </r>
  <r>
    <s v="COM6A04CA25957FD"/>
    <n v="250123"/>
    <s v="13/05/2026 15:59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ndrezza Luiza Ramalho Silva"/>
    <s v="06062227403"/>
    <m/>
    <m/>
    <s v="andrezza.ramalho@mv.com.br"/>
    <s v="558199370770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fdf1c2199a73c5f19399b2986e2fab1d"/>
    <m/>
    <s v="Nao"/>
    <x v="3"/>
    <m/>
    <s v="15/05/2026"/>
    <m/>
    <m/>
    <m/>
    <s v="Brasil"/>
    <s v="KAM"/>
    <m/>
    <s v="ID-06062227403"/>
    <m/>
    <m/>
    <x v="1"/>
  </r>
  <r>
    <s v="COM6A04C9297F906"/>
    <n v="250122"/>
    <s v="13/05/2026 15:55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Ricardo Pinho"/>
    <s v="31980831840"/>
    <m/>
    <m/>
    <s v="Rspinho@arezzo.com.br"/>
    <s v="555198147855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78ae5cf052127092448b2f370694d85"/>
    <m/>
    <s v="Nao"/>
    <x v="3"/>
    <m/>
    <s v="15/05/2026"/>
    <m/>
    <m/>
    <m/>
    <s v="Brasil"/>
    <s v="KAM"/>
    <m/>
    <s v="ID-31980831840"/>
    <m/>
    <m/>
    <x v="1"/>
  </r>
  <r>
    <s v="COM6A04C80E22635"/>
    <n v="250121"/>
    <s v="13/05/2026 15:50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Esther Mashki"/>
    <s v="34534054807"/>
    <m/>
    <m/>
    <s v="esther.mashki@mv.com.br"/>
    <s v="551196742359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ac856eb37bb200fcb0feeae85781d402"/>
    <m/>
    <s v="Nao"/>
    <x v="3"/>
    <m/>
    <s v="15/05/2026"/>
    <m/>
    <m/>
    <m/>
    <s v="Brasil"/>
    <s v="KAM"/>
    <m/>
    <s v="ID-34534054807"/>
    <m/>
    <m/>
    <x v="1"/>
  </r>
  <r>
    <s v="COM6A04C76D36670"/>
    <n v="250120"/>
    <s v="13/05/2026 15:48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Carolline Andresi Bezerra"/>
    <s v="40326843833"/>
    <m/>
    <m/>
    <s v="carolline.andresi@unimed.coop.br"/>
    <s v="551197141514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ad808c59003d4e4526a1c56e427003a"/>
    <m/>
    <s v="Nao"/>
    <x v="1"/>
    <m/>
    <s v="15/05/2026"/>
    <m/>
    <m/>
    <m/>
    <s v="Brasil"/>
    <s v="KAM"/>
    <s v="29/07/2022"/>
    <s v="ID-40326843833"/>
    <m/>
    <m/>
    <x v="1"/>
  </r>
  <r>
    <s v="COM6A04C72F513FC"/>
    <n v="250119"/>
    <s v="13/05/2026 15:4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Caroline Toshie Hara"/>
    <s v="29880682831"/>
    <m/>
    <m/>
    <s v="Caroline_Hara@honda.com.br"/>
    <s v="551199961959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40721e904f78ef8bf317a6e666f39ef"/>
    <m/>
    <s v="Nao"/>
    <x v="4"/>
    <m/>
    <s v="15/05/2026"/>
    <m/>
    <m/>
    <m/>
    <s v="Brasil"/>
    <s v="KAM"/>
    <s v="14/09/2018"/>
    <s v="ID-29880682831"/>
    <m/>
    <m/>
    <x v="1"/>
  </r>
  <r>
    <s v="COM6A04C64ACD687"/>
    <n v="250118"/>
    <s v="13/05/2026 15:43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Ricardo Guther"/>
    <s v="36566826823"/>
    <m/>
    <m/>
    <s v="ricardo.guther@br.mcd.com"/>
    <s v="551199791302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d029f3756c287c08a6e272b6264cbc8"/>
    <m/>
    <s v="Nao"/>
    <x v="1"/>
    <m/>
    <s v="15/05/2026"/>
    <m/>
    <m/>
    <m/>
    <s v="Brasil"/>
    <s v="KAM"/>
    <m/>
    <s v="ID-36566826823"/>
    <m/>
    <m/>
    <x v="1"/>
  </r>
  <r>
    <s v="COM6A04C61C68B30"/>
    <n v="250117"/>
    <s v="13/05/2026 15:42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Igor Gianezi da Cunha"/>
    <s v="29139935833"/>
    <m/>
    <m/>
    <s v="igor.gianezi@br.mcd.com"/>
    <s v="551194168005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403e3085ab7b2f02b0ea21e934fbe60"/>
    <m/>
    <s v="Nao"/>
    <x v="1"/>
    <m/>
    <s v="15/05/2026"/>
    <m/>
    <m/>
    <m/>
    <s v="Brasil"/>
    <s v="KAM"/>
    <m/>
    <s v="ID-29139935833"/>
    <m/>
    <m/>
    <x v="1"/>
  </r>
  <r>
    <s v="COM6A04C58FDB698"/>
    <n v="250115"/>
    <s v="13/05/2026 15:40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Mauricio Jacob Cerri"/>
    <s v="27024452846"/>
    <m/>
    <m/>
    <s v="mauricio.cerri@unimed.coop.br"/>
    <s v="551198879816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37dbcd669604bb903ea765dd71a70ff6"/>
    <m/>
    <s v="Nao"/>
    <x v="1"/>
    <m/>
    <s v="15/05/2026"/>
    <m/>
    <m/>
    <m/>
    <s v="Brasil"/>
    <s v="KAM"/>
    <s v="25/01/2021"/>
    <s v="ID-27024452846"/>
    <m/>
    <m/>
    <x v="1"/>
  </r>
  <r>
    <s v="COM6A04C4B6A6174"/>
    <n v="250114"/>
    <s v="13/05/2026 15:36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Denis Lopardo"/>
    <s v="25741952801"/>
    <m/>
    <m/>
    <s v="denis.lopardo@wetakeops.com"/>
    <s v="551199977654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87ebba4703796792561d6271bd66679"/>
    <m/>
    <s v="Nao"/>
    <x v="1"/>
    <m/>
    <s v="15/05/2026"/>
    <m/>
    <m/>
    <m/>
    <s v="Brasil"/>
    <s v="KAM"/>
    <s v="23/02/2024"/>
    <s v="ID-25741952801"/>
    <m/>
    <m/>
    <x v="1"/>
  </r>
  <r>
    <s v="COM6A04C3DB32C9F"/>
    <n v="250112"/>
    <s v="13/05/2026 15:32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lisson Juliano Valério"/>
    <s v="27109672867"/>
    <m/>
    <m/>
    <s v="Alisson.valerio@unimed.coop.br"/>
    <s v="551191616717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e7f694811f448a262fd07f1874c256b6"/>
    <m/>
    <s v="Nao"/>
    <x v="1"/>
    <m/>
    <s v="15/05/2026"/>
    <m/>
    <m/>
    <m/>
    <s v="Brasil"/>
    <s v="KAM"/>
    <s v="25/02/2021"/>
    <s v="ID-27109672867"/>
    <m/>
    <m/>
    <x v="1"/>
  </r>
  <r>
    <s v="COM6A04C333CAD1E"/>
    <n v="250111"/>
    <s v="13/05/2026 15:30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Ricardo Gonçalves Penna"/>
    <s v="27651254813"/>
    <m/>
    <m/>
    <s v="Ricardopenna@didiglobal.com"/>
    <s v="5511991897647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f1e137d54126f3a07ab062409110c084"/>
    <m/>
    <s v="Nao"/>
    <x v="0"/>
    <m/>
    <s v="15/05/2026"/>
    <m/>
    <m/>
    <m/>
    <s v="Brasil"/>
    <s v="KAM"/>
    <m/>
    <s v="ID-27651254813"/>
    <m/>
    <m/>
    <x v="1"/>
  </r>
  <r>
    <s v="COM6A04C23FA751D"/>
    <n v="250110"/>
    <s v="13/05/2026 15:26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Bruno Bullio"/>
    <s v="34614067832"/>
    <m/>
    <m/>
    <s v="bruno.bullio@lojasrenner.com.br"/>
    <s v="551195072662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725b47ab90ecd6a596221ec1745166b8"/>
    <m/>
    <s v="Nao"/>
    <x v="5"/>
    <m/>
    <s v="15/05/2026"/>
    <m/>
    <m/>
    <m/>
    <s v="Brasil"/>
    <s v="KAM"/>
    <m/>
    <s v="ID-34614067832"/>
    <m/>
    <m/>
    <x v="1"/>
  </r>
  <r>
    <s v="COM6A04BDC6DF159"/>
    <n v="250102"/>
    <s v="13/05/2026 15:0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Luciana Pinto Coelho Alde"/>
    <s v="26447776822"/>
    <m/>
    <m/>
    <s v="luciana.alde@grupovamos.com.br"/>
    <s v="551198258212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b353d7b10e1296e922631a783b4f54bf"/>
    <m/>
    <s v="Nao"/>
    <x v="1"/>
    <m/>
    <s v="15/05/2026"/>
    <m/>
    <m/>
    <m/>
    <s v="Brasil"/>
    <s v="KAM"/>
    <s v="30/10/2019"/>
    <s v="ID-26447776822"/>
    <m/>
    <m/>
    <x v="1"/>
  </r>
  <r>
    <s v="COM6A04BD5893A33"/>
    <n v="250101"/>
    <s v="13/05/2026 15:05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Paola Rodrigues Doliveira"/>
    <s v="05339772900"/>
    <m/>
    <m/>
    <s v="paoladoliveira@kpmg.com.br"/>
    <s v="551197680797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77cd5fab4a0f838bbb35249a17709634"/>
    <m/>
    <s v="Nao"/>
    <x v="3"/>
    <m/>
    <s v="15/05/2026"/>
    <m/>
    <m/>
    <m/>
    <s v="Brasil"/>
    <s v="KAM"/>
    <s v="29/08/2023"/>
    <s v="ID-05339772900"/>
    <m/>
    <m/>
    <x v="1"/>
  </r>
  <r>
    <s v="COM6A04BD11892B8"/>
    <n v="250100"/>
    <s v="13/05/2026 15:04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MARINA NETTO NEIA SOARES"/>
    <s v="34468464844"/>
    <m/>
    <m/>
    <s v="marina.soares@wework.com"/>
    <s v="551199978855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4d8e0ed7016371cec90b104851aa78c"/>
    <m/>
    <s v="Nao"/>
    <x v="1"/>
    <m/>
    <s v="15/05/2026"/>
    <m/>
    <m/>
    <m/>
    <s v="Brasil"/>
    <s v="KAM"/>
    <m/>
    <s v="ID-34468464844"/>
    <m/>
    <m/>
    <x v="1"/>
  </r>
  <r>
    <s v="COM6A04BBDDA8AD8"/>
    <n v="250099"/>
    <s v="13/05/2026 14:58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Estefania Correa Barbosa"/>
    <s v="22819172822"/>
    <m/>
    <m/>
    <s v="estefania.correa@hotmail.com"/>
    <s v="551198767654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7091c84c15849c45001ca2737ce928b"/>
    <m/>
    <s v="Nao"/>
    <x v="1"/>
    <m/>
    <s v="15/05/2026"/>
    <m/>
    <m/>
    <m/>
    <s v="Brasil"/>
    <s v="KAM"/>
    <m/>
    <s v="ID-22819172822"/>
    <m/>
    <m/>
    <x v="1"/>
  </r>
  <r>
    <s v="COM6A04BB8A99C26"/>
    <n v="250098"/>
    <s v="13/05/2026 14:5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ndre Conejo"/>
    <s v="34684802884"/>
    <m/>
    <m/>
    <s v="andre.conejo@usp.br"/>
    <s v="551198765432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a282cdb7a70477abb96af44a6dda12b2"/>
    <m/>
    <s v="Nao"/>
    <x v="1"/>
    <m/>
    <s v="15/05/2026"/>
    <m/>
    <m/>
    <m/>
    <s v="Brasil"/>
    <s v="KAM"/>
    <m/>
    <s v="ID-34684802884"/>
    <m/>
    <m/>
    <x v="1"/>
  </r>
  <r>
    <s v="COM6A04B980E8E18"/>
    <n v="250093"/>
    <s v="13/05/2026 14:48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Caio Henrique Pereira"/>
    <s v="42339237840"/>
    <m/>
    <m/>
    <s v="caio.pereira@kingspanisoeste.com.br"/>
    <s v="551195029148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05b4e2c217dcdf6a486b7f38a4fe6d0"/>
    <m/>
    <s v="Nao"/>
    <x v="5"/>
    <m/>
    <s v="15/05/2026"/>
    <m/>
    <m/>
    <m/>
    <s v="Brasil"/>
    <s v="KAM"/>
    <m/>
    <s v="ID-42339237840"/>
    <m/>
    <m/>
    <x v="1"/>
  </r>
  <r>
    <s v="COM6A04B93AA4860"/>
    <n v="250092"/>
    <s v="13/05/2026 14:4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Emilie NUnes da SIlva"/>
    <s v="38806937812"/>
    <m/>
    <m/>
    <s v="emilie.silva@scania.com"/>
    <s v="551197955454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5f5f696773588130c88cf86bea576ce"/>
    <m/>
    <s v="Nao"/>
    <x v="6"/>
    <m/>
    <s v="15/05/2026"/>
    <m/>
    <m/>
    <m/>
    <s v="Brasil"/>
    <s v="KAM"/>
    <s v="30/04/2024"/>
    <s v="ID-38806937812"/>
    <m/>
    <m/>
    <x v="1"/>
  </r>
  <r>
    <s v="COM6A04B830BD859"/>
    <n v="250088"/>
    <s v="13/05/2026 14:43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Mariana Nemer"/>
    <s v="32568337800"/>
    <m/>
    <m/>
    <s v="mariana.ferreira@pernambucanas.com.br"/>
    <s v="5511976503317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57ee01db319ca048b00e43008f0499ea"/>
    <m/>
    <s v="Nao"/>
    <x v="0"/>
    <m/>
    <s v="15/05/2026"/>
    <m/>
    <m/>
    <m/>
    <s v="Brasil"/>
    <s v="KAM"/>
    <m/>
    <s v="ID-32568337800"/>
    <m/>
    <m/>
    <x v="1"/>
  </r>
  <r>
    <s v="COM6A04B7873F56B"/>
    <n v="250085"/>
    <s v="13/05/2026 14:40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Paula Cristine de Oliveira"/>
    <s v="33898102858"/>
    <m/>
    <m/>
    <s v="pcoliveira@uolinc.com"/>
    <s v="551196326383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cceadbd4a0b15f488b41b5618c175ea"/>
    <m/>
    <s v="Nao"/>
    <x v="6"/>
    <m/>
    <s v="15/05/2026"/>
    <m/>
    <m/>
    <m/>
    <s v="Brasil"/>
    <s v="KAM"/>
    <m/>
    <s v="ID-33898102858"/>
    <m/>
    <m/>
    <x v="1"/>
  </r>
  <r>
    <s v="COM6A04B60FA0BF5"/>
    <n v="250084"/>
    <s v="13/05/2026 14:34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Alinne Arantes Barbosa"/>
    <s v="36507893889"/>
    <m/>
    <m/>
    <s v="aarantes@uolinc.com"/>
    <s v="551199316320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a12ff48beb2d5b7866933312bb6ba8d"/>
    <m/>
    <s v="Nao"/>
    <x v="6"/>
    <m/>
    <s v="15/05/2026"/>
    <m/>
    <m/>
    <m/>
    <s v="Brasil"/>
    <s v="KAM"/>
    <m/>
    <s v="ID-36507893889"/>
    <m/>
    <m/>
    <x v="1"/>
  </r>
  <r>
    <s v="COM6A04B53BE84E3"/>
    <n v="250082"/>
    <s v="13/05/2026 14:30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Pedro Pacce Prochno"/>
    <s v="35985023893"/>
    <m/>
    <m/>
    <s v="pedro@prochno.com"/>
    <s v="551199998765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da3ac2acfd14ad39e12eb5bf187be41"/>
    <m/>
    <s v="Nao"/>
    <x v="1"/>
    <m/>
    <s v="15/05/2026"/>
    <m/>
    <m/>
    <m/>
    <s v="Brasil"/>
    <s v="KAM"/>
    <m/>
    <s v="ID-35985023893"/>
    <m/>
    <m/>
    <x v="1"/>
  </r>
  <r>
    <s v="COM6A04B48E560C4"/>
    <n v="250080"/>
    <s v="13/05/2026 14:27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Heyse Gisel Cabeza Ribeiro"/>
    <s v="41862601844"/>
    <m/>
    <m/>
    <s v="heyse.ribeiro@volkswagen.com.br"/>
    <s v="5511941148834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c2a40b4e4ef0491257438fc3b0a27427"/>
    <m/>
    <s v="Nao"/>
    <x v="6"/>
    <m/>
    <s v="15/05/2026"/>
    <m/>
    <m/>
    <m/>
    <s v="Brasil"/>
    <s v="KAM"/>
    <m/>
    <s v="ID-41862601844"/>
    <m/>
    <m/>
    <x v="1"/>
  </r>
  <r>
    <s v="COM6A04B37D98B70"/>
    <n v="250078"/>
    <s v="13/05/2026 14:23"/>
    <x v="0"/>
    <m/>
    <s v="13/05/2026"/>
    <s v="Aprovado"/>
    <n v="1"/>
    <n v="1"/>
    <n v="0"/>
    <m/>
    <n v="0"/>
    <s v=""/>
    <s v="Cortesia"/>
    <s v="cortesia"/>
    <s v="SLD - Os frameworks da nova economia"/>
    <s v="comunidade-ed2a26"/>
    <s v="Mariana Simonelli Afonso Parpinelli"/>
    <s v="35843577805"/>
    <m/>
    <m/>
    <s v="Mariana.afonso@bv.com.br"/>
    <s v="5511998376650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a2c974e8b3cfbdf3f757134f70ad07d3"/>
    <m/>
    <s v="Nao"/>
    <x v="0"/>
    <m/>
    <s v="15/05/2026"/>
    <m/>
    <m/>
    <m/>
    <s v="Brasil"/>
    <s v="KAM"/>
    <s v="18/07/2019"/>
    <s v="ID-35843577805"/>
    <m/>
    <m/>
    <x v="1"/>
  </r>
  <r>
    <s v="COM6A04837BEDCAF"/>
    <n v="249989"/>
    <s v="13/05/2026 10:58"/>
    <x v="0"/>
    <m/>
    <s v="13/05/2026"/>
    <s v="Aprovado"/>
    <n v="4"/>
    <n v="1"/>
    <n v="62000"/>
    <m/>
    <n v="58187"/>
    <s v=""/>
    <s v="TED"/>
    <s v="ted"/>
    <s v="Executive Program - 25 a 27 de Maio de 2026"/>
    <s v="executive-program-ed5a26"/>
    <s v="Priscila Hermsdorff Pontes"/>
    <m/>
    <s v="60.746.948/0283-94"/>
    <s v="BANCO BRADESCO S.A."/>
    <s v="priscila.pontes@bradesco.com.br"/>
    <s v="551133678700"/>
    <s v="551133678700"/>
    <s v="01042001"/>
    <s v="BR DE ITAPETININGA"/>
    <s v="107"/>
    <m/>
    <s v="REPUBLICA"/>
    <s v="São Paulo"/>
    <s v="SP"/>
    <s v="Filial(São Paulo)"/>
    <s v="Evento: 50371217 - 4 participantes"/>
    <m/>
    <m/>
    <m/>
    <s v="2a44078a721e1049a2a89970ac5d5541"/>
    <m/>
    <s v="Nao"/>
    <x v="7"/>
    <m/>
    <s v="25/05/2026"/>
    <m/>
    <m/>
    <m/>
    <m/>
    <s v="KAM"/>
    <s v="04/11/2017"/>
    <s v="ID-60746948028394"/>
    <s v="Aguardando recebimento"/>
    <m/>
    <x v="2"/>
  </r>
  <r>
    <s v="ORDD39IHN409E0Y4"/>
    <n v="249858"/>
    <s v="12/05/2026 19:30"/>
    <x v="0"/>
    <m/>
    <s v="12/05/2026"/>
    <s v="Aprovado"/>
    <n v="1"/>
    <n v="10"/>
    <n v="3000"/>
    <s v="Braintree"/>
    <n v="3000"/>
    <s v="28974115835IFET0ORME"/>
    <s v="Crédito Parcelado"/>
    <s v="mastercard"/>
    <s v="AI Festival 2026 - Ingresso Interactive"/>
    <s v="evento-ia-ed1a26_interactive"/>
    <s v="Bruno Borges"/>
    <s v="36639881802"/>
    <m/>
    <m/>
    <s v="bruno.borges@segurosunimed.com.br"/>
    <s v="11974165477"/>
    <m/>
    <s v="03508010"/>
    <s v="Rua Coronel Pedro Dias de Campos"/>
    <s v="388"/>
    <s v="apto81"/>
    <s v="Chácara Seis de Outubro"/>
    <s v="São Paulo"/>
    <s v="SP"/>
    <s v="Filial(São Paulo)"/>
    <m/>
    <m/>
    <m/>
    <m/>
    <s v="0d5d7d580ed1638be7d2de89af3025c8"/>
    <s v="descontointeractivelobel"/>
    <s v="Nao"/>
    <x v="1"/>
    <m/>
    <s v="13/05/2026"/>
    <m/>
    <m/>
    <m/>
    <m/>
    <s v="KAM"/>
    <s v="12/05/2026"/>
    <s v="ID-36639881802"/>
    <m/>
    <m/>
    <x v="0"/>
  </r>
  <r>
    <s v="COM6A03A250C9D47"/>
    <n v="249851"/>
    <s v="12/05/2026 18:5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icardo Mittelstaedt Alfaro"/>
    <s v="05825429956"/>
    <m/>
    <m/>
    <s v="ricardo.alfaro@qitech.com.br"/>
    <s v="554199619952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8fe60be0642dfabee1ddaed6f7783c30"/>
    <m/>
    <s v="Nao"/>
    <x v="3"/>
    <m/>
    <s v="13/05/2026"/>
    <m/>
    <m/>
    <m/>
    <m/>
    <s v="KAM"/>
    <m/>
    <s v="ID-05825429956"/>
    <m/>
    <m/>
    <x v="1"/>
  </r>
  <r>
    <s v="COM6A039F731B2B4"/>
    <n v="249850"/>
    <s v="12/05/2026 18:45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Patricia Megumi Kobayashi"/>
    <s v="31126309800"/>
    <m/>
    <m/>
    <s v="patriciakobayashi1@99app.com"/>
    <s v="551199189764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75bf24859a5a07028a523f5ec9c23cfa"/>
    <m/>
    <s v="Nao"/>
    <x v="0"/>
    <m/>
    <s v="13/05/2026"/>
    <m/>
    <m/>
    <m/>
    <m/>
    <s v="KAM"/>
    <s v="29/10/2025"/>
    <s v="ID-31126309800"/>
    <m/>
    <m/>
    <x v="1"/>
  </r>
  <r>
    <s v="COM6A039ACBAAAB9"/>
    <n v="249848"/>
    <s v="12/05/2026 18:25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Alex alves dos santos"/>
    <s v="31264701810"/>
    <m/>
    <m/>
    <s v="miriana.oliveira@ipiranga.ipiranga"/>
    <s v="551198558361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7ebcba80bd394ef6be982185d429799"/>
    <m/>
    <s v="Nao"/>
    <x v="4"/>
    <m/>
    <s v="13/05/2026"/>
    <m/>
    <m/>
    <m/>
    <m/>
    <s v="KAM"/>
    <m/>
    <s v="ID-31264701810"/>
    <m/>
    <m/>
    <x v="1"/>
  </r>
  <r>
    <s v="COM6A039A7A83769"/>
    <n v="249847"/>
    <s v="12/05/2026 18:24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Vinicius micael gonçalves de morais"/>
    <s v="41946039829"/>
    <m/>
    <m/>
    <s v="Vinicius.morais@ipiranga.ipiranga"/>
    <s v="551197266202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8cbe159b19862349f179775db6be4145"/>
    <m/>
    <s v="Nao"/>
    <x v="4"/>
    <m/>
    <s v="13/05/2026"/>
    <m/>
    <m/>
    <m/>
    <m/>
    <s v="KAM"/>
    <m/>
    <s v="ID-41946039829"/>
    <m/>
    <m/>
    <x v="1"/>
  </r>
  <r>
    <s v="COM6A039A1E666A0"/>
    <n v="249845"/>
    <s v="12/05/2026 18:22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Sami yamouni"/>
    <s v="06254433737"/>
    <m/>
    <m/>
    <s v="Sami.yamouni@ipiranga.ipiranga"/>
    <s v="551199930975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52aa6418543a928a2f687f1b8d344e7c"/>
    <m/>
    <s v="Nao"/>
    <x v="4"/>
    <m/>
    <s v="13/05/2026"/>
    <m/>
    <m/>
    <m/>
    <m/>
    <s v="KAM"/>
    <s v="10/05/2019"/>
    <s v="ID-06254433737"/>
    <m/>
    <m/>
    <x v="1"/>
  </r>
  <r>
    <s v="COM6A03986F3A05B"/>
    <n v="249842"/>
    <s v="12/05/2026 18:1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icardo Pinho"/>
    <s v="31980831840"/>
    <m/>
    <m/>
    <s v="icardo.pinho@arezzo.com.br"/>
    <s v="55519814785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8af41a0970982ec98faa313c1136e98"/>
    <m/>
    <s v="Nao"/>
    <x v="1"/>
    <m/>
    <s v="13/05/2026"/>
    <m/>
    <m/>
    <m/>
    <m/>
    <s v="KAM"/>
    <m/>
    <s v="ID-31980831840"/>
    <m/>
    <m/>
    <x v="1"/>
  </r>
  <r>
    <s v="COM6A039800DBA41"/>
    <n v="249841"/>
    <s v="12/05/2026 18:13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Alexandre Bastos Borges"/>
    <s v="25156456820"/>
    <m/>
    <m/>
    <s v="alexandre.borges@pernambucanas.com.br"/>
    <s v="551198856048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08ea1e93b584574c4589f85721978c28"/>
    <m/>
    <s v="Nao"/>
    <x v="0"/>
    <m/>
    <s v="13/05/2026"/>
    <m/>
    <m/>
    <m/>
    <m/>
    <s v="KAM"/>
    <s v="19/08/2025"/>
    <s v="ID-25156456820"/>
    <m/>
    <m/>
    <x v="1"/>
  </r>
  <r>
    <s v="COM6A03975A12A73"/>
    <n v="249840"/>
    <s v="12/05/2026 18:10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Gustavo Gerolamo"/>
    <s v="26844764898"/>
    <m/>
    <m/>
    <s v="ggerolamo@vr.com.br"/>
    <s v="551198909246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c4d52c4a23a65bb9e111de59ef930e9"/>
    <m/>
    <s v="Nao"/>
    <x v="0"/>
    <m/>
    <s v="13/05/2026"/>
    <m/>
    <m/>
    <m/>
    <m/>
    <s v="KAM"/>
    <s v="31/10/2025"/>
    <s v="ID-26844764898"/>
    <m/>
    <m/>
    <x v="1"/>
  </r>
  <r>
    <s v="COM6A0396E671072"/>
    <n v="249838"/>
    <s v="12/05/2026 18:08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RICARDO AUGUSTO NEVES"/>
    <s v="25297971888"/>
    <m/>
    <m/>
    <s v="Ricardo.Augusto@br.mcd.com"/>
    <s v="551194136093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b2c271ed521aed6723a848e245db1da"/>
    <m/>
    <s v="Nao"/>
    <x v="0"/>
    <m/>
    <s v="13/05/2026"/>
    <m/>
    <m/>
    <m/>
    <m/>
    <s v="KAM"/>
    <m/>
    <s v="ID-25297971888"/>
    <m/>
    <m/>
    <x v="1"/>
  </r>
  <r>
    <s v="COM6A03962223F32"/>
    <n v="249836"/>
    <s v="12/05/2026 18:0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afael Pierote da Cunha"/>
    <s v="29685905886"/>
    <m/>
    <m/>
    <s v="rpcunha@fazenda.sp.gov.br"/>
    <s v="551196090331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76187c9be2303d60ef711dd51327b72"/>
    <m/>
    <s v="Nao"/>
    <x v="1"/>
    <m/>
    <s v="13/05/2026"/>
    <m/>
    <m/>
    <m/>
    <m/>
    <s v="KAM"/>
    <m/>
    <s v="ID-29685905886"/>
    <m/>
    <m/>
    <x v="1"/>
  </r>
  <r>
    <s v="COM6A03954B22464"/>
    <n v="249834"/>
    <s v="12/05/2026 18:0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aria Thereza Lages"/>
    <s v="60724567313"/>
    <m/>
    <m/>
    <s v="mariatherezalages@gmail.com"/>
    <s v="5511941851418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5a5e3d54f4d9b5b19e586383445f04a1"/>
    <m/>
    <s v="Nao"/>
    <x v="1"/>
    <m/>
    <s v="13/05/2026"/>
    <m/>
    <m/>
    <m/>
    <m/>
    <s v="KAM"/>
    <m/>
    <s v="ID-60724567313"/>
    <m/>
    <m/>
    <x v="1"/>
  </r>
  <r>
    <s v="COM6A036F2D285AF"/>
    <n v="249793"/>
    <s v="12/05/2026 15:19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Marcelo Figueiredo de Almeida"/>
    <s v="34054978843"/>
    <m/>
    <m/>
    <s v="Marcelo.almeida@omni.com.br"/>
    <s v="5511971021930"/>
    <m/>
    <s v="04578-910"/>
    <s v="Avenida das Nações Unidas, 12901"/>
    <s v="12901"/>
    <m/>
    <s v="Brooklin Paulista"/>
    <s v="São Paulo"/>
    <s v="SP"/>
    <s v="Filial(São Paulo)"/>
    <s v="AI Festival 2026 - Ingresso Explorer"/>
    <m/>
    <m/>
    <m/>
    <s v="b823e27f8ea3c4582fa1fc53d0583957"/>
    <m/>
    <s v="Nao"/>
    <x v="8"/>
    <m/>
    <s v="13/05/2026"/>
    <m/>
    <m/>
    <m/>
    <m/>
    <s v="KAM"/>
    <m/>
    <s v="ID-34054978843"/>
    <m/>
    <m/>
    <x v="1"/>
  </r>
  <r>
    <s v="COM6A036EBB5F671"/>
    <n v="249792"/>
    <s v="12/05/2026 15:17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Claudio Gregori"/>
    <s v="22389374808"/>
    <m/>
    <m/>
    <s v="claudio.gregori@chubb.com"/>
    <s v="5511993644112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b5961ef30ea55b3530ae06a56d485246"/>
    <m/>
    <s v="Nao"/>
    <x v="8"/>
    <m/>
    <s v="13/05/2026"/>
    <m/>
    <m/>
    <m/>
    <m/>
    <s v="KAM"/>
    <m/>
    <s v="ID-22389374808"/>
    <m/>
    <m/>
    <x v="1"/>
  </r>
  <r>
    <s v="COM6A036E2AE376D"/>
    <n v="249791"/>
    <s v="12/05/2026 15:15"/>
    <x v="0"/>
    <m/>
    <s v="12/05/2026"/>
    <s v="Aprovado"/>
    <n v="1"/>
    <n v="1"/>
    <n v="0"/>
    <m/>
    <n v="0"/>
    <s v=""/>
    <s v="Cortesia"/>
    <s v="cortesia"/>
    <s v="AI Festival 2026 - Ingresso Interactive"/>
    <s v="evento-ia-ed1a26_interactive"/>
    <s v="Renata Gonçalves Mota Marques"/>
    <s v="68792590578"/>
    <m/>
    <m/>
    <s v="renata.marques@capgemini.com"/>
    <s v="5511999999000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d74be723c0cfc52434f0d130895ab687"/>
    <m/>
    <s v="Nao"/>
    <x v="9"/>
    <m/>
    <s v="13/05/2026"/>
    <m/>
    <m/>
    <m/>
    <m/>
    <m/>
    <s v="03/10/2023"/>
    <s v="ID-68792590578"/>
    <m/>
    <m/>
    <x v="1"/>
  </r>
  <r>
    <s v="COM6A036DB1D2D2D"/>
    <n v="249789"/>
    <s v="12/05/2026 15:13"/>
    <x v="0"/>
    <m/>
    <s v="12/05/2026"/>
    <s v="Aprovado"/>
    <n v="1"/>
    <n v="1"/>
    <n v="0"/>
    <m/>
    <n v="0"/>
    <s v=""/>
    <s v="Cortesia"/>
    <s v="cortesia"/>
    <s v="AI Festival 2026 - Ingresso Interactive"/>
    <s v="evento-ia-ed1a26_interactive"/>
    <s v="Bruno Simon Lopes"/>
    <s v="80592244504"/>
    <m/>
    <m/>
    <s v="bruno.a.simon@capgemini.com"/>
    <s v="5571981035781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c1d0c896d52a69dabf7092f6568a15dd"/>
    <m/>
    <s v="Nao"/>
    <x v="9"/>
    <m/>
    <s v="13/05/2026"/>
    <m/>
    <m/>
    <m/>
    <m/>
    <m/>
    <m/>
    <s v="ID-80592244504"/>
    <m/>
    <m/>
    <x v="1"/>
  </r>
  <r>
    <s v="COM6A036CE93144E"/>
    <n v="249788"/>
    <s v="12/05/2026 15:09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Caroline Toshie Hara"/>
    <s v="29880682831"/>
    <m/>
    <m/>
    <s v="Caroline_Hara@honda.com.br"/>
    <s v="5511999619592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dfa178d8655b50eb40ffd732feb0d191"/>
    <m/>
    <s v="Nao"/>
    <x v="1"/>
    <m/>
    <s v="13/05/2026"/>
    <m/>
    <m/>
    <m/>
    <m/>
    <s v="KAM"/>
    <s v="14/09/2018"/>
    <s v="ID-29880682831"/>
    <m/>
    <m/>
    <x v="1"/>
  </r>
  <r>
    <s v="COM6A036C65EF413"/>
    <n v="249786"/>
    <s v="12/05/2026 15:07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Heitor Penha do Carmo"/>
    <s v="04288603110"/>
    <m/>
    <m/>
    <s v="heitor.carmo@suzano.com.br"/>
    <s v="556799896950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90bee2752957f60ad8f3f318291d56a5"/>
    <m/>
    <s v="Nao"/>
    <x v="6"/>
    <m/>
    <s v="13/05/2026"/>
    <m/>
    <m/>
    <m/>
    <m/>
    <s v="KAM"/>
    <m/>
    <s v="ID-04288603110"/>
    <m/>
    <m/>
    <x v="1"/>
  </r>
  <r>
    <s v="COM6A036C029B5ED"/>
    <n v="249785"/>
    <s v="12/05/2026 15:05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Bernardo Craveiro"/>
    <s v="01690599103"/>
    <m/>
    <m/>
    <s v="bernardo.craveiro@linx.com.br"/>
    <s v="552199714505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6deff11a12a6f911e4a0cf2d2ac05d41"/>
    <m/>
    <s v="Nao"/>
    <x v="1"/>
    <m/>
    <s v="13/05/2026"/>
    <m/>
    <m/>
    <m/>
    <m/>
    <s v="KAM"/>
    <m/>
    <s v="ID-01690599103"/>
    <m/>
    <m/>
    <x v="1"/>
  </r>
  <r>
    <s v="COM6A036B9EA62A1"/>
    <n v="249783"/>
    <s v="12/05/2026 15:04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Leonardo Koslovski Silva"/>
    <s v="02882431961"/>
    <m/>
    <m/>
    <s v="leonardo.ksilva@hyundai-brasil.com"/>
    <s v="5541999303888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7a48090f2a72389f341e08e16a57bb3a"/>
    <m/>
    <s v="Nao"/>
    <x v="6"/>
    <m/>
    <s v="13/05/2026"/>
    <m/>
    <m/>
    <m/>
    <m/>
    <s v="KAM"/>
    <m/>
    <s v="ID-02882431961"/>
    <m/>
    <m/>
    <x v="1"/>
  </r>
  <r>
    <s v="COM6A036AF2432B4"/>
    <n v="249782"/>
    <s v="12/05/2026 15:01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Mayco Ferreira Moreira"/>
    <s v="05096705986"/>
    <m/>
    <m/>
    <s v="mayco.moreira@motiva.com.br"/>
    <s v="551199936311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61f3e9699649f462f441b128bbbe6e83"/>
    <m/>
    <s v="Nao"/>
    <x v="8"/>
    <m/>
    <s v="13/05/2026"/>
    <m/>
    <m/>
    <m/>
    <m/>
    <s v="KAM"/>
    <m/>
    <s v="ID-05096705986"/>
    <m/>
    <m/>
    <x v="1"/>
  </r>
  <r>
    <s v="COM6A0365B578A50"/>
    <n v="249772"/>
    <s v="12/05/2026 14:39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Andréia Suemi Ara"/>
    <s v="33416588827"/>
    <m/>
    <m/>
    <s v="Andreia.ara@caixa.gov.br"/>
    <s v="551197373031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e8166d84f0699a9976ee0b6b7c1260ec"/>
    <m/>
    <s v="Nao"/>
    <x v="7"/>
    <m/>
    <s v="13/05/2026"/>
    <m/>
    <m/>
    <m/>
    <m/>
    <s v="KAM"/>
    <m/>
    <s v="ID-33416588827"/>
    <m/>
    <m/>
    <x v="1"/>
  </r>
  <r>
    <s v="COM6A036520C8178"/>
    <n v="249771"/>
    <s v="12/05/2026 14:36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Thais Silva Mecca"/>
    <s v="32657088880"/>
    <m/>
    <m/>
    <s v="Thais.mecca@caixa.gov.br"/>
    <s v="551198065038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07674c1460081df357b5c701833bf348"/>
    <m/>
    <s v="Nao"/>
    <x v="1"/>
    <m/>
    <s v="13/05/2026"/>
    <m/>
    <m/>
    <m/>
    <m/>
    <s v="KAM"/>
    <m/>
    <s v="ID-32657088880"/>
    <m/>
    <m/>
    <x v="1"/>
  </r>
  <r>
    <s v="COM6A0364E972547"/>
    <n v="249770"/>
    <s v="12/05/2026 14:35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Raul Freire Aguiar"/>
    <s v="93765118249"/>
    <m/>
    <m/>
    <s v="raulfreire.si@gmail.com"/>
    <s v="559498174569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bdc234cb2c06e675abc3cdb297cc66a"/>
    <m/>
    <s v="Nao"/>
    <x v="7"/>
    <m/>
    <s v="13/05/2026"/>
    <m/>
    <m/>
    <m/>
    <m/>
    <s v="KAM"/>
    <m/>
    <s v="ID-93765118249"/>
    <m/>
    <m/>
    <x v="1"/>
  </r>
  <r>
    <s v="COM6A036484E6CE9"/>
    <n v="249767"/>
    <s v="12/05/2026 14:33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Rodrigo Bicalho"/>
    <s v="41736429892"/>
    <m/>
    <m/>
    <s v="rodrigopgmb@gmail.com"/>
    <s v="5511982445255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343d50187610d7a43209599f2f9b2e46"/>
    <m/>
    <s v="Nao"/>
    <x v="7"/>
    <m/>
    <s v="13/05/2026"/>
    <m/>
    <m/>
    <m/>
    <m/>
    <s v="KAM"/>
    <m/>
    <s v="ID-41736429892"/>
    <m/>
    <m/>
    <x v="1"/>
  </r>
  <r>
    <s v="COM6A0363B8F30C8"/>
    <n v="249766"/>
    <s v="12/05/2026 14:3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duardo Braz"/>
    <s v="05675457925"/>
    <m/>
    <m/>
    <s v="eduardo.silva@southcargo.com"/>
    <s v="551194258254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b6960aa35993e512f6d19c7acaf7181"/>
    <m/>
    <s v="Nao"/>
    <x v="1"/>
    <m/>
    <s v="13/05/2026"/>
    <m/>
    <m/>
    <m/>
    <m/>
    <s v="KAM"/>
    <s v="20/08/2019"/>
    <s v="ID-05675457925"/>
    <m/>
    <m/>
    <x v="1"/>
  </r>
  <r>
    <s v="COM6A0362ECC1D9C"/>
    <n v="249762"/>
    <s v="12/05/2026 14:27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Alexsandro Alves dos Santos"/>
    <s v="29787003865"/>
    <m/>
    <m/>
    <s v="alexsandro.santos@zamp.com.br"/>
    <s v="5511996580628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4e4b9735b4935cb28b377dc20791f46"/>
    <m/>
    <s v="Nao"/>
    <x v="5"/>
    <m/>
    <s v="13/05/2026"/>
    <m/>
    <m/>
    <m/>
    <m/>
    <s v="KAM"/>
    <m/>
    <s v="ID-29787003865"/>
    <m/>
    <m/>
    <x v="1"/>
  </r>
  <r>
    <s v="COM6A03629B3F59E"/>
    <n v="249760"/>
    <s v="12/05/2026 14:25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Augusto Rocha Knijnik"/>
    <s v="40054479886"/>
    <m/>
    <m/>
    <s v="augusto.knijnik@zamp.com.br"/>
    <s v="5511916633763"/>
    <m/>
    <s v="04578-910"/>
    <s v="Avenida das Nações Unidas, 12901"/>
    <s v="12901"/>
    <m/>
    <s v="Brooklin Paulista"/>
    <s v="São Paulo"/>
    <s v="SP"/>
    <s v="Filial(São Paulo)"/>
    <s v="AI Festival 2026 - Ingresso Explorer"/>
    <m/>
    <m/>
    <m/>
    <s v="4175f2c888f76546eb26714617781bf3"/>
    <m/>
    <s v="Nao"/>
    <x v="5"/>
    <m/>
    <s v="13/05/2026"/>
    <m/>
    <m/>
    <m/>
    <m/>
    <s v="KAM"/>
    <m/>
    <s v="ID-40054479886"/>
    <m/>
    <m/>
    <x v="1"/>
  </r>
  <r>
    <s v="COM6A03621E1F752"/>
    <n v="249759"/>
    <s v="12/05/2026 14:23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Marcelo Bueno Nunes"/>
    <s v="36175755871"/>
    <m/>
    <m/>
    <s v="marcelonunes@3coracoes.com.br"/>
    <s v="551199405712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60c602d36cb2ae09f559429cae88f997"/>
    <m/>
    <s v="Nao"/>
    <x v="0"/>
    <m/>
    <s v="13/05/2026"/>
    <m/>
    <m/>
    <m/>
    <m/>
    <s v="KAM"/>
    <s v="27/04/2018"/>
    <s v="ID-36175755871"/>
    <m/>
    <m/>
    <x v="1"/>
  </r>
  <r>
    <s v="COM6A035FC42A2B2"/>
    <n v="249757"/>
    <s v="12/05/2026 14:1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onaldo da Matta"/>
    <s v="04124083769"/>
    <m/>
    <m/>
    <s v="ronaldodamatta@ioasys.com.br"/>
    <s v="551198111165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9bd278f013ec8ea9b278ce582a0eb9fe"/>
    <m/>
    <s v="Nao"/>
    <x v="1"/>
    <m/>
    <s v="13/05/2026"/>
    <m/>
    <m/>
    <m/>
    <m/>
    <s v="KAM"/>
    <s v="26/06/2017"/>
    <s v="ID-04124083769"/>
    <m/>
    <m/>
    <x v="1"/>
  </r>
  <r>
    <s v="COM6A035F4D0E7A4"/>
    <n v="249755"/>
    <s v="12/05/2026 14:1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aniele Brasil"/>
    <s v="08906751710"/>
    <m/>
    <m/>
    <s v="dbrasil@stefanini.com"/>
    <s v="551194545233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3a6ca7ade2e58b70ab2617110b850ee"/>
    <m/>
    <s v="Nao"/>
    <x v="1"/>
    <m/>
    <s v="13/05/2026"/>
    <m/>
    <m/>
    <m/>
    <m/>
    <s v="KAM"/>
    <m/>
    <s v="ID-08906751710"/>
    <m/>
    <m/>
    <x v="1"/>
  </r>
  <r>
    <s v="COM6A035F00DECB6"/>
    <n v="249754"/>
    <s v="12/05/2026 14:1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eandro Daflon"/>
    <s v="07229795761"/>
    <m/>
    <m/>
    <s v="daflon@primeup.com.br"/>
    <s v="552199176225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76238e66079a0d7f02a66710770dc4b"/>
    <m/>
    <s v="Nao"/>
    <x v="1"/>
    <m/>
    <s v="13/05/2026"/>
    <m/>
    <m/>
    <m/>
    <m/>
    <s v="KAM"/>
    <m/>
    <s v="ID-07229795761"/>
    <m/>
    <m/>
    <x v="1"/>
  </r>
  <r>
    <s v="COM6A035EA6BC873"/>
    <n v="249752"/>
    <s v="12/05/2026 14:0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ader Alves Rosa"/>
    <s v="25052588801"/>
    <m/>
    <m/>
    <s v="jaderalves@tjsp.jus.br"/>
    <s v="5512991381181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7a5a04dc4f604ddc1947f741580f4fc"/>
    <m/>
    <s v="Nao"/>
    <x v="1"/>
    <m/>
    <s v="13/05/2026"/>
    <m/>
    <m/>
    <m/>
    <m/>
    <s v="KAM"/>
    <m/>
    <s v="ID-25052588801"/>
    <m/>
    <m/>
    <x v="1"/>
  </r>
  <r>
    <s v="COM6A035E2E2BE6E"/>
    <n v="249751"/>
    <s v="12/05/2026 14:0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Thiago Madeira"/>
    <s v="05210746739"/>
    <m/>
    <m/>
    <s v="thiago.madeira@g.globo"/>
    <s v="552197685568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9f0bc26dc3f19dba84716b7f30a349c"/>
    <m/>
    <s v="Nao"/>
    <x v="1"/>
    <m/>
    <s v="13/05/2026"/>
    <m/>
    <m/>
    <m/>
    <m/>
    <s v="KAM"/>
    <m/>
    <s v="ID-05210746739"/>
    <m/>
    <m/>
    <x v="1"/>
  </r>
  <r>
    <s v="COM6A0357DFBBD9B"/>
    <n v="249740"/>
    <s v="12/05/2026 13:3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afael Pierote da Cunha"/>
    <s v="29685905886"/>
    <m/>
    <m/>
    <s v="rpcunha@fazenda.sp.gov.br"/>
    <s v="5511960903311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16cd1e82192d4e4d3ea92ccb7b9b65d"/>
    <m/>
    <s v="Nao"/>
    <x v="1"/>
    <m/>
    <s v="13/05/2026"/>
    <m/>
    <m/>
    <m/>
    <m/>
    <s v="KAM"/>
    <m/>
    <s v="ID-29685905886"/>
    <m/>
    <m/>
    <x v="1"/>
  </r>
  <r>
    <s v="COM6A035759F4089"/>
    <n v="249739"/>
    <s v="12/05/2026 13:3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ichelle Mori"/>
    <s v="28281753838"/>
    <m/>
    <m/>
    <s v="michelle.mori@telefonica.com"/>
    <s v="551199254747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288e14320027157109b81e0f9b5568b"/>
    <m/>
    <s v="Nao"/>
    <x v="1"/>
    <m/>
    <s v="13/05/2026"/>
    <m/>
    <m/>
    <m/>
    <m/>
    <s v="KAM"/>
    <m/>
    <s v="ID-28281753838"/>
    <m/>
    <m/>
    <x v="1"/>
  </r>
  <r>
    <s v="COM6A03569AECACE"/>
    <n v="249738"/>
    <s v="12/05/2026 13:3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Nathalia Monteiro Farias"/>
    <s v="37253600819"/>
    <m/>
    <m/>
    <s v="nathalia.farias@b3.com.br"/>
    <s v="551194154914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9cdd0b335cbdfa7ca1e7ac3904b65f5"/>
    <m/>
    <s v="Nao"/>
    <x v="1"/>
    <m/>
    <s v="13/05/2026"/>
    <m/>
    <m/>
    <m/>
    <m/>
    <s v="KAM"/>
    <m/>
    <s v="ID-37253600819"/>
    <m/>
    <m/>
    <x v="1"/>
  </r>
  <r>
    <s v="COM6A0356098BA11"/>
    <n v="249737"/>
    <s v="12/05/2026 13:3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Bruno Szarf"/>
    <s v="29366067808"/>
    <m/>
    <m/>
    <s v="bszarf@stefanini.com"/>
    <s v="551194268307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7a4416e88c939c27a66a32a13562568"/>
    <m/>
    <s v="Nao"/>
    <x v="1"/>
    <m/>
    <s v="13/05/2026"/>
    <m/>
    <m/>
    <m/>
    <m/>
    <s v="KAM"/>
    <m/>
    <s v="ID-29366067808"/>
    <m/>
    <m/>
    <x v="1"/>
  </r>
  <r>
    <s v="COM6A035590E2F89"/>
    <n v="249736"/>
    <s v="12/05/2026 13:3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arcio do Amaral Martins"/>
    <s v="16475754862"/>
    <m/>
    <m/>
    <s v="marciomartins@tjsp.jus.br"/>
    <s v="551195113780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7313cacb1c448b5e4cec1a389dc7b72"/>
    <m/>
    <s v="Nao"/>
    <x v="1"/>
    <m/>
    <s v="13/05/2026"/>
    <m/>
    <m/>
    <m/>
    <m/>
    <s v="KAM"/>
    <m/>
    <s v="ID-16475754862"/>
    <m/>
    <m/>
    <x v="1"/>
  </r>
  <r>
    <s v="COM6A03547266927"/>
    <n v="249735"/>
    <s v="12/05/2026 13:2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Bruno Oliveira"/>
    <s v="33463962829"/>
    <m/>
    <m/>
    <s v="bruno.oliveira.silva@nttdata.com"/>
    <s v="5521986690644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accaa8399ea91b4e759850aefa47e28d"/>
    <m/>
    <s v="Nao"/>
    <x v="1"/>
    <m/>
    <s v="13/05/2026"/>
    <m/>
    <m/>
    <m/>
    <m/>
    <s v="KAM"/>
    <s v="16/02/2023"/>
    <s v="ID-33463962829"/>
    <m/>
    <m/>
    <x v="1"/>
  </r>
  <r>
    <s v="COM6A0353900850B"/>
    <n v="249734"/>
    <s v="12/05/2026 13:2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Ivan Lincoln de Paula Brum"/>
    <s v="25823829817"/>
    <m/>
    <m/>
    <s v="ivan.paula.brum@nttdata.com"/>
    <s v="551195081944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966d176bdfcb91bb2fb4abe29c83c133"/>
    <m/>
    <s v="Nao"/>
    <x v="1"/>
    <m/>
    <s v="13/05/2026"/>
    <m/>
    <m/>
    <m/>
    <m/>
    <s v="KAM"/>
    <m/>
    <s v="ID-25823829817"/>
    <m/>
    <m/>
    <x v="1"/>
  </r>
  <r>
    <s v="COM6A0353604C068"/>
    <n v="249733"/>
    <s v="12/05/2026 13:2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Gabriel Pegorelli"/>
    <s v="35862112871"/>
    <m/>
    <m/>
    <s v="gabriel.pegorelli-souza@itau-unibanco.com.br"/>
    <s v="551197425294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9299c84ab19e0d6d95fa7f85584a2ae"/>
    <m/>
    <s v="Nao"/>
    <x v="1"/>
    <m/>
    <s v="13/05/2026"/>
    <m/>
    <m/>
    <m/>
    <m/>
    <s v="KAM"/>
    <m/>
    <s v="ID-35862112871"/>
    <m/>
    <m/>
    <x v="1"/>
  </r>
  <r>
    <s v="COM6A0352FBD1882"/>
    <n v="249731"/>
    <s v="12/05/2026 13:1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Nivaldo Dutra Amorim Filho"/>
    <s v="61638404534"/>
    <m/>
    <m/>
    <s v="nivaldo.dutra@solutis.com.br"/>
    <s v="5571983180275"/>
    <m/>
    <s v="04578-910"/>
    <s v="Avenida das Nações Unidas, 12901"/>
    <s v="12901"/>
    <m/>
    <s v="Brooklin Paulista"/>
    <s v="São Paulo"/>
    <s v="SP"/>
    <s v="Filial(São Paulo)"/>
    <s v="AI Festival 2026 - Ingresso Platinum_x000a_Alura"/>
    <m/>
    <m/>
    <m/>
    <s v="76d1601f5b7535e52ea86ec6b449b8ae"/>
    <m/>
    <s v="Nao"/>
    <x v="1"/>
    <m/>
    <s v="13/05/2026"/>
    <m/>
    <m/>
    <m/>
    <m/>
    <s v="KAM"/>
    <m/>
    <s v="ID-61638404534"/>
    <m/>
    <m/>
    <x v="1"/>
  </r>
  <r>
    <s v="COM6A0350FC8F5D7"/>
    <n v="249728"/>
    <s v="12/05/2026 13:1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efferson Andrade dos Santos"/>
    <s v="02788722630"/>
    <m/>
    <m/>
    <s v="jefferson.andrade@patrus.com.br"/>
    <s v="55319104188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b1c268b35114e7bf9cd9e7fbb768aa8"/>
    <m/>
    <s v="Nao"/>
    <x v="1"/>
    <m/>
    <s v="13/05/2026"/>
    <m/>
    <m/>
    <m/>
    <m/>
    <s v="KAM"/>
    <s v="02/03/2024"/>
    <s v="ID-02788722630"/>
    <m/>
    <m/>
    <x v="1"/>
  </r>
  <r>
    <s v="COM6A03501E2843F"/>
    <n v="249727"/>
    <s v="12/05/2026 13:0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egis Gonçalves de Oliveira"/>
    <s v="32010654803"/>
    <m/>
    <m/>
    <s v="regis.oliveira@youse.com.br"/>
    <s v="551198129871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305cf23176b66022c2d2b98eb08334d"/>
    <m/>
    <s v="Nao"/>
    <x v="1"/>
    <m/>
    <s v="13/05/2026"/>
    <m/>
    <m/>
    <m/>
    <m/>
    <s v="KAM"/>
    <m/>
    <s v="ID-32010654803"/>
    <m/>
    <m/>
    <x v="1"/>
  </r>
  <r>
    <s v="COM6A034B0A34CFB"/>
    <n v="249724"/>
    <s v="12/05/2026 12:4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Heni Ozi Cuckier"/>
    <s v="27044966845"/>
    <m/>
    <m/>
    <s v="hoc111@me.com"/>
    <s v="551999782844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b840aad7ee07c69e0bd3e390e9c26bbf"/>
    <m/>
    <s v="Nao"/>
    <x v="1"/>
    <m/>
    <s v="13/05/2026"/>
    <m/>
    <m/>
    <m/>
    <m/>
    <s v="KAM"/>
    <m/>
    <s v="ID-27044966845"/>
    <m/>
    <m/>
    <x v="1"/>
  </r>
  <r>
    <s v="COM6A034ACBDEDB3"/>
    <n v="249723"/>
    <s v="12/05/2026 12:4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anrley Morais"/>
    <s v="36478869806"/>
    <m/>
    <m/>
    <s v="danrley.morais@runflow.ai"/>
    <s v="551196417191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6e63681a7ebcb3b9ac7543176d738cc"/>
    <m/>
    <s v="Nao"/>
    <x v="1"/>
    <m/>
    <s v="13/05/2026"/>
    <m/>
    <m/>
    <m/>
    <m/>
    <s v="KAM"/>
    <m/>
    <s v="ID-36478869806"/>
    <m/>
    <m/>
    <x v="1"/>
  </r>
  <r>
    <s v="COM6A034A6483532"/>
    <n v="249722"/>
    <s v="12/05/2026 12:4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ogerio Dabul"/>
    <s v="25486480873"/>
    <m/>
    <m/>
    <s v="rdabul@deloitte.com"/>
    <s v="55119405397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a4d99647d71295215ec67d77c8f18d4"/>
    <m/>
    <s v="Nao"/>
    <x v="1"/>
    <m/>
    <s v="13/05/2026"/>
    <m/>
    <m/>
    <m/>
    <m/>
    <s v="KAM"/>
    <m/>
    <s v="ID-25486480873"/>
    <m/>
    <m/>
    <x v="1"/>
  </r>
  <r>
    <s v="COM6A0349ECA413E"/>
    <n v="249721"/>
    <s v="12/05/2026 12:4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Herbert Ayres"/>
    <s v="05479957414"/>
    <m/>
    <m/>
    <s v="herbert.ayres@grupoelfa.com.br"/>
    <s v="558393524367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c5339ae06248624078d962ec51393a7"/>
    <m/>
    <s v="Nao"/>
    <x v="1"/>
    <m/>
    <s v="13/05/2026"/>
    <m/>
    <m/>
    <m/>
    <m/>
    <s v="KAM"/>
    <s v="05/08/2024"/>
    <s v="ID-05479957414"/>
    <m/>
    <m/>
    <x v="1"/>
  </r>
  <r>
    <s v="COM6A034793536E5"/>
    <n v="249718"/>
    <s v="12/05/2026 12:3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se Roberto Armelin"/>
    <s v="13005072843"/>
    <m/>
    <m/>
    <s v="roberto.armelin@saopaulofc.net"/>
    <s v="551199911406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bce485f89bed1369ed82dae42882fc9"/>
    <m/>
    <s v="Nao"/>
    <x v="1"/>
    <m/>
    <s v="13/05/2026"/>
    <m/>
    <m/>
    <m/>
    <m/>
    <s v="KAM"/>
    <s v="11/07/2024"/>
    <s v="ID-13005072843"/>
    <m/>
    <m/>
    <x v="1"/>
  </r>
  <r>
    <s v="COM6A0346C266E0A"/>
    <n v="249717"/>
    <s v="12/05/2026 12:2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ébora Carvalho"/>
    <s v="22114320855"/>
    <m/>
    <m/>
    <s v="debora@marqueterie.com.br"/>
    <s v="551195480208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90a57fd8bbb1aa058264522b34d8ca5f"/>
    <m/>
    <s v="Nao"/>
    <x v="1"/>
    <m/>
    <s v="13/05/2026"/>
    <m/>
    <m/>
    <m/>
    <m/>
    <s v="KAM"/>
    <s v="20/03/2025"/>
    <s v="ID-22114320855"/>
    <m/>
    <m/>
    <x v="1"/>
  </r>
  <r>
    <s v="COM6A034677CBCFB"/>
    <n v="249716"/>
    <s v="12/05/2026 12:2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odrigo Marangoni"/>
    <s v="07078306805"/>
    <m/>
    <m/>
    <s v="rodrigo.marangoni@ultra.com.br"/>
    <s v="551199422952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ac321c52be74dc844994612e6e9921e"/>
    <m/>
    <s v="Nao"/>
    <x v="1"/>
    <m/>
    <s v="13/05/2026"/>
    <m/>
    <m/>
    <m/>
    <m/>
    <s v="KAM"/>
    <s v="04/09/2017"/>
    <s v="ID-07078306805"/>
    <m/>
    <m/>
    <x v="1"/>
  </r>
  <r>
    <s v="COM6A0345A4CE7B2"/>
    <n v="249715"/>
    <s v="12/05/2026 12:2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manda Rubino"/>
    <s v="43033558879"/>
    <m/>
    <m/>
    <s v="amanda.rubino@mondial.com.br"/>
    <s v="5511912151947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4b196418faf178d1bcc5b04054373e84"/>
    <m/>
    <s v="Nao"/>
    <x v="1"/>
    <m/>
    <s v="13/05/2026"/>
    <m/>
    <m/>
    <m/>
    <m/>
    <s v="KAM"/>
    <m/>
    <s v="ID-43033558879"/>
    <m/>
    <m/>
    <x v="1"/>
  </r>
  <r>
    <s v="COM6A0344ADD442B"/>
    <n v="249713"/>
    <s v="12/05/2026 12:1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sé Augusto"/>
    <s v="24848283817"/>
    <m/>
    <m/>
    <s v="guto@nexloop.tech"/>
    <s v="551199708880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a3213a6272eb989bf45699c04b040aa0"/>
    <m/>
    <s v="Nao"/>
    <x v="1"/>
    <m/>
    <s v="13/05/2026"/>
    <m/>
    <m/>
    <m/>
    <m/>
    <s v="KAM"/>
    <m/>
    <s v="ID-24848283817"/>
    <m/>
    <m/>
    <x v="1"/>
  </r>
  <r>
    <s v="COM6A03431DD85BF"/>
    <n v="249712"/>
    <s v="12/05/2026 12:1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exandre Nunes"/>
    <s v="28020150870"/>
    <m/>
    <m/>
    <s v="alexandre.pn@gmail.com"/>
    <s v="551198266101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9a8e6d89e4a9029468ca772550be9e28"/>
    <m/>
    <s v="Nao"/>
    <x v="1"/>
    <m/>
    <s v="13/05/2026"/>
    <m/>
    <m/>
    <m/>
    <m/>
    <s v="KAM"/>
    <s v="07/08/2024"/>
    <s v="ID-28020150870"/>
    <m/>
    <m/>
    <x v="1"/>
  </r>
  <r>
    <s v="COM6A0342BC263F9"/>
    <n v="249710"/>
    <s v="12/05/2026 12:0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odrigo Luna"/>
    <s v="33245642806"/>
    <m/>
    <m/>
    <s v="rodrigo.luna@goodstorage.com.br"/>
    <s v="551198987785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d133a3532a179c5cb6e156d647e52c3"/>
    <m/>
    <s v="Nao"/>
    <x v="1"/>
    <m/>
    <s v="13/05/2026"/>
    <m/>
    <m/>
    <m/>
    <m/>
    <s v="KAM"/>
    <m/>
    <s v="ID-33245642806"/>
    <m/>
    <m/>
    <x v="1"/>
  </r>
  <r>
    <s v="COM6A0340FB1B813"/>
    <n v="249708"/>
    <s v="12/05/2026 12:0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íntia Guberovic"/>
    <s v="18491752846"/>
    <m/>
    <m/>
    <s v="cguberovic@pagbank.com"/>
    <s v="551198644705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4488e25ed931784c47e5b8f938a1129"/>
    <m/>
    <s v="Nao"/>
    <x v="1"/>
    <m/>
    <s v="13/05/2026"/>
    <m/>
    <m/>
    <m/>
    <m/>
    <s v="KAM"/>
    <m/>
    <s v="ID-18491752846"/>
    <m/>
    <m/>
    <x v="1"/>
  </r>
  <r>
    <s v="COM6A033FBD00D31"/>
    <n v="249707"/>
    <s v="12/05/2026 11:5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ndrei Freitas"/>
    <s v="21898004803"/>
    <m/>
    <m/>
    <s v="andrei.freitas@hyundai-brasil.com"/>
    <s v="551999821572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64a8977f9de63f8211a42ec1cb0e737"/>
    <m/>
    <s v="Nao"/>
    <x v="1"/>
    <m/>
    <s v="13/05/2026"/>
    <m/>
    <m/>
    <m/>
    <m/>
    <s v="KAM"/>
    <m/>
    <s v="ID-21898004803"/>
    <m/>
    <m/>
    <x v="1"/>
  </r>
  <r>
    <s v="COM6A033F1B045EC"/>
    <n v="249705"/>
    <s v="12/05/2026 11:5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na Coria"/>
    <s v="13032578825"/>
    <m/>
    <m/>
    <s v="ana.santoro@ultra.com.br"/>
    <s v="551197027762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ae4378f9e9b3fa3c7c2887975768adef"/>
    <m/>
    <s v="Nao"/>
    <x v="1"/>
    <m/>
    <s v="13/05/2026"/>
    <m/>
    <m/>
    <m/>
    <m/>
    <s v="KAM"/>
    <m/>
    <s v="ID-13032578825"/>
    <m/>
    <m/>
    <x v="1"/>
  </r>
  <r>
    <s v="COM6A033EEA1E33F"/>
    <n v="249704"/>
    <s v="12/05/2026 11:5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eonardo Azevedo"/>
    <s v="37932315859"/>
    <m/>
    <m/>
    <s v="leonardo.azevedo@savencia.com"/>
    <s v="553793231585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016d7f1c1b2c789e7139d4255057386"/>
    <m/>
    <s v="Nao"/>
    <x v="1"/>
    <m/>
    <s v="13/05/2026"/>
    <m/>
    <m/>
    <m/>
    <m/>
    <s v="KAM"/>
    <m/>
    <s v="ID-37932315859"/>
    <m/>
    <m/>
    <x v="1"/>
  </r>
  <r>
    <s v="COM6A033E7BE9AF1"/>
    <n v="249703"/>
    <s v="12/05/2026 11:5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uciana Hirata Campacci Garcia"/>
    <s v="29182061807"/>
    <m/>
    <m/>
    <s v="luciana.garcia@globalhitss.com.br"/>
    <s v="551199145836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09807e996cdd7f532f58f38d26d4316"/>
    <m/>
    <s v="Nao"/>
    <x v="1"/>
    <m/>
    <s v="13/05/2026"/>
    <m/>
    <m/>
    <m/>
    <m/>
    <s v="KAM"/>
    <m/>
    <s v="ID-29182061807"/>
    <m/>
    <m/>
    <x v="1"/>
  </r>
  <r>
    <s v="COM6A033E4986FA7"/>
    <n v="249702"/>
    <s v="12/05/2026 11:5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amila Stefanelli Martins"/>
    <s v="27776854875"/>
    <m/>
    <m/>
    <s v="camila.moraes@claro.com.br"/>
    <s v="551199401974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e3effdcbeb8052c74ae8c2908cdcaad"/>
    <m/>
    <s v="Nao"/>
    <x v="1"/>
    <m/>
    <s v="13/05/2026"/>
    <m/>
    <m/>
    <m/>
    <m/>
    <s v="KAM"/>
    <m/>
    <s v="ID-27776854875"/>
    <m/>
    <m/>
    <x v="1"/>
  </r>
  <r>
    <s v="COM6A033DD32C32C"/>
    <n v="249701"/>
    <s v="12/05/2026 11:4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rge Cordenonsi"/>
    <s v="07078306805"/>
    <m/>
    <m/>
    <s v="jorge.cordenonsi@aviva.com.br"/>
    <s v="551194178801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85f85e975b956983a7d597c252aa4883"/>
    <m/>
    <s v="Nao"/>
    <x v="1"/>
    <m/>
    <s v="13/05/2026"/>
    <m/>
    <m/>
    <m/>
    <m/>
    <s v="KAM"/>
    <s v="04/09/2017"/>
    <s v="ID-07078306805"/>
    <m/>
    <m/>
    <x v="1"/>
  </r>
  <r>
    <s v="COM6A033D848C6D5"/>
    <n v="249700"/>
    <s v="12/05/2026 11:4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afael Akimoto"/>
    <s v="34340906816"/>
    <m/>
    <m/>
    <s v="rafael.akimoto@gruponc.net.br"/>
    <s v="553434090681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c5b08ba874b0fe34cdb78a0a33de67e"/>
    <m/>
    <s v="Nao"/>
    <x v="1"/>
    <m/>
    <s v="13/05/2026"/>
    <m/>
    <m/>
    <m/>
    <m/>
    <s v="KAM"/>
    <m/>
    <s v="ID-34340906816"/>
    <m/>
    <m/>
    <x v="1"/>
  </r>
  <r>
    <s v="COM6A033723B756B"/>
    <n v="249693"/>
    <s v="12/05/2026 11:20"/>
    <x v="0"/>
    <m/>
    <s v="12/05/2026"/>
    <s v="Aprovado"/>
    <n v="1"/>
    <n v="1"/>
    <n v="0"/>
    <m/>
    <n v="0"/>
    <s v=""/>
    <s v="Cortesia"/>
    <s v="cortesia"/>
    <s v="AI Festival 2026 - Ingresso Explorer"/>
    <s v="evento-ia-ed1a26_explorer"/>
    <s v="Bruna Sabatini Pedroso Toledo dos Santos"/>
    <s v="34694796828"/>
    <m/>
    <m/>
    <s v="bruna.toledo@scania.com"/>
    <s v="5511991033772"/>
    <m/>
    <s v="04578-910"/>
    <s v="Avenida das Nações Unidas, 12901"/>
    <s v="12901"/>
    <m/>
    <s v="Brooklin Paulista"/>
    <s v="São Paulo"/>
    <s v="SP"/>
    <s v="Filial(São Paulo)"/>
    <s v="AI Festival 2026 - Ingresso Explorer"/>
    <m/>
    <m/>
    <m/>
    <s v="9ec9f5b1626166831fb39b40737c9ae5"/>
    <m/>
    <s v="Nao"/>
    <x v="6"/>
    <m/>
    <s v="13/05/2026"/>
    <m/>
    <m/>
    <m/>
    <m/>
    <s v="KAM"/>
    <m/>
    <s v="ID-34694796828"/>
    <m/>
    <m/>
    <x v="1"/>
  </r>
  <r>
    <s v="COM6A02096BD0E58"/>
    <n v="249522"/>
    <s v="11/05/2026 13:5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exandre de Oliveira"/>
    <s v="15778836830"/>
    <m/>
    <m/>
    <s v="Alexandre.oliveira@getnet.net"/>
    <s v="551198448343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20193e5e69c695e11afa8ca90e80357"/>
    <m/>
    <s v="Nao"/>
    <x v="1"/>
    <m/>
    <s v="13/05/2026"/>
    <m/>
    <m/>
    <m/>
    <m/>
    <s v="KAM"/>
    <m/>
    <s v="ID-15778836830"/>
    <m/>
    <m/>
    <x v="1"/>
  </r>
  <r>
    <s v="COM6A0208C2B397C"/>
    <n v="249521"/>
    <s v="11/05/2026 13:5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esar Augusto Felix Leite"/>
    <s v="25227163871"/>
    <m/>
    <m/>
    <s v="cleite@pagbank.com"/>
    <s v="551599135660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4c980956f85bc781a05c15d3ed21eb2"/>
    <m/>
    <s v="Nao"/>
    <x v="1"/>
    <m/>
    <s v="13/05/2026"/>
    <m/>
    <m/>
    <m/>
    <m/>
    <s v="KAM"/>
    <m/>
    <s v="ID-25227163871"/>
    <m/>
    <m/>
    <x v="1"/>
  </r>
  <r>
    <s v="COM6A020719A497D"/>
    <n v="249516"/>
    <s v="11/05/2026 13:43"/>
    <x v="0"/>
    <m/>
    <s v="11/05/2026"/>
    <s v="Aprovado"/>
    <n v="5"/>
    <n v="1"/>
    <n v="0"/>
    <m/>
    <n v="0"/>
    <s v=""/>
    <s v="Cortesia"/>
    <s v="cortesia"/>
    <s v="AI Festival 2026 - Ingresso Explorer"/>
    <s v="evento-ia-ed1a26_explorer"/>
    <s v="Janaina Tobita"/>
    <m/>
    <s v="59.456.277/0001-76"/>
    <s v="ORACLE DO BRASIL SISTEMAS LTDA"/>
    <s v="janaina.tobita@oracle.com"/>
    <s v="5511997543233"/>
    <s v="551133331817"/>
    <s v="04710090"/>
    <s v="DR JOSE AUREO BUSTAMANTE"/>
    <s v="455"/>
    <s v="ANEXO MORUMBI BUSINESS CEN"/>
    <s v="SANTO AMARO"/>
    <s v="São Paulo"/>
    <s v="SP"/>
    <s v="Filial(São Paulo)"/>
    <s v="AI Festival 2026 - Ingresso Explorer"/>
    <m/>
    <m/>
    <m/>
    <s v="06f29b8878d40a11b92b738c475cbc3e"/>
    <m/>
    <s v="Nao"/>
    <x v="10"/>
    <m/>
    <s v="13/05/2026"/>
    <m/>
    <m/>
    <m/>
    <m/>
    <s v="KAM"/>
    <s v="19/03/2021"/>
    <s v="ID-59456277000176"/>
    <m/>
    <m/>
    <x v="1"/>
  </r>
  <r>
    <s v="COM6A020006E95B7"/>
    <n v="249512"/>
    <s v="11/05/2026 13:12"/>
    <x v="0"/>
    <m/>
    <s v="11/05/2026"/>
    <s v="Aprovado"/>
    <n v="1"/>
    <n v="1"/>
    <n v="0"/>
    <m/>
    <n v="0"/>
    <s v=""/>
    <s v="Cortesia"/>
    <s v="cortesia"/>
    <s v="Executive Program - 24 a 26 de Agosto de 2026"/>
    <s v="executive-program-ed8a26"/>
    <s v="Thiago Antunes de Assis"/>
    <s v="32964367825"/>
    <m/>
    <m/>
    <s v="Thiago.assis1@heineken.com.br"/>
    <s v="5511996089027"/>
    <m/>
    <s v="04578-910"/>
    <s v="Avenida das Nações Unidas, 12901"/>
    <s v="12901"/>
    <m/>
    <s v="Brooklin Paulista"/>
    <s v="São Paulo"/>
    <s v="SP"/>
    <s v="Filial(São Paulo)"/>
    <s v="Executive Program - 24 a 26 de Agosto de 2026"/>
    <m/>
    <m/>
    <m/>
    <s v="5e352a2a06acf0fd25b79f42f7f41247"/>
    <m/>
    <s v="Nao"/>
    <x v="6"/>
    <m/>
    <s v="24/08/2026"/>
    <m/>
    <m/>
    <m/>
    <m/>
    <s v="KAM"/>
    <m/>
    <s v="ID-32964367825"/>
    <m/>
    <m/>
    <x v="1"/>
  </r>
  <r>
    <s v="COM6A01F739DB86A"/>
    <n v="249501"/>
    <s v="11/05/2026 12:35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Viviane Rodrigues de Oliveira"/>
    <s v="05521986766"/>
    <m/>
    <m/>
    <s v="viviane.oliveira@tivit.com"/>
    <s v="552199761539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5e86d64c01f141305db3dd5f9d7bc90"/>
    <m/>
    <s v="Nao"/>
    <x v="1"/>
    <m/>
    <s v="15/05/2026"/>
    <m/>
    <m/>
    <m/>
    <s v="Brasil"/>
    <s v="KAM"/>
    <s v="04/06/2020"/>
    <s v="ID-05521986766"/>
    <m/>
    <m/>
    <x v="1"/>
  </r>
  <r>
    <s v="COM6A01F6F2200B3"/>
    <n v="249500"/>
    <s v="11/05/2026 12:34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André Marcusso Neiva"/>
    <s v="26489079801"/>
    <m/>
    <m/>
    <s v="andre.neiva@mentorebank.com.br"/>
    <s v="551198943044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3460b5a3b61a0ed4fec0176453112e00"/>
    <m/>
    <s v="Nao"/>
    <x v="1"/>
    <m/>
    <s v="15/05/2026"/>
    <m/>
    <m/>
    <m/>
    <s v="Brasil"/>
    <s v="KAM"/>
    <m/>
    <s v="ID-26489079801"/>
    <m/>
    <m/>
    <x v="1"/>
  </r>
  <r>
    <s v="COM6A01F64EC7E02"/>
    <n v="249497"/>
    <s v="11/05/2026 12:31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Cristiane Delfino Abdalla de Carvalho"/>
    <s v="29880832825"/>
    <m/>
    <m/>
    <s v="cristianeabdalla@hotmail.com"/>
    <s v="551197686162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f7ed745f54e2acfd04aa5eac81d41b5d"/>
    <m/>
    <s v="Nao"/>
    <x v="1"/>
    <m/>
    <s v="15/05/2026"/>
    <m/>
    <m/>
    <m/>
    <s v="Brasil"/>
    <s v="KAM"/>
    <m/>
    <s v="ID-29880832825"/>
    <m/>
    <m/>
    <x v="1"/>
  </r>
  <r>
    <s v="COM6A01F598908AE"/>
    <n v="249494"/>
    <s v="11/05/2026 12:28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Glaucio Nogueira Toyama"/>
    <s v="14524033840"/>
    <m/>
    <m/>
    <s v="glaucio.toyama@irbre.com"/>
    <s v="5511999613367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4413b2837a7ba87ea299ca5c4082421"/>
    <m/>
    <s v="Nao"/>
    <x v="1"/>
    <m/>
    <s v="15/05/2026"/>
    <m/>
    <m/>
    <m/>
    <s v="Brasil"/>
    <s v="KAM"/>
    <m/>
    <s v="ID-14524033840"/>
    <m/>
    <m/>
    <x v="1"/>
  </r>
  <r>
    <s v="COM6A01F55DA42DD"/>
    <n v="249493"/>
    <s v="11/05/2026 12:27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SANTIAGO ARELLANO"/>
    <s v="22125137801"/>
    <m/>
    <m/>
    <s v="santiago.arellano@irbseg.com.br"/>
    <s v="551197649693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39eb61c3b2874e096a0a01056a2ad6b"/>
    <m/>
    <s v="Nao"/>
    <x v="1"/>
    <m/>
    <s v="15/05/2026"/>
    <m/>
    <m/>
    <m/>
    <s v="Brasil"/>
    <s v="KAM"/>
    <m/>
    <s v="ID-22125137801"/>
    <m/>
    <m/>
    <x v="1"/>
  </r>
  <r>
    <s v="COM6A01F4991F1CB"/>
    <n v="249492"/>
    <s v="11/05/2026 12:24"/>
    <x v="0"/>
    <m/>
    <s v="11/05/2026"/>
    <s v="Aprovado"/>
    <n v="1"/>
    <n v="1"/>
    <n v="0"/>
    <m/>
    <n v="0"/>
    <s v=""/>
    <s v="Cortesia"/>
    <s v="cortesia"/>
    <s v="AI Festival 2026 - Ingresso Interactive"/>
    <s v="evento-ia-ed1a26_interactive"/>
    <s v="Leilane Borges"/>
    <s v="28202099803"/>
    <m/>
    <m/>
    <s v="Leilane.oliveira@telefonica.com"/>
    <s v="5511991298231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0c033d828628c229172f542072352c70"/>
    <m/>
    <s v="Nao"/>
    <x v="7"/>
    <m/>
    <s v="13/05/2026"/>
    <m/>
    <m/>
    <m/>
    <m/>
    <s v="KAM"/>
    <m/>
    <s v="ID-28202099803"/>
    <m/>
    <m/>
    <x v="1"/>
  </r>
  <r>
    <s v="COM6A01F43F100F2"/>
    <n v="249491"/>
    <s v="11/05/2026 12:22"/>
    <x v="0"/>
    <m/>
    <s v="11/05/2026"/>
    <s v="Aprovado"/>
    <n v="1"/>
    <n v="1"/>
    <n v="0"/>
    <m/>
    <n v="0"/>
    <s v=""/>
    <s v="Cortesia"/>
    <s v="cortesia"/>
    <s v="AI Festival 2026 - Ingresso Interactive"/>
    <s v="evento-ia-ed1a26_interactive"/>
    <s v="Vitor Leonardo Correa"/>
    <s v="48184248890"/>
    <m/>
    <m/>
    <s v="Vitor.cavalcanti@telefonica.com"/>
    <s v="5511933299569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b0c7ce6809a5ccf94254e505d9c70476"/>
    <m/>
    <s v="Nao"/>
    <x v="1"/>
    <m/>
    <s v="13/05/2026"/>
    <m/>
    <m/>
    <m/>
    <m/>
    <s v="KAM"/>
    <m/>
    <s v="ID-48184248890"/>
    <m/>
    <m/>
    <x v="1"/>
  </r>
  <r>
    <s v="COM6A01F3ED91EBF"/>
    <n v="249490"/>
    <s v="11/05/2026 12:21"/>
    <x v="0"/>
    <m/>
    <s v="11/05/2026"/>
    <s v="Aprovado"/>
    <n v="1"/>
    <n v="1"/>
    <n v="0"/>
    <m/>
    <n v="0"/>
    <s v=""/>
    <s v="Cortesia"/>
    <s v="cortesia"/>
    <s v="AI Festival 2026 - Ingresso Interactive"/>
    <s v="evento-ia-ed1a26_interactive"/>
    <s v="Taciana Guedes de Castro Andrade"/>
    <s v="36481667860"/>
    <m/>
    <m/>
    <s v="taciana.andrade@telefonica.com"/>
    <s v="5511979771888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80f5f4507012fa06c88d5670df4d7c57"/>
    <m/>
    <s v="Nao"/>
    <x v="7"/>
    <m/>
    <s v="13/05/2026"/>
    <m/>
    <m/>
    <m/>
    <m/>
    <s v="KAM"/>
    <m/>
    <s v="ID-36481667860"/>
    <m/>
    <m/>
    <x v="1"/>
  </r>
  <r>
    <s v="COM6A01F352F4032"/>
    <n v="249489"/>
    <s v="11/05/2026 12:1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Guilherme Tezoli Bakaukas"/>
    <s v="48927976851"/>
    <m/>
    <m/>
    <s v="guilherme.bakaukas@qitech.com.br"/>
    <s v="551599629261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b7c7b5db04581756f9e09a69954db183"/>
    <m/>
    <s v="Nao"/>
    <x v="1"/>
    <m/>
    <s v="13/05/2026"/>
    <m/>
    <m/>
    <m/>
    <m/>
    <s v="KAM"/>
    <m/>
    <s v="ID-48927976851"/>
    <m/>
    <m/>
    <x v="1"/>
  </r>
  <r>
    <s v="COM6A01F16F0C7E1"/>
    <n v="249486"/>
    <s v="11/05/2026 12:10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André Marcusso Neiva"/>
    <s v="26489079801"/>
    <m/>
    <m/>
    <s v="andre.neiva@mentorebank.com.br"/>
    <s v="551198943044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f90b2e925b3a48b604cd6b747b44a6c"/>
    <m/>
    <s v="Nao"/>
    <x v="0"/>
    <m/>
    <s v="13/05/2026"/>
    <m/>
    <m/>
    <m/>
    <m/>
    <s v="KAM"/>
    <m/>
    <s v="ID-26489079801"/>
    <m/>
    <m/>
    <x v="1"/>
  </r>
  <r>
    <s v="COM6A01F0E2D6530"/>
    <n v="249485"/>
    <s v="11/05/2026 12:08"/>
    <x v="0"/>
    <m/>
    <s v="11/05/2026"/>
    <s v="Aprovado"/>
    <n v="1"/>
    <n v="1"/>
    <n v="0"/>
    <m/>
    <n v="0"/>
    <s v=""/>
    <s v="Cortesia"/>
    <s v="cortesia"/>
    <s v="SLD - Os frameworks da nova economia"/>
    <s v="comunidade-ed2a26"/>
    <s v="Natália Kuraim Finotti Monteiro"/>
    <s v="39371227885"/>
    <m/>
    <m/>
    <s v="nfinotti@even.com.br"/>
    <s v="551195229568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b75cbbd4d9665f74a54e64dee5012aa"/>
    <m/>
    <s v="Nao"/>
    <x v="0"/>
    <m/>
    <s v="15/05/2026"/>
    <m/>
    <m/>
    <m/>
    <s v="Brasil"/>
    <s v="KAM"/>
    <m/>
    <s v="ID-39371227885"/>
    <m/>
    <m/>
    <x v="1"/>
  </r>
  <r>
    <s v="COM6A01F0A586380"/>
    <n v="249483"/>
    <s v="11/05/2026 12:07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Marcos Federicce"/>
    <s v="29195018875"/>
    <m/>
    <m/>
    <s v="marcos.francisco@br.zurich.com"/>
    <s v="5511995150495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911b3b09d2d69564289a571910a00d28"/>
    <m/>
    <s v="Nao"/>
    <x v="1"/>
    <m/>
    <s v="13/05/2026"/>
    <m/>
    <m/>
    <m/>
    <m/>
    <s v="KAM"/>
    <s v="08/02/2019"/>
    <s v="ID-29195018875"/>
    <m/>
    <m/>
    <x v="1"/>
  </r>
  <r>
    <s v="COM6A01EFCBD5856"/>
    <n v="249481"/>
    <s v="11/05/2026 12:03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Daniel Silva Costa"/>
    <s v="39369957880"/>
    <m/>
    <m/>
    <s v="dscosta@even.com.br"/>
    <s v="551196058464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f29d520eb2737fa3fae9b170677e031"/>
    <m/>
    <s v="Nao"/>
    <x v="0"/>
    <m/>
    <s v="13/05/2026"/>
    <m/>
    <m/>
    <m/>
    <m/>
    <s v="KAM"/>
    <m/>
    <s v="ID-39369957880"/>
    <m/>
    <m/>
    <x v="1"/>
  </r>
  <r>
    <s v="COM6A01EF749C4C6"/>
    <n v="249480"/>
    <s v="11/05/2026 12:02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Felipe Novaes"/>
    <s v="31805821890"/>
    <m/>
    <m/>
    <s v="novaes@aoficinadamente.com.br"/>
    <s v="551199999933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ba495ccf7fd91bfd3c7d50d0e36121fa"/>
    <m/>
    <s v="Nao"/>
    <x v="1"/>
    <m/>
    <s v="13/05/2026"/>
    <m/>
    <m/>
    <m/>
    <m/>
    <s v="KAM"/>
    <m/>
    <s v="ID-31805821890"/>
    <m/>
    <m/>
    <x v="1"/>
  </r>
  <r>
    <s v="COM6A01EEF09B9A8"/>
    <n v="249478"/>
    <s v="11/05/2026 12:00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Felipe Chaya"/>
    <s v="34316101889"/>
    <m/>
    <m/>
    <s v="Felipe@aoficinadamente.com.br"/>
    <s v="55119999996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c5eb709c433d1273881de58911dfe9f3"/>
    <m/>
    <s v="Nao"/>
    <x v="1"/>
    <m/>
    <s v="13/05/2026"/>
    <m/>
    <m/>
    <m/>
    <m/>
    <s v="KAM"/>
    <m/>
    <s v="ID-34316101889"/>
    <m/>
    <m/>
    <x v="1"/>
  </r>
  <r>
    <s v="COM6A01EE456C985"/>
    <n v="249477"/>
    <s v="11/05/2026 11:57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Daniela Ferreira dos Santos"/>
    <s v="24625250846"/>
    <m/>
    <m/>
    <s v="daniela.santos@jdecoffee.com"/>
    <s v="551193736010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6243f388a3deb04f6e253440a3486825"/>
    <m/>
    <s v="Nao"/>
    <x v="4"/>
    <m/>
    <s v="13/05/2026"/>
    <m/>
    <m/>
    <m/>
    <m/>
    <s v="KAM"/>
    <s v="29/02/2024"/>
    <s v="ID-24625250846"/>
    <m/>
    <m/>
    <x v="1"/>
  </r>
  <r>
    <s v="COM6A01EDD7945EA"/>
    <n v="249475"/>
    <s v="11/05/2026 11:55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Jonatas Rodrigues Pereira"/>
    <s v="35927279821"/>
    <m/>
    <m/>
    <s v="Jonatas.pereira@elo.com.br"/>
    <s v="551198087529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55cd647b48f38332989848a3d92687a7"/>
    <m/>
    <s v="Nao"/>
    <x v="4"/>
    <m/>
    <s v="13/05/2026"/>
    <m/>
    <m/>
    <m/>
    <m/>
    <s v="KAM"/>
    <m/>
    <s v="ID-35927279821"/>
    <m/>
    <m/>
    <x v="1"/>
  </r>
  <r>
    <s v="COM6A01ED2A5B052"/>
    <n v="249474"/>
    <s v="11/05/2026 11:52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Rodrigo Barros Marcondes Toledo"/>
    <s v="37969929869"/>
    <m/>
    <m/>
    <s v="Rodrigo.toledo@elo.com.br"/>
    <s v="5511993861936"/>
    <m/>
    <s v="04578-910"/>
    <s v="Avenida das Nações Unidas, 12901"/>
    <s v="12901"/>
    <m/>
    <s v="Brooklin Paulista"/>
    <s v="São Paulo"/>
    <s v="SP"/>
    <s v="Filial(São Paulo)"/>
    <s v="AI Festival 2026 - Ingresso Explorer"/>
    <m/>
    <m/>
    <m/>
    <s v="974f3080aad265c8ac50ede7982b33f0"/>
    <m/>
    <s v="Nao"/>
    <x v="4"/>
    <m/>
    <s v="13/05/2026"/>
    <m/>
    <m/>
    <m/>
    <m/>
    <s v="KAM"/>
    <m/>
    <s v="ID-37969929869"/>
    <m/>
    <m/>
    <x v="1"/>
  </r>
  <r>
    <s v="COM6A01EC81BE5D5"/>
    <n v="249473"/>
    <s v="11/05/2026 11:49"/>
    <x v="0"/>
    <m/>
    <s v="11/05/2026"/>
    <s v="Aprovado"/>
    <n v="1"/>
    <n v="1"/>
    <n v="0"/>
    <m/>
    <n v="0"/>
    <s v=""/>
    <s v="Cortesia"/>
    <s v="cortesia"/>
    <s v="AI Festival 2026 - Ingresso Explorer"/>
    <s v="evento-ia-ed1a26_explorer"/>
    <s v="GILCY BRAGA"/>
    <s v="01477638512"/>
    <m/>
    <m/>
    <s v="BRAGAGILCY@GMAIL.COM"/>
    <s v="5571993195532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508902669a15b8c4870ff8cc1d2eb904"/>
    <m/>
    <s v="Nao"/>
    <x v="0"/>
    <m/>
    <s v="13/05/2026"/>
    <m/>
    <m/>
    <m/>
    <m/>
    <s v="KAM"/>
    <m/>
    <s v="ID-01477638512"/>
    <m/>
    <m/>
    <x v="1"/>
  </r>
  <r>
    <s v="COM6A01EAF27B8C9"/>
    <n v="249470"/>
    <s v="11/05/2026 11:4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ex Sismon Leme"/>
    <s v="30338782885"/>
    <m/>
    <m/>
    <s v="aleme@tribanco.com.br"/>
    <s v="551199375324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00ebfd1c1f446c1f9eb75464e3a07c4"/>
    <m/>
    <s v="Nao"/>
    <x v="1"/>
    <m/>
    <s v="13/05/2026"/>
    <m/>
    <m/>
    <m/>
    <m/>
    <s v="KAM"/>
    <m/>
    <s v="ID-30338782885"/>
    <m/>
    <m/>
    <x v="1"/>
  </r>
  <r>
    <s v="COM6A01EA81DC5C2"/>
    <n v="249469"/>
    <s v="11/05/2026 11:4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naterra Oliveira"/>
    <s v="30301690812"/>
    <m/>
    <m/>
    <s v="anaterra1206@gmail.com"/>
    <s v="551198188996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435d998edd2f0ffada4abafbee49952"/>
    <m/>
    <s v="Nao"/>
    <x v="1"/>
    <m/>
    <s v="13/05/2026"/>
    <m/>
    <m/>
    <m/>
    <m/>
    <s v="KAM"/>
    <s v="15/07/2020"/>
    <s v="ID-30301690812"/>
    <m/>
    <m/>
    <x v="1"/>
  </r>
  <r>
    <s v="COM6A01E9D366FEE"/>
    <n v="249468"/>
    <s v="11/05/2026 11:3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duardo Vieira"/>
    <s v="41811724817"/>
    <m/>
    <m/>
    <s v="eduardo.vieira@crmbonus.com"/>
    <s v="551196772429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254bf6a5f34735116ec7776c64ede8b"/>
    <m/>
    <s v="Nao"/>
    <x v="1"/>
    <m/>
    <s v="13/05/2026"/>
    <m/>
    <m/>
    <m/>
    <m/>
    <s v="KAM"/>
    <m/>
    <s v="ID-41811724817"/>
    <m/>
    <m/>
    <x v="1"/>
  </r>
  <r>
    <s v="COM6A01E9699574A"/>
    <n v="249467"/>
    <s v="11/05/2026 11:3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láudia Marquesani"/>
    <s v="03488611680"/>
    <m/>
    <m/>
    <s v="claudia.marquesani@copaenergia.com.br"/>
    <s v="551197412224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f05358e2bf44a9111d90a8dbc44b6db"/>
    <m/>
    <s v="Nao"/>
    <x v="1"/>
    <m/>
    <s v="13/05/2026"/>
    <m/>
    <m/>
    <m/>
    <m/>
    <s v="KAM"/>
    <s v="18/04/2024"/>
    <s v="ID-03488611680"/>
    <m/>
    <m/>
    <x v="1"/>
  </r>
  <r>
    <s v="COM6A01E86E5A559"/>
    <n v="249465"/>
    <s v="11/05/2026 11:3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Sergio Costa"/>
    <s v="08566257790"/>
    <m/>
    <m/>
    <s v="Sergio.Gri@gmail.com"/>
    <s v="5511986347527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61b05d4fade4552e135ea95f6f262f3"/>
    <m/>
    <s v="Nao"/>
    <x v="1"/>
    <m/>
    <s v="13/05/2026"/>
    <m/>
    <m/>
    <m/>
    <m/>
    <s v="KAM"/>
    <m/>
    <s v="ID-08566257790"/>
    <m/>
    <m/>
    <x v="1"/>
  </r>
  <r>
    <s v="COM6A01E31EEBC00"/>
    <n v="249458"/>
    <s v="11/05/2026 11:0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rtur Bittencourt Lemos"/>
    <s v="14773109750"/>
    <m/>
    <m/>
    <s v="artur.lemos@somagrupo.com.br"/>
    <s v="5521994153471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474f2d26fe2e27e87f90cfc88950638"/>
    <m/>
    <s v="Nao"/>
    <x v="1"/>
    <m/>
    <s v="13/05/2026"/>
    <m/>
    <m/>
    <m/>
    <m/>
    <s v="KAM"/>
    <s v="06/05/2026"/>
    <s v="ID-14773109750"/>
    <m/>
    <m/>
    <x v="1"/>
  </r>
  <r>
    <s v="COM6A01E2E38C864"/>
    <n v="249457"/>
    <s v="11/05/2026 11:0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isson Suzzim Calgaroto"/>
    <s v="05838559977"/>
    <m/>
    <m/>
    <s v="alisson.calgaroto@somagrupo.com.br"/>
    <s v="552196595684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9f7198cb380591beb2f8676916e123fe"/>
    <m/>
    <s v="Nao"/>
    <x v="1"/>
    <m/>
    <s v="13/05/2026"/>
    <m/>
    <m/>
    <m/>
    <m/>
    <s v="KAM"/>
    <m/>
    <s v="ID-05838559977"/>
    <m/>
    <m/>
    <x v="1"/>
  </r>
  <r>
    <s v="COM6A01E2A6E358A"/>
    <n v="249456"/>
    <s v="11/05/2026 11:0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aphael Di Pace Penna Soares"/>
    <s v="43466773806"/>
    <m/>
    <m/>
    <s v="raphael.penna@somagrupo.com.br"/>
    <s v="551196304377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f9b43a6977af9a1b2223858f2b61845"/>
    <m/>
    <s v="Nao"/>
    <x v="1"/>
    <m/>
    <s v="13/05/2026"/>
    <m/>
    <m/>
    <m/>
    <m/>
    <s v="KAM"/>
    <m/>
    <s v="ID-43466773806"/>
    <m/>
    <m/>
    <x v="1"/>
  </r>
  <r>
    <s v="COM6A01E218EAD5D"/>
    <n v="249455"/>
    <s v="11/05/2026 11:0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icardo Wagner"/>
    <s v="19491038893"/>
    <m/>
    <m/>
    <s v="rwagner@businessindicator.com"/>
    <s v="551193739475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6fb19e153bbfd5a9a954e0c04911bdc1"/>
    <m/>
    <s v="Nao"/>
    <x v="1"/>
    <m/>
    <s v="13/05/2026"/>
    <m/>
    <m/>
    <m/>
    <m/>
    <s v="KAM"/>
    <m/>
    <s v="ID-19491038893"/>
    <m/>
    <m/>
    <x v="1"/>
  </r>
  <r>
    <s v="COM6A01E1D8847A1"/>
    <n v="249453"/>
    <s v="11/05/2026 11:0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aio Montagner"/>
    <s v="32228495875"/>
    <m/>
    <m/>
    <s v="carmontagner@gmail.com"/>
    <s v="551198964933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41a5bf4e260e774af4ca6dcea859c55"/>
    <m/>
    <s v="Nao"/>
    <x v="1"/>
    <m/>
    <s v="13/05/2026"/>
    <m/>
    <m/>
    <m/>
    <m/>
    <s v="KAM"/>
    <m/>
    <s v="ID-32228495875"/>
    <m/>
    <m/>
    <x v="1"/>
  </r>
  <r>
    <s v="COM6A01E16668DEC"/>
    <n v="249452"/>
    <s v="11/05/2026 11:0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ndrezza Luiza Ramalho Silva"/>
    <s v="06062227403"/>
    <m/>
    <m/>
    <s v="andrezza.ramalho@mv.com.br"/>
    <s v="558199370770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32ed16ea9565fe8b07531a5daedc2bd"/>
    <m/>
    <s v="Nao"/>
    <x v="1"/>
    <m/>
    <s v="13/05/2026"/>
    <m/>
    <m/>
    <m/>
    <m/>
    <s v="KAM"/>
    <m/>
    <s v="ID-06062227403"/>
    <m/>
    <m/>
    <x v="1"/>
  </r>
  <r>
    <s v="COM6A01E0D6B4F7C"/>
    <n v="249451"/>
    <s v="11/05/2026 10:5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sther Mashki"/>
    <s v="34534054807"/>
    <m/>
    <m/>
    <s v="esther.mashki@mv.com.br"/>
    <s v="551196742359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2b6ff8ef49a77187a8a24b8625af6d45"/>
    <m/>
    <s v="Nao"/>
    <x v="1"/>
    <m/>
    <s v="13/05/2026"/>
    <m/>
    <m/>
    <m/>
    <m/>
    <s v="KAM"/>
    <m/>
    <s v="ID-34534054807"/>
    <m/>
    <m/>
    <x v="1"/>
  </r>
  <r>
    <s v="COM6A01E04511345"/>
    <n v="249449"/>
    <s v="11/05/2026 10:5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Suellen Cylos Hoshino"/>
    <s v="31605653861"/>
    <m/>
    <m/>
    <s v="suhoshino@gmail.com"/>
    <s v="551599726086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212c06fa1b36ddefaea4c8a1f8a02ecc"/>
    <m/>
    <s v="Nao"/>
    <x v="1"/>
    <m/>
    <s v="13/05/2026"/>
    <m/>
    <m/>
    <m/>
    <m/>
    <s v="KAM"/>
    <m/>
    <s v="ID-31605653861"/>
    <m/>
    <m/>
    <x v="1"/>
  </r>
  <r>
    <s v="COM6A01E0006B54E"/>
    <n v="249448"/>
    <s v="11/05/2026 10:5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GILSON ALVES DE SOUZA"/>
    <s v="35649902836"/>
    <m/>
    <m/>
    <s v="Gilsonp.souza@bradesco.com.br"/>
    <s v="5511951012217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fd63ef9927551bc692b46d98164f1ac8"/>
    <m/>
    <s v="Nao"/>
    <x v="1"/>
    <m/>
    <s v="13/05/2026"/>
    <m/>
    <m/>
    <m/>
    <m/>
    <s v="KAM"/>
    <m/>
    <s v="ID-35649902836"/>
    <m/>
    <m/>
    <x v="1"/>
  </r>
  <r>
    <s v="COM6A01DF7C32E42"/>
    <n v="249447"/>
    <s v="11/05/2026 10:5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Gabrielly do Nascimento Leite"/>
    <s v="39778979855"/>
    <m/>
    <m/>
    <s v="gabrielly.leite@itau-unibanco.com.br"/>
    <s v="551198035357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b8ea6df17e1cb91ac4363c60e3093db1"/>
    <m/>
    <s v="Nao"/>
    <x v="1"/>
    <m/>
    <s v="13/05/2026"/>
    <m/>
    <m/>
    <m/>
    <m/>
    <s v="KAM"/>
    <m/>
    <s v="ID-39778979855"/>
    <m/>
    <m/>
    <x v="1"/>
  </r>
  <r>
    <s v="COM6A01DF2A62AC0"/>
    <n v="249446"/>
    <s v="11/05/2026 10:5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ine Lello Corsini"/>
    <s v="10797986685"/>
    <m/>
    <m/>
    <s v="aline.lello@ifood.com.br"/>
    <s v="553198357761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687531da10f549254b0a0bffa61064d6"/>
    <m/>
    <s v="Nao"/>
    <x v="1"/>
    <m/>
    <s v="13/05/2026"/>
    <m/>
    <m/>
    <m/>
    <m/>
    <s v="KAM"/>
    <m/>
    <s v="ID-10797986685"/>
    <m/>
    <m/>
    <x v="1"/>
  </r>
  <r>
    <s v="COM6A01DEE078EC6"/>
    <n v="249445"/>
    <s v="11/05/2026 10:5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afael crema Tobara"/>
    <s v="31451396813"/>
    <m/>
    <m/>
    <s v="Rafael.c.tobara@medtronic.com"/>
    <s v="5511976696334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b04084c4c21b6433f03a5c01ff7c6912"/>
    <m/>
    <s v="Nao"/>
    <x v="1"/>
    <m/>
    <s v="13/05/2026"/>
    <m/>
    <m/>
    <m/>
    <m/>
    <s v="KAM"/>
    <m/>
    <s v="ID-31451396813"/>
    <m/>
    <m/>
    <x v="1"/>
  </r>
  <r>
    <s v="COM6A01D69E38FCA"/>
    <n v="249436"/>
    <s v="11/05/2026 10:16"/>
    <x v="0"/>
    <m/>
    <m/>
    <s v="Aprovado"/>
    <n v="7"/>
    <n v="1"/>
    <n v="0"/>
    <m/>
    <n v="0"/>
    <s v=""/>
    <s v="Cortesia"/>
    <s v="cortesia"/>
    <s v="AI Festival 2026 - Ingresso Platinum"/>
    <s v="evento-ia-ed1a26_platinum"/>
    <s v="Janaina Tobita"/>
    <m/>
    <s v="59.456.277/0001-76"/>
    <s v="ORACLE DO BRASIL SISTEMAS LTDA"/>
    <s v="janaina.tobita@oracle.com"/>
    <s v="5511997543233"/>
    <s v="551133331817"/>
    <s v="04710090"/>
    <s v="DR JOSE AUREO BUSTAMANTE"/>
    <s v="455"/>
    <s v="ANEXO MORUMBI BUSINESS CEN"/>
    <s v="SANTO AMARO"/>
    <s v="São Paulo"/>
    <s v="SP"/>
    <s v="Filial(São Paulo)"/>
    <s v="AI Festival 2026 - Ingresso Platinum"/>
    <m/>
    <m/>
    <m/>
    <s v="fe0b6ae9190be62b9bf734de3b6d0d5c"/>
    <m/>
    <s v="Nao"/>
    <x v="10"/>
    <m/>
    <s v="13/05/2026"/>
    <m/>
    <m/>
    <m/>
    <m/>
    <s v="KAM"/>
    <s v="19/03/2021"/>
    <s v="ID-59456277000176"/>
    <m/>
    <m/>
    <x v="1"/>
  </r>
  <r>
    <s v="COM6A01D3F6972AF"/>
    <n v="249433"/>
    <s v="11/05/2026 10:04"/>
    <x v="0"/>
    <m/>
    <s v="11/05/2026"/>
    <s v="Aprovado"/>
    <n v="1"/>
    <n v="1"/>
    <n v="12000"/>
    <m/>
    <n v="11262"/>
    <s v=""/>
    <s v="TED"/>
    <s v="ted"/>
    <s v="Executive Program - 25 a 27 de Agosto de 2025"/>
    <s v="executive-program-ed8a25"/>
    <s v="Mônica Teruya"/>
    <m/>
    <s v="61.064.911/0017-34"/>
    <s v="CATERPILLAR BRASIL LTDA"/>
    <s v="teruya_monica_m@cat.com"/>
    <s v="5541992630626"/>
    <s v="551921062100"/>
    <s v="83606360"/>
    <s v="EMA TANER DE ANDRADE"/>
    <s v="792"/>
    <m/>
    <s v="ILHA"/>
    <s v="Campo Largo"/>
    <s v="PR"/>
    <s v="Filial(São Paulo)"/>
    <s v="Executive Program - 25 a 27 de Agosto de 2025"/>
    <m/>
    <m/>
    <m/>
    <s v="8314be957d8fbc062c181690bc45db25"/>
    <m/>
    <s v="Nao"/>
    <x v="10"/>
    <m/>
    <s v="25/08/2025"/>
    <m/>
    <m/>
    <m/>
    <m/>
    <s v="KAM"/>
    <s v="22/11/2024"/>
    <s v="ID-61064911001734"/>
    <s v="Aguardando recebimento"/>
    <m/>
    <x v="2"/>
  </r>
  <r>
    <s v="COM6A01C3B4D2B5F"/>
    <n v="249408"/>
    <s v="11/05/2026 08:55"/>
    <x v="0"/>
    <m/>
    <s v="11/05/2026"/>
    <s v="Aprovado"/>
    <n v="1"/>
    <n v="1"/>
    <n v="130000"/>
    <m/>
    <n v="122005"/>
    <m/>
    <s v="TED"/>
    <s v="ted"/>
    <s v="GM l Programa Tracks"/>
    <s v="corporate-workshop-ed41a26"/>
    <s v="Eloa Muciarone"/>
    <m/>
    <s v="59.275.792/0001-50"/>
    <s v="GENERAL MOTORS DO BRASIL LTDA"/>
    <s v="eloa.muciarone@gm.com"/>
    <s v="5511970648961"/>
    <s v="551142345090"/>
    <s v="09550050"/>
    <s v="GOIAS"/>
    <s v="1805"/>
    <m/>
    <s v="SANTA PAULA"/>
    <s v="São Caetano do Sul"/>
    <s v="SP"/>
    <s v="Filial(São Paulo)"/>
    <s v=""/>
    <m/>
    <m/>
    <m/>
    <s v="80358db6b3e26c72365fefd3bb331df4"/>
    <m/>
    <s v="Nao"/>
    <x v="11"/>
    <m/>
    <s v="18/08/2026"/>
    <m/>
    <m/>
    <m/>
    <m/>
    <s v="KAM"/>
    <s v="26/07/2018"/>
    <s v="ID-59275792000150"/>
    <m/>
    <m/>
    <x v="2"/>
  </r>
  <r>
    <s v="ORDG3XYN7AY1XNJH"/>
    <n v="249380"/>
    <s v="10/05/2026 07:40"/>
    <x v="0"/>
    <m/>
    <s v="10/05/2026"/>
    <s v="Aprovado"/>
    <n v="1"/>
    <n v="12"/>
    <n v="29900"/>
    <s v="Braintree"/>
    <n v="29900"/>
    <s v="28987210985IDJ05014C"/>
    <s v="Crédito Parcelado"/>
    <s v="mastercard"/>
    <s v="China Xperience - 29 de Junho a 03 de Julho de 2026"/>
    <s v="china-xperience-ed5a26"/>
    <s v="Daniele Araújo Salomão Castelo"/>
    <s v="52406440397"/>
    <m/>
    <m/>
    <s v="danielesalomaocastelo@gmail.com"/>
    <s v="21968423859"/>
    <m/>
    <s v="22290070"/>
    <s v="Avenida Lauro Sodré"/>
    <s v="150"/>
    <s v="Apt 201 bloco 3"/>
    <s v="Botafogo"/>
    <s v="Rio de Janeiro"/>
    <s v="RJ"/>
    <s v="Turismo - 50%"/>
    <m/>
    <m/>
    <m/>
    <m/>
    <s v="266028792ec2c54aaa50a54826bb0bba"/>
    <s v="Off_China_DanieleS"/>
    <s v="Nao"/>
    <x v="3"/>
    <m/>
    <s v="29/06/2026"/>
    <m/>
    <m/>
    <s v="https://loja.startse.com.br//processamento/fatura/266028792ec2c54aaa50a54826bb0bba"/>
    <s v="China"/>
    <s v="KAM"/>
    <s v="10/05/2026"/>
    <s v="ID-52406440397"/>
    <m/>
    <m/>
    <x v="0"/>
  </r>
  <r>
    <s v="COM69FFACEBAF7C2"/>
    <n v="249371"/>
    <s v="09/05/2026 18:53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Maria Beatriz Violi Torrano"/>
    <s v="41379040817"/>
    <m/>
    <m/>
    <s v="beatriz.torrano@qitech.com.br"/>
    <s v="551199871494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fbb676c64c6853bde722ef464a0ff7bd"/>
    <m/>
    <s v="Nao"/>
    <x v="3"/>
    <m/>
    <s v="15/05/2026"/>
    <m/>
    <m/>
    <m/>
    <s v="Brasil"/>
    <s v="KAM"/>
    <s v="07/11/2024"/>
    <s v="ID-41379040817"/>
    <m/>
    <m/>
    <x v="1"/>
  </r>
  <r>
    <s v="COM69FFAC88DEEC4"/>
    <n v="249370"/>
    <s v="09/05/2026 18:52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Kaique Bento"/>
    <s v="02733949160"/>
    <m/>
    <m/>
    <s v="Kaique.bento@qitech.com.br"/>
    <s v="551198644626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8a59239fe7c2c2dc2d1f2d03955f7af"/>
    <m/>
    <s v="Nao"/>
    <x v="3"/>
    <m/>
    <s v="15/05/2026"/>
    <m/>
    <m/>
    <m/>
    <s v="Brasil"/>
    <s v="KAM"/>
    <m/>
    <s v="ID-02733949160"/>
    <m/>
    <m/>
    <x v="1"/>
  </r>
  <r>
    <s v="COM69FFAC09022BC"/>
    <n v="249368"/>
    <s v="09/05/2026 18:50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Fernando Teixeira Rocha"/>
    <s v="12135735809"/>
    <m/>
    <m/>
    <s v="Fernando.teixeira@manserv.com.br"/>
    <s v="551399608480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fa6adf1676482c715dac25b9f1b08d7f"/>
    <m/>
    <s v="Nao"/>
    <x v="0"/>
    <m/>
    <s v="13/05/2026"/>
    <m/>
    <m/>
    <m/>
    <m/>
    <s v="KAM"/>
    <s v="01/04/2026"/>
    <s v="ID-12135735809"/>
    <m/>
    <m/>
    <x v="1"/>
  </r>
  <r>
    <s v="COM69FFAB7527F39"/>
    <n v="249367"/>
    <s v="09/05/2026 18:47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Cristiane Souza de Pinho Fratta"/>
    <s v="33043735862"/>
    <m/>
    <m/>
    <s v="crisfratta@hotmail.com"/>
    <s v="551299999909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2d7ef5b14045f15c7860096dc2cafc1"/>
    <m/>
    <s v="Nao"/>
    <x v="12"/>
    <m/>
    <s v="15/05/2026"/>
    <m/>
    <m/>
    <m/>
    <s v="Brasil"/>
    <m/>
    <m/>
    <s v="ID-33043735862"/>
    <m/>
    <m/>
    <x v="1"/>
  </r>
  <r>
    <s v="COM69FFAA928634F"/>
    <n v="249366"/>
    <s v="09/05/2026 18:43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Leonardo Vitor Araújo Cavalcanti"/>
    <s v="01216629420"/>
    <m/>
    <m/>
    <s v="Leonardo.cavalcanti@gmx.com"/>
    <s v="558498829991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3b5e6afd2d410fd41d246aaf8e5b775d"/>
    <m/>
    <s v="Nao"/>
    <x v="7"/>
    <m/>
    <s v="13/05/2026"/>
    <m/>
    <m/>
    <m/>
    <m/>
    <s v="KAM"/>
    <m/>
    <s v="ID-01216629420"/>
    <m/>
    <m/>
    <x v="1"/>
  </r>
  <r>
    <s v="COM69FFA9D5B8549"/>
    <n v="249365"/>
    <s v="09/05/2026 18:40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Felipe Shaider de Souza"/>
    <s v="41128025876"/>
    <m/>
    <m/>
    <s v="Felipe.shaider@zarv.com"/>
    <s v="55119995735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1cea605883f2ac3d564d2c5a619cd394"/>
    <m/>
    <s v="Nao"/>
    <x v="11"/>
    <m/>
    <s v="13/05/2026"/>
    <m/>
    <m/>
    <m/>
    <m/>
    <s v="KAM"/>
    <m/>
    <s v="ID-41128025876"/>
    <m/>
    <m/>
    <x v="1"/>
  </r>
  <r>
    <s v="COM69FFA906D9CB3"/>
    <n v="249363"/>
    <s v="09/05/2026 18:37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Luiz Antônio Famelli Júnior"/>
    <s v="34755647851"/>
    <m/>
    <m/>
    <s v="Luiz.famelli@digio.com.br"/>
    <s v="551194792805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2782a57321bab441b4c44f08464c007"/>
    <m/>
    <s v="Nao"/>
    <x v="3"/>
    <m/>
    <s v="15/05/2026"/>
    <m/>
    <m/>
    <m/>
    <s v="Brasil"/>
    <s v="KAM"/>
    <s v="01/08/2022"/>
    <s v="ID-34755647851"/>
    <m/>
    <m/>
    <x v="1"/>
  </r>
  <r>
    <s v="COM69FFA86DEAC2A"/>
    <n v="249362"/>
    <s v="09/05/2026 18:34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Carlos Eduardo da Costa"/>
    <s v="39561530813"/>
    <m/>
    <m/>
    <s v="Carlos.costa@digio.com.br"/>
    <s v="5511958036847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b35cab99c3d5f40a3eb8b7e751ef5d1d"/>
    <m/>
    <s v="Nao"/>
    <x v="3"/>
    <m/>
    <s v="15/05/2026"/>
    <m/>
    <m/>
    <m/>
    <s v="Brasil"/>
    <s v="KAM"/>
    <m/>
    <s v="ID-39561530813"/>
    <m/>
    <m/>
    <x v="1"/>
  </r>
  <r>
    <s v="COM69FFA7C007F70"/>
    <n v="249361"/>
    <s v="09/05/2026 18:31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Alexandra Breda"/>
    <s v="10394051858"/>
    <m/>
    <m/>
    <s v="Alexandra.breda@ciriontechnologies.com"/>
    <s v="551199666107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87fd643dedcf8f27ddd84eccb6e8e80d"/>
    <m/>
    <s v="Nao"/>
    <x v="0"/>
    <m/>
    <s v="13/05/2026"/>
    <m/>
    <m/>
    <m/>
    <m/>
    <s v="KAM"/>
    <s v="22/04/2024"/>
    <s v="ID-10394051858"/>
    <m/>
    <m/>
    <x v="1"/>
  </r>
  <r>
    <s v="COM69FFA73D7ECAC"/>
    <n v="249360"/>
    <s v="09/05/2026 18:29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Mirela Fernandes"/>
    <s v="42588257860"/>
    <m/>
    <m/>
    <s v="mirela.fernandes@digibee.com"/>
    <s v="55119994573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aa6963130533d8cc6d1bdb67342cbd94"/>
    <m/>
    <s v="Nao"/>
    <x v="1"/>
    <m/>
    <s v="13/05/2026"/>
    <m/>
    <m/>
    <m/>
    <m/>
    <s v="KAM"/>
    <m/>
    <s v="ID-42588257860"/>
    <m/>
    <m/>
    <x v="1"/>
  </r>
  <r>
    <s v="COM69FFA6C0C6396"/>
    <n v="249359"/>
    <s v="09/05/2026 18:27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Ivan Ferreira"/>
    <s v="36133509805"/>
    <m/>
    <m/>
    <s v="ivan.ferreira@sensedia.com"/>
    <s v="55119999991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a60ac1886ae621636b6a74c48e18f3a4"/>
    <m/>
    <s v="Nao"/>
    <x v="11"/>
    <m/>
    <s v="13/05/2026"/>
    <m/>
    <m/>
    <m/>
    <m/>
    <s v="KAM"/>
    <m/>
    <s v="ID-36133509805"/>
    <m/>
    <m/>
    <x v="1"/>
  </r>
  <r>
    <s v="COM69FFA3DB9B674"/>
    <n v="249356"/>
    <s v="09/05/2026 18:15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Rodrigo Caldoncelli Carvalho"/>
    <s v="15357421862"/>
    <m/>
    <m/>
    <s v="caldoncelli@hotmail.com"/>
    <s v="551199659449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07a2d484388d50dd7a02e07cda04e59"/>
    <m/>
    <s v="Nao"/>
    <x v="1"/>
    <m/>
    <s v="15/05/2026"/>
    <m/>
    <m/>
    <m/>
    <s v="Brasil"/>
    <s v="KAM"/>
    <s v="22/01/2019"/>
    <s v="ID-15357421862"/>
    <m/>
    <m/>
    <x v="1"/>
  </r>
  <r>
    <s v="COM69FFA31A5D2D1"/>
    <n v="249355"/>
    <s v="09/05/2026 18:11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Rafael Rodrigues"/>
    <s v="03689079969"/>
    <m/>
    <m/>
    <s v="rafael.rodrigues@renault.com"/>
    <s v="55119999992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8713a77105af3886786b1092b9a8789"/>
    <m/>
    <s v="Nao"/>
    <x v="6"/>
    <m/>
    <s v="15/05/2026"/>
    <m/>
    <m/>
    <m/>
    <s v="Brasil"/>
    <s v="KAM"/>
    <m/>
    <s v="ID-03689079969"/>
    <m/>
    <m/>
    <x v="1"/>
  </r>
  <r>
    <s v="COM69FFA292D291A"/>
    <n v="249354"/>
    <s v="09/05/2026 18:09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Adriano Weber Scheeren"/>
    <s v="52503259049"/>
    <m/>
    <m/>
    <s v="adrianows@bb.com.br"/>
    <s v="556198103313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a3e72331700e5113c79090d2c2d59198"/>
    <m/>
    <s v="Nao"/>
    <x v="2"/>
    <m/>
    <s v="15/05/2026"/>
    <m/>
    <m/>
    <m/>
    <s v="Brasil"/>
    <s v="KAM"/>
    <s v="06/04/2024"/>
    <s v="ID-52503259049"/>
    <m/>
    <m/>
    <x v="1"/>
  </r>
  <r>
    <s v="COM69FFA2316DCFE"/>
    <n v="249353"/>
    <s v="09/05/2026 18:08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Christine Fernanda Farah Floeter"/>
    <s v="31747231835"/>
    <m/>
    <m/>
    <s v="christine.floeter@bradescoseguros.com.br"/>
    <s v="55119999993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25cfff46f9073e6b1a51623c29291f2"/>
    <m/>
    <s v="Nao"/>
    <x v="1"/>
    <m/>
    <s v="15/05/2026"/>
    <m/>
    <m/>
    <m/>
    <s v="Brasil"/>
    <s v="KAM"/>
    <m/>
    <s v="ID-31747231835"/>
    <m/>
    <m/>
    <x v="1"/>
  </r>
  <r>
    <s v="COM69FFA1AE30C1D"/>
    <n v="249352"/>
    <s v="09/05/2026 18:05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Petherson Lacerda Maximiano"/>
    <s v="05882513642"/>
    <m/>
    <m/>
    <s v="petherson.lacerda@br.zurich.com"/>
    <s v="55328471163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98784b6ba1496c95483b67e238f94c76"/>
    <m/>
    <s v="Nao"/>
    <x v="1"/>
    <m/>
    <s v="13/05/2026"/>
    <m/>
    <m/>
    <m/>
    <m/>
    <s v="KAM"/>
    <m/>
    <s v="ID-05882513642"/>
    <m/>
    <m/>
    <x v="1"/>
  </r>
  <r>
    <s v="COM69FFA11200340"/>
    <n v="249351"/>
    <s v="09/05/2026 18:03"/>
    <x v="0"/>
    <m/>
    <s v="09/05/2026"/>
    <s v="Aprovado"/>
    <n v="1"/>
    <n v="1"/>
    <n v="0"/>
    <m/>
    <n v="0"/>
    <s v=""/>
    <s v="Cortesia"/>
    <s v="cortesia"/>
    <s v="SLD - Os frameworks da nova economia"/>
    <s v="comunidade-ed2a26"/>
    <s v="Tamissa Utescher"/>
    <s v="32153777801"/>
    <m/>
    <m/>
    <s v="tamissa.utescher@bradescoseguros.com.br"/>
    <s v="55119999994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73b3e00e0220df4a28c384db9385250"/>
    <m/>
    <s v="Nao"/>
    <x v="1"/>
    <m/>
    <s v="15/05/2026"/>
    <m/>
    <m/>
    <m/>
    <s v="Brasil"/>
    <s v="KAM"/>
    <m/>
    <s v="ID-32153777801"/>
    <m/>
    <m/>
    <x v="1"/>
  </r>
  <r>
    <s v="COM69FFA026C0003"/>
    <n v="249350"/>
    <s v="09/05/2026 17:59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Juliana Humgaro Fidelis"/>
    <s v="32323449842"/>
    <m/>
    <m/>
    <s v="jfidelis@careplus.com.br"/>
    <s v="551198763416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55f6c9cfc513a6fc5a7bc34084d83bbc"/>
    <m/>
    <s v="Nao"/>
    <x v="0"/>
    <m/>
    <s v="13/05/2026"/>
    <m/>
    <m/>
    <m/>
    <m/>
    <s v="KAM"/>
    <m/>
    <s v="ID-32323449842"/>
    <m/>
    <m/>
    <x v="1"/>
  </r>
  <r>
    <s v="COM69FF9FC409388"/>
    <n v="249349"/>
    <s v="09/05/2026 17:57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Renato Rossi"/>
    <s v="13350638899"/>
    <m/>
    <m/>
    <s v="rrossi@careplus.com.br"/>
    <s v="551195043428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de1c349dd7a0cf6acd1abb8c7f1a9ac1"/>
    <m/>
    <s v="Nao"/>
    <x v="0"/>
    <m/>
    <s v="13/05/2026"/>
    <m/>
    <m/>
    <m/>
    <m/>
    <s v="KAM"/>
    <m/>
    <s v="ID-13350638899"/>
    <m/>
    <m/>
    <x v="1"/>
  </r>
  <r>
    <s v="COM69FF9F8681B97"/>
    <n v="249348"/>
    <s v="09/05/2026 17:56"/>
    <x v="0"/>
    <m/>
    <s v="09/05/2026"/>
    <s v="Aprovado"/>
    <n v="1"/>
    <n v="1"/>
    <n v="0"/>
    <m/>
    <n v="0"/>
    <s v=""/>
    <s v="Cortesia"/>
    <s v="cortesia"/>
    <s v="AI Festival 2026 - Ingresso Explorer"/>
    <s v="evento-ia-ed1a26_explorer"/>
    <s v="RAFAEL Fernando Vaz da Costa"/>
    <s v="91004934300"/>
    <m/>
    <m/>
    <s v="rafaelcosta@bnb.gov.br"/>
    <s v="558598192864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3ca18ad818de93ad7f1d1f3de7a08215"/>
    <m/>
    <s v="Nao"/>
    <x v="2"/>
    <m/>
    <s v="13/05/2026"/>
    <m/>
    <m/>
    <m/>
    <m/>
    <s v="KAM"/>
    <m/>
    <s v="ID-91004934300"/>
    <m/>
    <m/>
    <x v="1"/>
  </r>
  <r>
    <s v="COM69FF9E9555370"/>
    <n v="249347"/>
    <s v="09/05/2026 17:5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lton Da Silva"/>
    <s v="11847885888"/>
    <m/>
    <m/>
    <s v="elton.da.silva@msd.com"/>
    <s v="551199965003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6b6c3c356395cdb640c96adefac7499"/>
    <m/>
    <s v="Nao"/>
    <x v="1"/>
    <m/>
    <s v="13/05/2026"/>
    <m/>
    <m/>
    <m/>
    <m/>
    <s v="KAM"/>
    <s v="24/10/2023"/>
    <s v="ID-11847885888"/>
    <m/>
    <m/>
    <x v="1"/>
  </r>
  <r>
    <s v="COM69FF9E25476DB"/>
    <n v="249346"/>
    <s v="09/05/2026 17:5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ateus Casanova Pereira"/>
    <s v="98112139091"/>
    <m/>
    <m/>
    <s v="Mateus.casanova@unicred.com.br"/>
    <s v="554199668189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d160ceaca8619dce5195b7e9497ebc7"/>
    <m/>
    <s v="Nao"/>
    <x v="1"/>
    <m/>
    <s v="13/05/2026"/>
    <m/>
    <m/>
    <m/>
    <m/>
    <s v="KAM"/>
    <m/>
    <s v="ID-98112139091"/>
    <m/>
    <m/>
    <x v="1"/>
  </r>
  <r>
    <s v="COM69FF9DC2480CC"/>
    <n v="249345"/>
    <s v="09/05/2026 17:4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arissa Karlovic"/>
    <s v="43454344832"/>
    <m/>
    <m/>
    <s v="larissa.burgos@petlove.com.br"/>
    <s v="55119999996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20a140a1d6a3b55bdad1f8fe67ba809"/>
    <m/>
    <s v="Nao"/>
    <x v="1"/>
    <m/>
    <s v="13/05/2026"/>
    <m/>
    <m/>
    <m/>
    <m/>
    <s v="KAM"/>
    <m/>
    <s v="ID-43454344832"/>
    <m/>
    <m/>
    <x v="1"/>
  </r>
  <r>
    <s v="COM69FF9D3D26BE4"/>
    <n v="249343"/>
    <s v="09/05/2026 17:4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Bruno Junqueira"/>
    <s v="06363421667"/>
    <m/>
    <m/>
    <s v="bruno.junqueira@petlove.com.br"/>
    <s v="551199999977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1f2b61ee468b00411cbb6e613317d8d"/>
    <m/>
    <s v="Nao"/>
    <x v="1"/>
    <m/>
    <s v="13/05/2026"/>
    <m/>
    <m/>
    <m/>
    <m/>
    <s v="KAM"/>
    <m/>
    <s v="ID-06363421667"/>
    <m/>
    <m/>
    <x v="1"/>
  </r>
  <r>
    <s v="COM69FF9C77C9626"/>
    <n v="249342"/>
    <s v="09/05/2026 17:4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Bruna Zuffo"/>
    <s v="07357063950"/>
    <m/>
    <m/>
    <s v="bruna.zuffo@petlove.com.br"/>
    <s v="551199999998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200c268a2478b7fef85e4a047481836"/>
    <m/>
    <s v="Nao"/>
    <x v="1"/>
    <m/>
    <s v="13/05/2026"/>
    <m/>
    <m/>
    <m/>
    <m/>
    <s v="KAM"/>
    <m/>
    <s v="ID-07357063950"/>
    <m/>
    <m/>
    <x v="1"/>
  </r>
  <r>
    <s v="COM69FF9B7F8AD4D"/>
    <n v="249341"/>
    <s v="09/05/2026 17:39"/>
    <x v="0"/>
    <m/>
    <m/>
    <s v="Aprovado"/>
    <n v="4"/>
    <n v="1"/>
    <n v="0"/>
    <m/>
    <n v="0"/>
    <s v=""/>
    <s v="Cortesia"/>
    <s v="cortesia"/>
    <s v="AI Festival 2026 - Ingresso Platinum"/>
    <s v="evento-ia-ed1a26_platinum"/>
    <s v="Tiago Dantas"/>
    <m/>
    <s v="61.064.911/0001-77"/>
    <s v="CATERPILLAR BRASIL LTDA"/>
    <s v="Tiago.Dantas@cat.com"/>
    <s v="5519981298000"/>
    <s v="551921062100"/>
    <s v="13420900"/>
    <s v="Rua Luiz de Queiroz Km 157"/>
    <s v="S/N"/>
    <s v="Km 157"/>
    <s v="Unileste"/>
    <s v="Piracicaba"/>
    <s v="SP"/>
    <s v="Filial(São Paulo)"/>
    <s v="AI Festival 2026 - Ingresso Platinum"/>
    <m/>
    <m/>
    <m/>
    <s v="8f7d911299eca176744252854e4f00ec"/>
    <m/>
    <s v="Nao"/>
    <x v="1"/>
    <m/>
    <s v="13/05/2026"/>
    <m/>
    <m/>
    <m/>
    <m/>
    <s v="KAM"/>
    <s v="02/02/2024"/>
    <s v="ID-61064911000177"/>
    <m/>
    <m/>
    <x v="1"/>
  </r>
  <r>
    <s v="COM69FF9B3A5BB74"/>
    <n v="249340"/>
    <s v="09/05/2026 17:3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avid Hoareau"/>
    <s v="23520266873"/>
    <m/>
    <m/>
    <s v="dhoareau@obramax.com.br"/>
    <s v="551197028239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2068af703c9d7b339f35806a25c43e6"/>
    <m/>
    <s v="Nao"/>
    <x v="1"/>
    <m/>
    <s v="13/05/2026"/>
    <m/>
    <m/>
    <m/>
    <m/>
    <s v="KAM"/>
    <m/>
    <s v="ID-23520266873"/>
    <m/>
    <m/>
    <x v="1"/>
  </r>
  <r>
    <s v="COM69FF9A72F20A7"/>
    <n v="249338"/>
    <s v="09/05/2026 17:3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Sebastien Masclef"/>
    <s v="23318426806"/>
    <m/>
    <m/>
    <s v="smasclef@obramax.com.br"/>
    <s v="551197303205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b3f373d4e60255a5eafe62eaf043487"/>
    <m/>
    <s v="Nao"/>
    <x v="1"/>
    <m/>
    <s v="13/05/2026"/>
    <m/>
    <m/>
    <m/>
    <m/>
    <s v="KAM"/>
    <m/>
    <s v="ID-23318426806"/>
    <m/>
    <m/>
    <x v="1"/>
  </r>
  <r>
    <s v="COM69FF9A21CB841"/>
    <n v="249337"/>
    <s v="09/05/2026 17:3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arcos Henrique Masuchi"/>
    <s v="81029810087"/>
    <m/>
    <m/>
    <s v="marcos.masuchi@creditas.com"/>
    <s v="5511934362694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9ad04ada352d35463030a8c4d737c106"/>
    <m/>
    <s v="Nao"/>
    <x v="1"/>
    <m/>
    <s v="13/05/2026"/>
    <m/>
    <m/>
    <m/>
    <m/>
    <s v="KAM"/>
    <m/>
    <s v="ID-81029810087"/>
    <m/>
    <m/>
    <x v="1"/>
  </r>
  <r>
    <s v="ORDUR10MWDWCP2GU"/>
    <n v="249331"/>
    <s v="09/05/2026 16:33"/>
    <x v="0"/>
    <m/>
    <s v="09/05/2026"/>
    <s v="Aprovado"/>
    <n v="1"/>
    <n v="1"/>
    <n v="2465"/>
    <s v="Braintree"/>
    <n v="2465"/>
    <s v="28974115835ICLAEO5IE"/>
    <s v="Crédito à Vista"/>
    <s v="mastercard"/>
    <s v="AI Festival 2026 - Ingresso Explorer"/>
    <s v="evento-ia-ed1a26_explorer"/>
    <s v="RODRIGO VIEIRA GESSULLO"/>
    <s v="36487028827"/>
    <m/>
    <m/>
    <s v="rodrigo.gessullo@innovapharma.com"/>
    <s v="11983895000"/>
    <m/>
    <s v="04125060"/>
    <s v="Rua Gabriel Dias"/>
    <s v="26"/>
    <m/>
    <s v="Vila Firmiano Pinto"/>
    <s v="São Paulo"/>
    <s v="SP"/>
    <s v="Filial(São Paulo)"/>
    <m/>
    <m/>
    <m/>
    <m/>
    <s v="250edeb513502f3bcc77900ce07be83d"/>
    <s v="off_rennova_aifestival"/>
    <s v="Nao"/>
    <x v="0"/>
    <m/>
    <s v="13/05/2026"/>
    <m/>
    <m/>
    <m/>
    <m/>
    <s v="KAM"/>
    <s v="09/05/2026"/>
    <s v="ID-36487028827"/>
    <m/>
    <m/>
    <x v="0"/>
  </r>
  <r>
    <s v="COM69FE45D77ECF1"/>
    <n v="249295"/>
    <s v="08/05/2026 17:2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Fabricio Lira"/>
    <s v="02895133751"/>
    <m/>
    <m/>
    <s v="fabriciolira@br.ibm.com"/>
    <s v="5521971914551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8a86155c585aa7be1f92e19a5c89e0b1"/>
    <m/>
    <s v="Nao"/>
    <x v="1"/>
    <m/>
    <s v="13/05/2026"/>
    <m/>
    <m/>
    <m/>
    <m/>
    <s v="KAM"/>
    <s v="02/07/2022"/>
    <s v="ID-02895133751"/>
    <m/>
    <m/>
    <x v="1"/>
  </r>
  <r>
    <s v="COM69FE4562C5C12"/>
    <n v="249294"/>
    <s v="08/05/2026 17:19"/>
    <x v="0"/>
    <m/>
    <s v="08/05/2026"/>
    <s v="Aprovado"/>
    <n v="1"/>
    <n v="1"/>
    <n v="0"/>
    <m/>
    <n v="0"/>
    <s v=""/>
    <s v="Cortesia"/>
    <s v="cortesia"/>
    <s v="AI Festival 2026 - Ingresso Explorer"/>
    <s v="evento-ia-ed1a26_explorer"/>
    <s v="Cybele Bandeira Correia"/>
    <s v="23144793353"/>
    <m/>
    <m/>
    <s v="cybelel@bnb.gov.br"/>
    <s v="558598881122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d4a7945cd5232f5e9a4f91839eddf5cb"/>
    <m/>
    <s v="Nao"/>
    <x v="2"/>
    <m/>
    <s v="13/05/2026"/>
    <m/>
    <m/>
    <m/>
    <m/>
    <s v="KAM"/>
    <m/>
    <s v="ID-23144793353"/>
    <m/>
    <m/>
    <x v="1"/>
  </r>
  <r>
    <s v="COM69FE44A0136BB"/>
    <n v="249293"/>
    <s v="08/05/2026 17:16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uiz Fernando Rezende"/>
    <s v="01398238759"/>
    <m/>
    <m/>
    <s v="lrezende@deloitte.com"/>
    <s v="5511964708307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5d30c569a824c2f0de791a318ab52bf3"/>
    <m/>
    <s v="Nao"/>
    <x v="1"/>
    <m/>
    <s v="13/05/2026"/>
    <m/>
    <m/>
    <m/>
    <m/>
    <s v="KAM"/>
    <m/>
    <s v="ID-01398238759"/>
    <m/>
    <m/>
    <x v="1"/>
  </r>
  <r>
    <s v="COM69FE437406E1E"/>
    <n v="249292"/>
    <s v="08/05/2026 17:1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sé Steffen"/>
    <s v="81029810087"/>
    <m/>
    <m/>
    <s v="jose.steffen@ciahering.com.br"/>
    <s v="555199278646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66bf9e80d92ce0d782528803ced597b7"/>
    <m/>
    <s v="Nao"/>
    <x v="1"/>
    <m/>
    <s v="13/05/2026"/>
    <m/>
    <m/>
    <m/>
    <m/>
    <s v="KAM"/>
    <m/>
    <s v="ID-81029810087"/>
    <m/>
    <m/>
    <x v="1"/>
  </r>
  <r>
    <s v="COM69FE39F90E630"/>
    <n v="249278"/>
    <s v="08/05/2026 16:3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enato BarbosaRenato Barbosa"/>
    <s v="36170415827"/>
    <m/>
    <m/>
    <s v="renato.barbosa@starbem.app"/>
    <s v="551198906433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659f36088277c54769cc4b0431ccc5e3"/>
    <m/>
    <s v="Nao"/>
    <x v="1"/>
    <m/>
    <s v="13/05/2026"/>
    <m/>
    <m/>
    <m/>
    <m/>
    <s v="KAM"/>
    <m/>
    <s v="ID-36170415827"/>
    <m/>
    <m/>
    <x v="1"/>
  </r>
  <r>
    <s v="COM69FE394571826"/>
    <n v="249275"/>
    <s v="08/05/2026 16:28"/>
    <x v="0"/>
    <m/>
    <s v="08/05/2026"/>
    <s v="Aprovado"/>
    <n v="1"/>
    <n v="1"/>
    <n v="0"/>
    <m/>
    <n v="0"/>
    <s v=""/>
    <s v="Cortesia"/>
    <s v="cortesia"/>
    <s v="AI Festival 2026 - Ingresso Explorer"/>
    <s v="evento-ia-ed1a26_explorer"/>
    <s v="MICAEL Gomes Rodrigues"/>
    <s v="65658701368"/>
    <m/>
    <m/>
    <s v="micael@bnb.gov.br"/>
    <s v="558899922725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6f7b400af019be6da5ee6dc36b435775"/>
    <m/>
    <s v="Nao"/>
    <x v="2"/>
    <m/>
    <s v="13/05/2026"/>
    <m/>
    <m/>
    <m/>
    <m/>
    <s v="KAM"/>
    <m/>
    <s v="ID-65658701368"/>
    <m/>
    <m/>
    <x v="1"/>
  </r>
  <r>
    <s v="COM69FE37AEF3C85"/>
    <n v="249272"/>
    <s v="08/05/2026 16:2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Vinícius Paiva Galhardo"/>
    <s v="04977706609"/>
    <m/>
    <m/>
    <s v="vinicius.galhardo@tjmt.jus.br"/>
    <s v="5565999081607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8302c27eb4bc7fc8a2e62be7e49ea248"/>
    <m/>
    <s v="Nao"/>
    <x v="1"/>
    <m/>
    <s v="13/05/2026"/>
    <m/>
    <m/>
    <m/>
    <m/>
    <s v="KAM"/>
    <m/>
    <s v="ID-04977706609"/>
    <m/>
    <m/>
    <x v="1"/>
  </r>
  <r>
    <s v="COM69FE3706A76B9"/>
    <n v="249270"/>
    <s v="08/05/2026 16:18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ichell Lotfi Rocha da Silva"/>
    <s v="57093229115"/>
    <m/>
    <m/>
    <s v="michell.silva@tjmt.jus.br"/>
    <s v="556698111180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21db3e36c8f2ec2a42e2d4dc50aa70c"/>
    <m/>
    <s v="Nao"/>
    <x v="1"/>
    <m/>
    <s v="13/05/2026"/>
    <m/>
    <m/>
    <m/>
    <m/>
    <s v="KAM"/>
    <m/>
    <s v="ID-57093229115"/>
    <m/>
    <m/>
    <x v="1"/>
  </r>
  <r>
    <s v="COM69FE359193871"/>
    <n v="249268"/>
    <s v="08/05/2026 16:12"/>
    <x v="0"/>
    <m/>
    <s v="08/05/2026"/>
    <s v="Aprovado"/>
    <n v="1"/>
    <n v="1"/>
    <n v="0"/>
    <m/>
    <n v="0"/>
    <s v=""/>
    <s v="Cortesia"/>
    <s v="cortesia"/>
    <s v="SLD - Os frameworks da nova economia"/>
    <s v="comunidade-ed2a26"/>
    <s v="Isabelli Gonçalves Luzia"/>
    <s v="38203368859"/>
    <m/>
    <m/>
    <s v="Isabelli.luzia@bradescoseguros.com.br"/>
    <s v="551199945735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243608b36a353254a95f979624a79596"/>
    <m/>
    <s v="Nao"/>
    <x v="1"/>
    <m/>
    <s v="15/05/2026"/>
    <m/>
    <m/>
    <m/>
    <s v="Brasil"/>
    <s v="KAM"/>
    <m/>
    <s v="ID-38203368859"/>
    <m/>
    <m/>
    <x v="1"/>
  </r>
  <r>
    <s v="COM69FE33E95F37D"/>
    <n v="249267"/>
    <s v="08/05/2026 16:0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rge Alexandre Martins Ferreira"/>
    <s v="49546333115"/>
    <m/>
    <m/>
    <s v="jorgealexandre.ferreira@tjmt.jus.br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2c183ea2b8487b5812e2d5b2f0ab6c0"/>
    <m/>
    <s v="Nao"/>
    <x v="1"/>
    <m/>
    <s v="13/05/2026"/>
    <m/>
    <m/>
    <m/>
    <m/>
    <s v="KAM"/>
    <m/>
    <s v="ID-49546333115"/>
    <m/>
    <m/>
    <x v="1"/>
  </r>
  <r>
    <s v="COM69FE338C51526"/>
    <n v="249266"/>
    <s v="08/05/2026 16:0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uiz Octavio O. Saboia Ribeiro"/>
    <s v="56981929104"/>
    <m/>
    <m/>
    <s v="luiz.saboia@tjmt.jus.br"/>
    <s v="556599993710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1394d043207504b5d05d2ae6ef37d4d1"/>
    <m/>
    <s v="Nao"/>
    <x v="1"/>
    <m/>
    <s v="13/05/2026"/>
    <m/>
    <m/>
    <m/>
    <m/>
    <s v="KAM"/>
    <m/>
    <s v="ID-56981929104"/>
    <m/>
    <m/>
    <x v="1"/>
  </r>
  <r>
    <s v="COM69FE331EDD63F"/>
    <n v="249265"/>
    <s v="08/05/2026 16:0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Patrícia Ferraz"/>
    <s v="09293605759"/>
    <m/>
    <m/>
    <s v="PatriciaFerraz@natura.net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8cb9f37392373c158a5554b6d3253d3"/>
    <m/>
    <s v="Nao"/>
    <x v="1"/>
    <m/>
    <s v="13/05/2026"/>
    <m/>
    <m/>
    <m/>
    <m/>
    <s v="KAM"/>
    <s v="25/03/2026"/>
    <s v="ID-09293605759"/>
    <m/>
    <m/>
    <x v="1"/>
  </r>
  <r>
    <s v="COM69FE32CE7F4AA"/>
    <n v="249264"/>
    <s v="08/05/2026 16:0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Fernanda Demarque"/>
    <s v="34733847807"/>
    <m/>
    <m/>
    <s v="FernandaDemarque@natura.net"/>
    <s v="5511999457350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c8fdbf1e9dd8dc2a640cff385ed7276d"/>
    <m/>
    <s v="Nao"/>
    <x v="1"/>
    <m/>
    <s v="13/05/2026"/>
    <m/>
    <m/>
    <m/>
    <m/>
    <s v="KAM"/>
    <m/>
    <s v="ID-34733847807"/>
    <m/>
    <m/>
    <x v="1"/>
  </r>
  <r>
    <s v="COM69FE328724634"/>
    <n v="249263"/>
    <s v="08/05/2026 15:5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aniela Cabral Pereira"/>
    <s v="29046028879"/>
    <m/>
    <m/>
    <s v="Daniela.cabral@natura.net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88227bf7b8ae687d285d96b87d1df718"/>
    <m/>
    <s v="Nao"/>
    <x v="1"/>
    <m/>
    <s v="13/05/2026"/>
    <m/>
    <m/>
    <m/>
    <m/>
    <s v="KAM"/>
    <m/>
    <s v="ID-29046028879"/>
    <m/>
    <m/>
    <x v="1"/>
  </r>
  <r>
    <s v="COM69FE3201D1C63"/>
    <n v="249262"/>
    <s v="08/05/2026 15:5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eonardo Azevedo"/>
    <s v="02549002750"/>
    <m/>
    <m/>
    <s v="leonardo.azevedo@savencia.com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a1f9a40d79f8b4d5c1e48bac21514043"/>
    <m/>
    <s v="Nao"/>
    <x v="1"/>
    <m/>
    <s v="13/05/2026"/>
    <m/>
    <m/>
    <m/>
    <m/>
    <s v="KAM"/>
    <m/>
    <s v="ID-02549002750"/>
    <m/>
    <m/>
    <x v="1"/>
  </r>
  <r>
    <s v="COM69FE31AB4665C"/>
    <n v="249261"/>
    <s v="08/05/2026 15:5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Bruna Argento de Almeida"/>
    <s v="16594253794"/>
    <m/>
    <m/>
    <s v="bruna.argento@btgpactual.com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585a93bba21c7a06d8c0ed84ab0050f6"/>
    <m/>
    <s v="Nao"/>
    <x v="1"/>
    <m/>
    <s v="13/05/2026"/>
    <m/>
    <m/>
    <m/>
    <m/>
    <s v="KAM"/>
    <m/>
    <s v="ID-16594253794"/>
    <m/>
    <m/>
    <x v="1"/>
  </r>
  <r>
    <s v="COM69FE3163AE8CE"/>
    <n v="249260"/>
    <s v="08/05/2026 15:5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Nozomu Niwa"/>
    <s v="19147561858"/>
    <m/>
    <m/>
    <s v="nozomu.niwa@btgpactual.com"/>
    <s v="551199945735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44e76949a34bda4c5987a0212d4e9ab9"/>
    <m/>
    <s v="Nao"/>
    <x v="1"/>
    <m/>
    <s v="13/05/2026"/>
    <m/>
    <m/>
    <m/>
    <m/>
    <s v="KAM"/>
    <m/>
    <s v="ID-19147561858"/>
    <m/>
    <m/>
    <x v="1"/>
  </r>
  <r>
    <s v="COM69FE3101ADA2C"/>
    <n v="249259"/>
    <s v="08/05/2026 15:5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onalisa Alcantara"/>
    <s v="23012449892"/>
    <m/>
    <m/>
    <s v="monalisa.alcantara@tecnobank.com.br"/>
    <s v="5511941717870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6a9b8fd893fc36f5b18221552c76d28f"/>
    <m/>
    <s v="Nao"/>
    <x v="1"/>
    <m/>
    <s v="13/05/2026"/>
    <m/>
    <m/>
    <m/>
    <m/>
    <s v="KAM"/>
    <s v="08/05/2025"/>
    <s v="ID-23012449892"/>
    <m/>
    <m/>
    <x v="1"/>
  </r>
  <r>
    <s v="COM69FE207605BD0"/>
    <n v="249239"/>
    <s v="08/05/2026 14:42"/>
    <x v="0"/>
    <m/>
    <s v="11/05/2026"/>
    <s v="Aprovado"/>
    <n v="1"/>
    <n v="1"/>
    <n v="3100"/>
    <m/>
    <n v="3100"/>
    <s v=""/>
    <s v="TED"/>
    <s v="ted"/>
    <s v="AI Festival 2026 - Ingresso Interactive"/>
    <s v="evento-ia-ed1a26_interactive"/>
    <s v="Priscila Hermsdorff Pontes"/>
    <m/>
    <s v="60.746.948/0283-94"/>
    <s v="BANCO BRADESCO S.A."/>
    <s v="priscila.pontes@bradesco.com.br"/>
    <s v="551133678700"/>
    <s v="5511336787001"/>
    <s v="01042001"/>
    <s v="BR DE ITAPETININGA"/>
    <s v="107"/>
    <m/>
    <s v="REPUBLICA"/>
    <s v="São Paulo"/>
    <s v="SP"/>
    <s v="Filial(São Paulo)"/>
    <s v="Evento: 50371042 - 1 Ingresso Interactive"/>
    <m/>
    <m/>
    <m/>
    <s v="c2c24dfd2e51e5100ab2cdb6d85981d9"/>
    <m/>
    <s v="Nao"/>
    <x v="7"/>
    <m/>
    <s v="13/05/2026"/>
    <m/>
    <m/>
    <m/>
    <m/>
    <s v="KAM"/>
    <s v="04/11/2017"/>
    <s v="ID-60746948028394"/>
    <s v="Aguardando recebimento"/>
    <m/>
    <x v="2"/>
  </r>
  <r>
    <s v="ORD8LQ1GH2C1Z176"/>
    <n v="249235"/>
    <s v="08/05/2026 14:28"/>
    <x v="0"/>
    <m/>
    <s v="08/05/2026"/>
    <s v="Aprovado"/>
    <n v="9"/>
    <n v="1"/>
    <n v="25200"/>
    <s v="PIX"/>
    <n v="25200"/>
    <m/>
    <s v="PIX"/>
    <s v="pix"/>
    <s v="AI Festival 2026 - Ingresso Interactive"/>
    <s v="evento-ia-ed1a26_interactive"/>
    <s v="Felipe Brito de Souza Alves"/>
    <s v="29735518899"/>
    <m/>
    <m/>
    <s v="felipebsa@gmail.com"/>
    <s v="74988583137"/>
    <m/>
    <s v="47240000"/>
    <s v="Rua Mario Lins"/>
    <s v="198"/>
    <m/>
    <s v="Centro"/>
    <s v="Pilão Arcado"/>
    <s v="BA"/>
    <s v="Filial(São Paulo)"/>
    <m/>
    <m/>
    <m/>
    <m/>
    <s v="adfc94240426f5dbfe8de8876749417b"/>
    <s v="OFF_VC_AIFESTIVAL_STARTSE"/>
    <s v="Nao"/>
    <x v="0"/>
    <m/>
    <s v="13/05/2026"/>
    <m/>
    <m/>
    <m/>
    <m/>
    <s v="KAM"/>
    <s v="09/04/2025"/>
    <s v="ID-29735518899"/>
    <m/>
    <m/>
    <x v="0"/>
  </r>
  <r>
    <s v="COM69FDF49319E77"/>
    <n v="249202"/>
    <s v="08/05/2026 11:3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SENILDO FEIJO DA SILVA"/>
    <s v="50010603468"/>
    <m/>
    <m/>
    <s v="josenildo.silva@sfiemt.ind.br"/>
    <s v="551199998755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9c519ce6f16653efa2a9f3d9baff7e38"/>
    <m/>
    <s v="Nao"/>
    <x v="1"/>
    <m/>
    <s v="13/05/2026"/>
    <m/>
    <m/>
    <m/>
    <m/>
    <s v="KAM"/>
    <m/>
    <s v="ID-50010603468"/>
    <m/>
    <m/>
    <x v="1"/>
  </r>
  <r>
    <s v="COM69FDD56F41287"/>
    <n v="249143"/>
    <s v="08/05/2026 09:22"/>
    <x v="0"/>
    <m/>
    <s v="11/05/2026"/>
    <s v="Aprovado"/>
    <n v="1"/>
    <n v="1"/>
    <n v="3000"/>
    <s v="Boleto Bradesco"/>
    <n v="2815.5"/>
    <s v=""/>
    <s v="Boleto"/>
    <s v="boleto"/>
    <s v="AI para Negócios - Imersão Presencial -  10 e 11 de Junho de 2026"/>
    <s v="imersao-presencial-de-ai-ed10a26"/>
    <s v="Adelita M Rauber"/>
    <m/>
    <s v="23.623.741/0001-24"/>
    <s v="FEDERACAO BRASILEIRA DAS ASSOCIACOES DOS DISTRIBUIDORES DOS PRODUTOS HEINEKEN BRASIL - FEBRADISK"/>
    <s v="febradisk@febradisk.com.br"/>
    <s v="5555984089280"/>
    <s v="551197731008"/>
    <s v="13211223"/>
    <s v="JOAO ANTONIO MECCATTI"/>
    <s v="1601"/>
    <s v="GALPAO1 SALA B"/>
    <s v="CASA BRANCA"/>
    <s v="Jundiaí"/>
    <s v="SP"/>
    <s v="Filial(São Paulo)"/>
    <s v="AI para Negócios - Imersão Presencial - 10 e 11 de Junho de 2026"/>
    <m/>
    <m/>
    <m/>
    <s v="a0b9e73bc06f5cae9e3080f83d380cdf"/>
    <m/>
    <s v="Nao"/>
    <x v="6"/>
    <m/>
    <s v="10/06/2026"/>
    <m/>
    <m/>
    <m/>
    <m/>
    <s v="KAM"/>
    <s v="08/05/2026"/>
    <s v="ID-23623741000124"/>
    <s v="Aguardando recebimento"/>
    <m/>
    <x v="2"/>
  </r>
  <r>
    <s v="COM69FDD40E26808"/>
    <n v="249140"/>
    <s v="08/05/2026 09:16"/>
    <x v="0"/>
    <m/>
    <s v="11/05/2026"/>
    <s v="Aprovado"/>
    <n v="2"/>
    <n v="1"/>
    <n v="4000"/>
    <s v="Boleto Bradesco"/>
    <n v="4000"/>
    <s v=""/>
    <s v="Boleto"/>
    <s v="boleto"/>
    <s v="AI Festival 2026 - Ingresso Explorer"/>
    <s v="evento-ia-ed1a26_explorer"/>
    <s v="Maria Clara Bravin Farias"/>
    <m/>
    <s v="05.524.572/0001-93"/>
    <s v="ICONIC LUBRIFICANTES S.A."/>
    <s v="maria.cfarias@iconic.com.br"/>
    <s v="5521986458233"/>
    <s v="552125105925"/>
    <s v="22640102"/>
    <s v="DAS AMERICAS"/>
    <s v="03434"/>
    <s v="BLC 7 4 ANDAR SALAS 401 A 408"/>
    <s v="BARRA DA TIJUCA"/>
    <s v="Rio de Janeiro"/>
    <s v="RJ"/>
    <s v="Filial(São Paulo)"/>
    <s v="AI Festival 2026 - Ingresso Explorer"/>
    <m/>
    <m/>
    <m/>
    <s v="78b4b0ef343a48e410dfaf13dd743d22"/>
    <m/>
    <s v="Nao"/>
    <x v="6"/>
    <m/>
    <s v="13/05/2026"/>
    <m/>
    <m/>
    <m/>
    <m/>
    <s v="KAM"/>
    <s v="17/05/2022"/>
    <s v="ID-05524572000193"/>
    <s v="Aguardando recebimento"/>
    <m/>
    <x v="2"/>
  </r>
  <r>
    <s v="COM69FDCECD3DFFB"/>
    <n v="249138"/>
    <s v="08/05/2026 08:53"/>
    <x v="0"/>
    <m/>
    <s v="08/05/2026"/>
    <s v="Aprovado"/>
    <n v="1"/>
    <n v="1"/>
    <n v="0"/>
    <m/>
    <n v="0"/>
    <s v=""/>
    <s v="Cortesia"/>
    <s v="cortesia"/>
    <s v="SLD - Os frameworks da nova economia"/>
    <s v="comunidade-ed2a26"/>
    <s v="Alexandre Gonçalves"/>
    <s v="17766955857"/>
    <m/>
    <m/>
    <s v="goncalves_alexandre_s@cat.com"/>
    <s v="5519983485590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904405291641f2811a30c3e3e5459353"/>
    <m/>
    <s v="Nao"/>
    <x v="10"/>
    <m/>
    <s v="15/05/2026"/>
    <m/>
    <m/>
    <m/>
    <s v="Brasil"/>
    <s v="KAM"/>
    <m/>
    <s v="ID-17766955857"/>
    <m/>
    <m/>
    <x v="1"/>
  </r>
  <r>
    <s v="COM69FCFF8060282"/>
    <n v="249113"/>
    <s v="07/05/2026 18:09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Alex Matilha"/>
    <s v="29083525830"/>
    <m/>
    <m/>
    <s v="Alex.matilha@arcelormittal.com.br"/>
    <s v="5527992345575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1f75e39e0580863a77b8ace6202e24e9"/>
    <m/>
    <s v="Nao"/>
    <x v="0"/>
    <m/>
    <s v="15/05/2026"/>
    <m/>
    <m/>
    <m/>
    <s v="Brasil"/>
    <s v="KAM"/>
    <m/>
    <s v="ID-29083525830"/>
    <m/>
    <m/>
    <x v="1"/>
  </r>
  <r>
    <s v="COM69FCF497970EE"/>
    <n v="249107"/>
    <s v="07/05/2026 17:22"/>
    <x v="0"/>
    <m/>
    <s v="07/05/2026"/>
    <s v="Aprovado"/>
    <n v="2"/>
    <n v="1"/>
    <n v="6000"/>
    <s v="Boleto Bradesco"/>
    <n v="6000"/>
    <s v=""/>
    <s v="Boleto"/>
    <s v="boleto"/>
    <s v="AI Festival 2026 - Ingresso Interactive"/>
    <s v="evento-ia-ed1a26_interactive"/>
    <s v="Melissa Antunes Moreira"/>
    <m/>
    <s v="11.417.016/0001-10"/>
    <s v="SCANIA BANCO S.A."/>
    <s v="melissa.moreira@scania.com"/>
    <s v="5511992261543"/>
    <s v="551132140820"/>
    <s v="09810000"/>
    <s v="JOSE ODORIZZI"/>
    <s v="151"/>
    <m/>
    <s v="VILA EURO"/>
    <s v="São Bernardo do Campo"/>
    <s v="SP"/>
    <s v="Filial(São Paulo)"/>
    <s v="AI Festival 2026 - Ingresso Interactive"/>
    <m/>
    <m/>
    <m/>
    <s v="57092a94fd2eff2c32aff182c165f427"/>
    <m/>
    <s v="Nao"/>
    <x v="6"/>
    <m/>
    <s v="13/05/2026"/>
    <m/>
    <m/>
    <m/>
    <m/>
    <s v="KAM"/>
    <s v="28/03/2024"/>
    <s v="ID-11417016000110"/>
    <s v="Aguardando recebimento"/>
    <m/>
    <x v="2"/>
  </r>
  <r>
    <s v="COM69FCF3F933BB3"/>
    <n v="249106"/>
    <s v="07/05/2026 17:20"/>
    <x v="0"/>
    <m/>
    <s v="07/05/2026"/>
    <s v="Aprovado"/>
    <n v="2"/>
    <n v="1"/>
    <n v="6000"/>
    <s v="Boleto Bradesco"/>
    <n v="6000"/>
    <s v=""/>
    <s v="Boleto"/>
    <s v="boleto"/>
    <s v="AI Festival 2026 - Ingresso Interactive"/>
    <s v="evento-ia-ed1a26_interactive"/>
    <s v="Melissa Antunes Moreira"/>
    <m/>
    <s v="96.479.258/0001-91"/>
    <s v="SCANIA ADMINISTRADORA DE CONSORCIOS LTDA"/>
    <s v="melissa.moreira@scania.com"/>
    <s v="5511992261543"/>
    <s v="551141026160"/>
    <s v="09810902"/>
    <s v="JOSE ODORIZZI"/>
    <s v="151"/>
    <m/>
    <s v="ASSUNCAO"/>
    <s v="São Bernardo do Campo"/>
    <s v="SP"/>
    <s v="Filial(São Paulo)"/>
    <s v="AI Festival 2026 - Ingresso Interactive"/>
    <m/>
    <m/>
    <m/>
    <s v="6a572ff51c4a40353d5ab5c2805ab900"/>
    <m/>
    <s v="Nao"/>
    <x v="6"/>
    <m/>
    <s v="13/05/2026"/>
    <m/>
    <m/>
    <m/>
    <m/>
    <s v="KAM"/>
    <s v="29/10/2024"/>
    <s v="ID-96479258000191"/>
    <s v="Aguardando recebimento"/>
    <m/>
    <x v="2"/>
  </r>
  <r>
    <s v="COM69FCE4C213474"/>
    <n v="249100"/>
    <s v="07/05/2026 16:15"/>
    <x v="0"/>
    <m/>
    <s v="07/05/2026"/>
    <s v="Aprovado"/>
    <n v="1"/>
    <n v="1"/>
    <n v="1999"/>
    <s v="Boleto Bradesco"/>
    <n v="1999"/>
    <s v=""/>
    <s v="Boleto"/>
    <s v="boleto"/>
    <s v="AI Festival 2026 - Ingresso Explorer"/>
    <s v="evento-ia-ed1a26_explorer"/>
    <s v="Elaine Domingos"/>
    <m/>
    <s v="61.198.164/0001-60"/>
    <s v="PORTO SEGURO COMPANHIA DE SEGUROS GERAIS"/>
    <s v="elaine.domingos@portoseguro.com.br"/>
    <s v="5511966558926"/>
    <s v="551123936762"/>
    <s v="01205001"/>
    <s v="RIO BRANCO"/>
    <s v="1489"/>
    <s v="RUA GUAIANASES, 1238"/>
    <s v="CAMPOS ELISEOS"/>
    <s v="São Paulo"/>
    <s v="SP"/>
    <s v="Filial(São Paulo)"/>
    <s v="AI Festival 2026 - Ingresso Explorer"/>
    <m/>
    <m/>
    <m/>
    <s v="fc76bf785990f5f7a6114cb9a383deb9"/>
    <m/>
    <s v="Nao"/>
    <x v="6"/>
    <m/>
    <s v="13/05/2026"/>
    <m/>
    <m/>
    <m/>
    <m/>
    <s v="KAM"/>
    <s v="19/06/2017"/>
    <s v="ID-61198164000160"/>
    <s v="Aguardando recebimento"/>
    <m/>
    <x v="2"/>
  </r>
  <r>
    <s v="COM69FCD85AA3C1E"/>
    <n v="249084"/>
    <s v="07/05/2026 15:22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Augusto Guimarães"/>
    <s v="02073441670"/>
    <m/>
    <m/>
    <s v="Augusto.guimares@martins.com.br"/>
    <s v="553499631424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8f59b83419c2abc52aba93fcf0c37f2b"/>
    <m/>
    <s v="Nao"/>
    <x v="0"/>
    <m/>
    <s v="13/05/2026"/>
    <m/>
    <m/>
    <m/>
    <m/>
    <s v="KAM"/>
    <m/>
    <s v="ID-02073441670"/>
    <m/>
    <m/>
    <x v="1"/>
  </r>
  <r>
    <s v="COM69FCD76D5072F"/>
    <n v="249083"/>
    <s v="07/05/2026 15:18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Fabíola Galante Zampieri"/>
    <s v="31019414820"/>
    <m/>
    <m/>
    <s v="fabi.g.zampieri@medtronic.com"/>
    <s v="551199311718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8c4ac40731d53619bbc1abea50bed2d"/>
    <m/>
    <s v="Nao"/>
    <x v="5"/>
    <m/>
    <s v="15/05/2026"/>
    <m/>
    <m/>
    <m/>
    <s v="Brasil"/>
    <s v="KAM"/>
    <m/>
    <s v="ID-31019414820"/>
    <m/>
    <m/>
    <x v="1"/>
  </r>
  <r>
    <s v="COM69FCD6177F184"/>
    <n v="249079"/>
    <s v="07/05/2026 15:12"/>
    <x v="0"/>
    <m/>
    <s v="07/05/2026"/>
    <s v="Aprovado"/>
    <n v="1"/>
    <n v="1"/>
    <n v="0"/>
    <m/>
    <n v="0"/>
    <s v=""/>
    <s v="Cortesia"/>
    <s v="cortesia"/>
    <s v="AI Festival 2026 - Ingresso Interactive"/>
    <s v="evento-ia-ed1a26_interactive"/>
    <s v="Vinicius da Silva Rodrigues"/>
    <s v="05972886669"/>
    <m/>
    <m/>
    <s v="vinicius.rodrigues@sebraemg.com.br"/>
    <s v="551199999993"/>
    <m/>
    <s v="04578-910"/>
    <s v="Avenida das Nações Unidas, 12901"/>
    <s v="12901"/>
    <m/>
    <s v="Brooklin Paulista"/>
    <s v="São Paulo"/>
    <s v="SP"/>
    <s v="Filial(São Paulo)"/>
    <s v="AI Festival 2026 - Ingresso Interactive"/>
    <m/>
    <m/>
    <m/>
    <s v="c347eb637c9e48eee7fdc706e3ffe7ba"/>
    <m/>
    <s v="Nao"/>
    <x v="2"/>
    <m/>
    <s v="13/05/2026"/>
    <m/>
    <m/>
    <m/>
    <m/>
    <s v="KAM"/>
    <m/>
    <s v="ID-05972886669"/>
    <m/>
    <m/>
    <x v="1"/>
  </r>
  <r>
    <s v="COM69FCB6DA6C8CB"/>
    <n v="249063"/>
    <s v="07/05/2026 12:59"/>
    <x v="0"/>
    <m/>
    <s v="07/05/2026"/>
    <s v="Aprovado"/>
    <n v="1"/>
    <n v="1"/>
    <n v="0"/>
    <m/>
    <n v="0"/>
    <s v=""/>
    <s v="Cortesia"/>
    <s v="cortesia"/>
    <s v="AI Festival 2026 - Ingresso Interactive"/>
    <s v="evento-ia-ed1a26_interactive"/>
    <s v="Carlos Eduardo Nahssen Maselli"/>
    <s v="38879121871"/>
    <m/>
    <m/>
    <s v="Carlos.maselli@volkswagen.com.br"/>
    <s v="5511996859555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76479d60bf072c241e6ec793fc5cca62"/>
    <m/>
    <s v="Nao"/>
    <x v="6"/>
    <m/>
    <s v="13/05/2026"/>
    <m/>
    <m/>
    <m/>
    <m/>
    <s v="KAM"/>
    <m/>
    <s v="ID-38879121871"/>
    <m/>
    <m/>
    <x v="1"/>
  </r>
  <r>
    <s v="COM69FCB6856B27E"/>
    <n v="249062"/>
    <s v="07/05/2026 12:57"/>
    <x v="0"/>
    <m/>
    <s v="07/05/2026"/>
    <s v="Aprovado"/>
    <n v="1"/>
    <n v="1"/>
    <n v="0"/>
    <m/>
    <n v="0"/>
    <s v=""/>
    <s v="Cortesia"/>
    <s v="cortesia"/>
    <s v="AI Festival 2026 - Ingresso Interactive"/>
    <s v="evento-ia-ed1a26_interactive"/>
    <s v="Diego Dionisio Carbonari da Silva"/>
    <s v="34744161898"/>
    <m/>
    <m/>
    <s v="Diego.silva@volkswagen.com.br"/>
    <s v="5511994206668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11b49c09ffc848b686ccea7db5efeadf"/>
    <m/>
    <s v="Nao"/>
    <x v="6"/>
    <m/>
    <s v="13/05/2026"/>
    <m/>
    <m/>
    <m/>
    <m/>
    <s v="KAM"/>
    <m/>
    <s v="ID-34744161898"/>
    <m/>
    <m/>
    <x v="1"/>
  </r>
  <r>
    <s v="COM69FCB37E318E4"/>
    <n v="249060"/>
    <s v="07/05/2026 12:4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Paloma Camargo Antonio"/>
    <s v="28362638818"/>
    <m/>
    <m/>
    <s v="abfm@abfm.com.br"/>
    <s v="5511943936547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6866cb1232ee432a007900e4c532b7bf"/>
    <m/>
    <s v="Nao"/>
    <x v="0"/>
    <m/>
    <s v="13/05/2026"/>
    <m/>
    <m/>
    <m/>
    <m/>
    <s v="KAM"/>
    <m/>
    <s v="ID-28362638818"/>
    <m/>
    <m/>
    <x v="1"/>
  </r>
  <r>
    <s v="COM69FCB2E574D40"/>
    <n v="249059"/>
    <s v="07/05/2026 12:4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Mauricio candi"/>
    <s v="37734101828"/>
    <m/>
    <m/>
    <s v="Mauricio@rojemac.com.br"/>
    <s v="5511996860504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ee8e69d72e6fb6990eb27fd7b37745d"/>
    <m/>
    <s v="Nao"/>
    <x v="1"/>
    <m/>
    <s v="13/05/2026"/>
    <m/>
    <m/>
    <m/>
    <m/>
    <s v="KAM"/>
    <s v="31/07/2025"/>
    <s v="ID-37734101828"/>
    <m/>
    <m/>
    <x v="1"/>
  </r>
  <r>
    <s v="COM69FCAF8ECD4DE"/>
    <n v="249056"/>
    <s v="07/05/2026 12:28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Caio Junqueira Volpe"/>
    <s v="37095247846"/>
    <m/>
    <m/>
    <s v="caio.volpe@dell.com"/>
    <s v="5511988551115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9b283c59bdca7eb68f338c0cfbfdd4c7"/>
    <m/>
    <s v="Nao"/>
    <x v="8"/>
    <m/>
    <s v="13/05/2026"/>
    <m/>
    <m/>
    <m/>
    <m/>
    <s v="KAM"/>
    <m/>
    <s v="ID-37095247846"/>
    <m/>
    <m/>
    <x v="1"/>
  </r>
  <r>
    <s v="COM69FCAF2C238B2"/>
    <n v="249055"/>
    <s v="07/05/2026 12:26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Thiago Mathias Cunha"/>
    <s v="00862558000"/>
    <m/>
    <m/>
    <s v="t.cunha@dell.com"/>
    <s v="5511950373740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0e51d84a425a5e612848acb30185ae34"/>
    <m/>
    <s v="Nao"/>
    <x v="8"/>
    <m/>
    <s v="13/05/2026"/>
    <m/>
    <m/>
    <m/>
    <m/>
    <s v="KAM"/>
    <m/>
    <s v="ID-00862558000"/>
    <m/>
    <m/>
    <x v="1"/>
  </r>
  <r>
    <s v="COM69FCAEC37240E"/>
    <n v="249054"/>
    <s v="07/05/2026 12:24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Julian Andrew Hoche"/>
    <s v="33048079858"/>
    <m/>
    <m/>
    <s v="julian.andrew@dafiti.com.br"/>
    <s v="5511997912519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e5aa34c15b9fee66d7dfe4a14fb6a3d4"/>
    <m/>
    <s v="Nao"/>
    <x v="1"/>
    <m/>
    <s v="13/05/2026"/>
    <m/>
    <m/>
    <m/>
    <m/>
    <s v="KAM"/>
    <m/>
    <s v="ID-33048079858"/>
    <m/>
    <m/>
    <x v="1"/>
  </r>
  <r>
    <s v="COM69FCAE51A99EF"/>
    <n v="249053"/>
    <s v="07/05/2026 12:22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Maria Luisa Carrasco Chiconello"/>
    <s v="44311162812"/>
    <m/>
    <m/>
    <s v="maria.chiconello@dafiti.com.br"/>
    <s v="5519998091212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55d8e4734cc0d8cf0e1406feb856520c"/>
    <m/>
    <s v="Nao"/>
    <x v="1"/>
    <m/>
    <s v="13/05/2026"/>
    <m/>
    <m/>
    <m/>
    <m/>
    <s v="KAM"/>
    <m/>
    <s v="ID-44311162812"/>
    <m/>
    <m/>
    <x v="1"/>
  </r>
  <r>
    <s v="COM69FCAA5897E80"/>
    <n v="249044"/>
    <s v="07/05/2026 12:06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Monica Paula"/>
    <s v="31226377823"/>
    <m/>
    <m/>
    <s v="monica.paula@decathlon.com"/>
    <s v="551199431337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b311e6d0fbeb83f6bbc4f6d4eedc8ef"/>
    <m/>
    <s v="Nao"/>
    <x v="1"/>
    <m/>
    <s v="15/05/2026"/>
    <m/>
    <m/>
    <m/>
    <s v="Brasil"/>
    <s v="KAM"/>
    <m/>
    <s v="ID-31226377823"/>
    <m/>
    <m/>
    <x v="1"/>
  </r>
  <r>
    <s v="COM69FCA985A8EEA"/>
    <n v="249042"/>
    <s v="07/05/2026 12:02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Larissa Pache Pechtoll"/>
    <s v="36339882897"/>
    <m/>
    <m/>
    <s v="larissa.pechtoll@plurix.com"/>
    <s v="5511991600667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1b60e2c565fd92bd3cebffdcde40778"/>
    <m/>
    <s v="Nao"/>
    <x v="0"/>
    <m/>
    <s v="15/05/2026"/>
    <m/>
    <m/>
    <m/>
    <s v="Brasil"/>
    <s v="KAM"/>
    <s v="02/08/2024"/>
    <s v="ID-36339882897"/>
    <m/>
    <m/>
    <x v="1"/>
  </r>
  <r>
    <s v="COM69FCA93A1711A"/>
    <n v="249041"/>
    <s v="07/05/2026 12:01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Luiz Claudio Monta Rossi"/>
    <s v="30388560886"/>
    <m/>
    <m/>
    <s v="luiz.rossi@vr.com.br"/>
    <s v="551199512527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849e67334a9caa2366abdf306e0b25c"/>
    <m/>
    <s v="Nao"/>
    <x v="0"/>
    <m/>
    <s v="15/05/2026"/>
    <m/>
    <m/>
    <m/>
    <s v="Brasil"/>
    <s v="KAM"/>
    <m/>
    <s v="ID-30388560886"/>
    <m/>
    <m/>
    <x v="1"/>
  </r>
  <r>
    <s v="COM69FCA89822E6F"/>
    <n v="249039"/>
    <s v="07/05/2026 11:58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MIchella D Epiro Turim"/>
    <s v="22794767895"/>
    <m/>
    <m/>
    <s v="MIchella.turim@ifood.com.br"/>
    <s v="551198163219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c9c02bb3a6dd077591b34a16fae2ef1"/>
    <m/>
    <s v="Nao"/>
    <x v="1"/>
    <m/>
    <s v="15/05/2026"/>
    <m/>
    <m/>
    <m/>
    <s v="Brasil"/>
    <s v="KAM"/>
    <m/>
    <s v="ID-22794767895"/>
    <m/>
    <m/>
    <x v="1"/>
  </r>
  <r>
    <s v="COM69FCA8157D694"/>
    <n v="249038"/>
    <s v="07/05/2026 11:56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Bruna Zuffo"/>
    <s v="07357063950"/>
    <m/>
    <m/>
    <s v="bruna.zuffo@petlove.com.br"/>
    <s v="551191213161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77166e2fb6864adca711763ba2d4235"/>
    <m/>
    <s v="Nao"/>
    <x v="1"/>
    <m/>
    <s v="15/05/2026"/>
    <m/>
    <m/>
    <m/>
    <s v="Brasil"/>
    <s v="KAM"/>
    <m/>
    <s v="ID-07357063950"/>
    <m/>
    <m/>
    <x v="1"/>
  </r>
  <r>
    <s v="COM69FCA78F2A6D1"/>
    <n v="249036"/>
    <s v="07/05/2026 11:54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Mauricio Gonzalez Nardelli"/>
    <s v="31004547153"/>
    <m/>
    <m/>
    <s v="mauricionardelli@correios.com.br"/>
    <s v="556199292608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5a7364c6753549b729f1fb3fbf8b7f7e"/>
    <m/>
    <s v="Nao"/>
    <x v="2"/>
    <m/>
    <s v="15/05/2026"/>
    <m/>
    <m/>
    <m/>
    <s v="Brasil"/>
    <s v="KAM"/>
    <m/>
    <s v="ID-31004547153"/>
    <m/>
    <m/>
    <x v="1"/>
  </r>
  <r>
    <s v="COM69FCA708808CA"/>
    <n v="249035"/>
    <s v="07/05/2026 11:51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Natalia Teles da Mota"/>
    <s v="99525887120"/>
    <m/>
    <m/>
    <s v="natalia.mota@correios.com.br"/>
    <s v="556198425405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c1e4c7a47d0912d7c5a62080daa67d2"/>
    <m/>
    <s v="Nao"/>
    <x v="2"/>
    <m/>
    <s v="15/05/2026"/>
    <m/>
    <m/>
    <m/>
    <s v="Brasil"/>
    <s v="KAM"/>
    <m/>
    <s v="ID-99525887120"/>
    <m/>
    <m/>
    <x v="1"/>
  </r>
  <r>
    <s v="COM69FCA5ECAAD7A"/>
    <n v="249032"/>
    <s v="07/05/2026 11:47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EVALDO TADEU GOMES ROSA"/>
    <s v="57143722120"/>
    <m/>
    <m/>
    <s v="evaldo.rosa@sfiemt.ind.br"/>
    <s v="551194171787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20b1984eccf6ec33b487d00a062c9a11"/>
    <m/>
    <s v="Nao"/>
    <x v="2"/>
    <m/>
    <s v="15/05/2026"/>
    <m/>
    <m/>
    <m/>
    <s v="Brasil"/>
    <s v="KAM"/>
    <m/>
    <s v="ID-57143722120"/>
    <m/>
    <m/>
    <x v="1"/>
  </r>
  <r>
    <s v="COM69FC9FC3E7DCD"/>
    <n v="249024"/>
    <s v="07/05/2026 11:20"/>
    <x v="0"/>
    <m/>
    <s v="07/05/2026"/>
    <s v="Aprovado"/>
    <n v="1"/>
    <n v="1"/>
    <n v="0"/>
    <m/>
    <n v="0"/>
    <s v=""/>
    <s v="Cortesia"/>
    <s v="cortesia"/>
    <s v="Executive Program - 25 a 27 de Maio de 2026"/>
    <s v="executive-program-ed5a26"/>
    <s v="Aldo Souza"/>
    <s v="42151961087"/>
    <m/>
    <m/>
    <s v="aldo.souza@febradisk.com.br"/>
    <s v="5511995494518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8dfdd52c3b2184964c670645ae94c28c"/>
    <m/>
    <s v="Nao"/>
    <x v="6"/>
    <m/>
    <s v="25/05/2026"/>
    <m/>
    <m/>
    <m/>
    <m/>
    <s v="KAM"/>
    <m/>
    <s v="ID-42151961087"/>
    <m/>
    <m/>
    <x v="1"/>
  </r>
  <r>
    <s v="COM69FC9A27AA608"/>
    <n v="249018"/>
    <s v="07/05/2026 10:56"/>
    <x v="0"/>
    <m/>
    <s v="07/05/2026"/>
    <s v="Aprovado"/>
    <n v="1"/>
    <n v="1"/>
    <n v="0"/>
    <m/>
    <n v="0"/>
    <s v=""/>
    <s v="Cortesia"/>
    <s v="cortesia"/>
    <s v="AI Festival 2026 - Ingresso Interactive"/>
    <s v="evento-ia-ed1a26_interactive"/>
    <s v="Elisa Nunes Fróes"/>
    <s v="03294507607"/>
    <m/>
    <m/>
    <s v="Elisa.froes@sebraemg.com.br"/>
    <s v="551199999991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129e8cb82863c647998b5a5f1335e330"/>
    <m/>
    <s v="Nao"/>
    <x v="2"/>
    <m/>
    <s v="13/05/2026"/>
    <m/>
    <m/>
    <m/>
    <m/>
    <s v="KAM"/>
    <m/>
    <s v="ID-03294507607"/>
    <m/>
    <m/>
    <x v="1"/>
  </r>
  <r>
    <s v="COM69FC967BE5DBC"/>
    <n v="249014"/>
    <s v="07/05/2026 10:4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arlos Kazunari Takahashi"/>
    <s v="37439524837"/>
    <m/>
    <m/>
    <s v="carloskt@sebraesp.com.br"/>
    <s v="55119999999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b68a3d8696d8de37dfbd5e9ba09d833"/>
    <m/>
    <s v="Nao"/>
    <x v="2"/>
    <m/>
    <s v="13/05/2026"/>
    <m/>
    <m/>
    <m/>
    <m/>
    <s v="KAM"/>
    <m/>
    <s v="ID-37439524837"/>
    <m/>
    <m/>
    <x v="1"/>
  </r>
  <r>
    <s v="COM69FC95ACDAC28"/>
    <n v="249013"/>
    <s v="07/05/2026 10:37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VALDO TADEU GOMES ROSA"/>
    <s v="57143722120"/>
    <m/>
    <m/>
    <s v="evaldo.rosa@sfiemt.ind.br"/>
    <s v="55119999999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a3036229cc809aa64e43c287e888a3c"/>
    <m/>
    <s v="Nao"/>
    <x v="2"/>
    <m/>
    <s v="13/05/2026"/>
    <m/>
    <m/>
    <m/>
    <m/>
    <s v="KAM"/>
    <m/>
    <s v="ID-57143722120"/>
    <m/>
    <m/>
    <x v="1"/>
  </r>
  <r>
    <s v="COM69FC952AAE0D5"/>
    <n v="249012"/>
    <s v="07/05/2026 10:35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Juliana Frata"/>
    <s v="33087937843"/>
    <m/>
    <m/>
    <s v="juliana.frata@basf.com"/>
    <s v="551199539026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01f65aed104195eee8c51f7ea7367aa"/>
    <m/>
    <s v="Nao"/>
    <x v="1"/>
    <m/>
    <s v="15/05/2026"/>
    <m/>
    <m/>
    <m/>
    <s v="Brasil"/>
    <s v="KAM"/>
    <m/>
    <s v="ID-33087937843"/>
    <m/>
    <m/>
    <x v="1"/>
  </r>
  <r>
    <s v="COM69FC94B9CE7FD"/>
    <n v="249011"/>
    <s v="07/05/2026 10:33"/>
    <x v="0"/>
    <m/>
    <s v="07/05/2026"/>
    <s v="Aprovado"/>
    <n v="1"/>
    <n v="1"/>
    <n v="0"/>
    <m/>
    <n v="0"/>
    <s v=""/>
    <s v="Cortesia"/>
    <s v="cortesia"/>
    <s v="SLD - Os frameworks da nova economia"/>
    <s v="comunidade-ed2a26"/>
    <s v="Ana Somense"/>
    <s v="30709256850"/>
    <m/>
    <m/>
    <s v="ana.somense@camil.com.br"/>
    <s v="5513991467189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2f0c6e9916bc04ffeaa14ca8a7a79284"/>
    <m/>
    <s v="Nao"/>
    <x v="1"/>
    <m/>
    <s v="15/05/2026"/>
    <m/>
    <m/>
    <m/>
    <s v="Brasil"/>
    <s v="KAM"/>
    <m/>
    <s v="ID-30709256850"/>
    <m/>
    <m/>
    <x v="1"/>
  </r>
  <r>
    <s v="COM69FBD068B42C1"/>
    <n v="248976"/>
    <s v="06/05/2026 20:36"/>
    <x v="0"/>
    <m/>
    <m/>
    <s v="Aprovado"/>
    <n v="1"/>
    <n v="1"/>
    <n v="0"/>
    <m/>
    <n v="0"/>
    <s v=""/>
    <s v="Cortesia"/>
    <s v="cortesia"/>
    <s v="StartSe Board Program - Turma 16 - 2026"/>
    <s v="board-program-ed4a26"/>
    <s v="Itallo Adriano Rocha"/>
    <s v="21249189829"/>
    <m/>
    <m/>
    <s v="itallo.rocha@spcbrasil.com.br"/>
    <s v="5511973262846"/>
    <m/>
    <s v="04578-910"/>
    <s v="Avenida das Nações Unidas, 12901"/>
    <s v="12901"/>
    <m/>
    <s v="Brooklin Paulista"/>
    <s v="São Paulo"/>
    <s v="SP"/>
    <s v="Filial(São Paulo)"/>
    <s v="StartSe Board Program - Turma 16 - 2026"/>
    <m/>
    <m/>
    <m/>
    <s v="0b9ad50b1ceff685da393c76caf9e0f4"/>
    <m/>
    <s v="Nao"/>
    <x v="1"/>
    <m/>
    <s v="26/10/2026"/>
    <m/>
    <m/>
    <m/>
    <s v="Brasil"/>
    <s v="KAM"/>
    <s v="19/12/2025"/>
    <s v="ID-21249189829"/>
    <m/>
    <m/>
    <x v="1"/>
  </r>
  <r>
    <s v="COM69FBA374D6CE6"/>
    <n v="248962"/>
    <s v="06/05/2026 17:24"/>
    <x v="0"/>
    <m/>
    <s v="07/05/2026"/>
    <s v="Aprovado"/>
    <n v="13"/>
    <n v="1"/>
    <n v="40300"/>
    <s v="Boleto Bradesco"/>
    <n v="40300"/>
    <s v=""/>
    <s v="Boleto"/>
    <s v="boleto"/>
    <s v="AI Festival 2026 - Ingresso Interactive"/>
    <s v="evento-ia-ed1a26_interactive"/>
    <s v="Mariana Geisel Martins"/>
    <m/>
    <s v="61.186.680/0001-74"/>
    <s v="BANCO BMG S.A"/>
    <s v="mariana.geisel@bancobmg.com.br"/>
    <s v="5531988930880"/>
    <s v="551128477486"/>
    <s v="04543900"/>
    <s v="PRES JUSCELINO KUBITSCHEK"/>
    <s v="1830"/>
    <s v="ANDAR 9 10 14 SALA 94 101 102 103"/>
    <s v="VILA NOVA CONCEICAO"/>
    <s v="São Paulo"/>
    <s v="SP"/>
    <s v="Filial(São Paulo)"/>
    <s v="13 ingressos Festival AI - Categoria Interactive"/>
    <m/>
    <m/>
    <m/>
    <s v="eec4eb6d15514f8f92b608c7da488aa6"/>
    <m/>
    <s v="Nao"/>
    <x v="7"/>
    <m/>
    <s v="13/05/2026"/>
    <m/>
    <m/>
    <m/>
    <m/>
    <s v="KAM"/>
    <s v="07/08/2017"/>
    <s v="ID-61186680000174"/>
    <s v="Aguardando recebimento"/>
    <m/>
    <x v="2"/>
  </r>
  <r>
    <s v="COM69FB9831EB147"/>
    <n v="248957"/>
    <s v="06/05/2026 16:36"/>
    <x v="0"/>
    <m/>
    <m/>
    <s v="Aprovado"/>
    <n v="1"/>
    <n v="1"/>
    <n v="0"/>
    <m/>
    <n v="0"/>
    <s v=""/>
    <s v="Cortesia"/>
    <s v="cortesia"/>
    <s v="AI para Negócios - Imersão Presencial -  10 e 11 de Junho de 2026"/>
    <s v="imersao-presencial-de-ai-ed10a26"/>
    <s v="Marcela Rabolini"/>
    <s v="22652966006"/>
    <m/>
    <m/>
    <s v="marcela.rabolini@gm.com"/>
    <s v="549341383183"/>
    <m/>
    <s v="09550-050"/>
    <s v="Avenida Goiás"/>
    <s v="1772"/>
    <m/>
    <s v="Barcelona"/>
    <s v="São Caetano do Sul"/>
    <s v="SP"/>
    <s v="Filial(São Paulo)"/>
    <s v="GM"/>
    <m/>
    <m/>
    <m/>
    <s v="3c65029af420600eb406799d65567328"/>
    <m/>
    <s v="Nao"/>
    <x v="10"/>
    <m/>
    <s v="10/06/2026"/>
    <m/>
    <m/>
    <m/>
    <m/>
    <s v="KAM"/>
    <m/>
    <s v="ID-22652966006"/>
    <m/>
    <m/>
    <x v="1"/>
  </r>
  <r>
    <s v="COM69FB6B96DA02A"/>
    <n v="248916"/>
    <s v="06/05/2026 13:25"/>
    <x v="0"/>
    <m/>
    <m/>
    <s v="Aprovado"/>
    <n v="1"/>
    <n v="1"/>
    <n v="0"/>
    <m/>
    <n v="0"/>
    <s v=""/>
    <s v="Cortesia"/>
    <s v="cortesia"/>
    <s v="AI para Negócios - Imersão Presencial -  10 e 11 de Junho de 2026"/>
    <s v="imersao-presencial-de-ai-ed10a26"/>
    <s v="MATHEUS DEBACCO MESQUITA"/>
    <s v="93934874053"/>
    <m/>
    <m/>
    <s v="matheus.debacco@noroestebebidas.com.br"/>
    <s v="5555999721000"/>
    <m/>
    <s v="04578-910"/>
    <s v="Avenida das Nações Unidas, 12901"/>
    <s v="12901"/>
    <m/>
    <s v="Brooklin Paulista"/>
    <s v="São Paulo"/>
    <s v="SP"/>
    <s v="Filial(São Paulo)"/>
    <s v="AI para Negócios - Imersão Presencial - 10 e 11 de Junho de 2026"/>
    <m/>
    <m/>
    <m/>
    <s v="ae70afa8e90b3c13147950c91e1f3d00"/>
    <m/>
    <s v="Nao"/>
    <x v="1"/>
    <m/>
    <s v="10/06/2026"/>
    <m/>
    <m/>
    <m/>
    <m/>
    <s v="KAM"/>
    <m/>
    <s v="ID-93934874053"/>
    <m/>
    <m/>
    <x v="1"/>
  </r>
  <r>
    <s v="COM69FB6AF6A028F"/>
    <n v="248915"/>
    <s v="06/05/2026 13:23"/>
    <x v="0"/>
    <m/>
    <m/>
    <s v="Aprovado"/>
    <n v="1"/>
    <n v="1"/>
    <n v="0"/>
    <m/>
    <n v="0"/>
    <s v=""/>
    <s v="Cortesia"/>
    <s v="cortesia"/>
    <s v="AI para Negócios - Imersão Presencial -  10 e 11 de Junho de 2026"/>
    <s v="imersao-presencial-de-ai-ed10a26"/>
    <s v="Aldo Souza"/>
    <s v="42151961087"/>
    <m/>
    <m/>
    <s v="aldo.souza@febradisk.com.br"/>
    <s v="5511995494518"/>
    <m/>
    <s v="04578-910"/>
    <s v="Avenida das Nações Unidas"/>
    <s v="12901"/>
    <m/>
    <s v="Brooklin Paulista"/>
    <s v="São Paulo"/>
    <s v="SP"/>
    <s v="Filial(São Paulo)"/>
    <s v="AI para Negócios - Imersão Presencial - 10 e 11 de Junho de 2026"/>
    <m/>
    <m/>
    <m/>
    <s v="5a7bad91d6b118724ae505eaf8877ca7"/>
    <m/>
    <s v="Nao"/>
    <x v="6"/>
    <m/>
    <s v="10/06/2026"/>
    <m/>
    <m/>
    <m/>
    <m/>
    <s v="KAM"/>
    <m/>
    <s v="ID-42151961087"/>
    <m/>
    <m/>
    <x v="1"/>
  </r>
  <r>
    <s v="COM69FB6ACD29B5C"/>
    <n v="248914"/>
    <s v="06/05/2026 13:2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Ricardo Alves da Silva"/>
    <s v="30106444859"/>
    <m/>
    <m/>
    <s v="alves.ricardo@amil.com.br"/>
    <s v="5511954824785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2d854bf0b4df6966af4bbadecf39d4f6"/>
    <m/>
    <s v="Nao"/>
    <x v="1"/>
    <m/>
    <s v="13/05/2026"/>
    <m/>
    <m/>
    <m/>
    <m/>
    <s v="KAM"/>
    <m/>
    <s v="ID-30106444859"/>
    <m/>
    <m/>
    <x v="1"/>
  </r>
  <r>
    <s v="COM69FB69FE192EA"/>
    <n v="248911"/>
    <s v="06/05/2026 13:19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Sidney Dias Possato"/>
    <s v="31951613899"/>
    <m/>
    <m/>
    <s v="Sidney.possato@santander.com.br"/>
    <s v="551199108100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35c47020bfe8253a4a64f4d998486783"/>
    <m/>
    <s v="Nao"/>
    <x v="4"/>
    <m/>
    <s v="13/05/2026"/>
    <m/>
    <m/>
    <m/>
    <m/>
    <s v="KAM"/>
    <m/>
    <s v="ID-31951613899"/>
    <m/>
    <m/>
    <x v="1"/>
  </r>
  <r>
    <s v="COM69FB69C51734D"/>
    <n v="248910"/>
    <s v="06/05/2026 13:18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Kathleen Hernandez Guimaraes"/>
    <s v="35527759869"/>
    <m/>
    <m/>
    <s v="Kaguimaraes@santander.com.br"/>
    <s v="551194769466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97cae675a1acf948d83ad9932cb095dd"/>
    <m/>
    <s v="Nao"/>
    <x v="4"/>
    <m/>
    <s v="13/05/2026"/>
    <m/>
    <m/>
    <m/>
    <m/>
    <s v="KAM"/>
    <s v="10/09/2024"/>
    <s v="ID-35527759869"/>
    <m/>
    <m/>
    <x v="1"/>
  </r>
  <r>
    <s v="COM69FB68DC56848"/>
    <n v="248909"/>
    <s v="06/05/2026 13:14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Cristiane Costa Dantas"/>
    <s v="21324329882"/>
    <m/>
    <m/>
    <s v="Cristiane.dantas@santander.com.br"/>
    <s v="5511981263665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09d9995a81f9b2b3cde8c250cd5da71d"/>
    <m/>
    <s v="Nao"/>
    <x v="4"/>
    <m/>
    <s v="13/05/2026"/>
    <m/>
    <m/>
    <m/>
    <m/>
    <s v="KAM"/>
    <m/>
    <s v="ID-21324329882"/>
    <m/>
    <m/>
    <x v="1"/>
  </r>
  <r>
    <s v="COM69FB684B82A52"/>
    <n v="248907"/>
    <s v="06/05/2026 13:1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Daniela Chagas Santos"/>
    <s v="31573794880"/>
    <m/>
    <m/>
    <s v="Daniela.chagas.santos@santander.com.br"/>
    <s v="5511952621984"/>
    <m/>
    <s v="04578-910"/>
    <s v="Avenida das Nações Unidas, 12901"/>
    <s v="12901"/>
    <m/>
    <s v="Brooklin Paulista"/>
    <s v="São Paulo"/>
    <s v="SP"/>
    <s v="Filial(São Paulo)"/>
    <s v="AI Festival 2026 - Ingresso Explorer"/>
    <m/>
    <m/>
    <m/>
    <s v="11e3f5c05d4d8de8a0dbae6f043668e7"/>
    <m/>
    <s v="Nao"/>
    <x v="4"/>
    <m/>
    <s v="13/05/2026"/>
    <m/>
    <m/>
    <m/>
    <m/>
    <s v="KAM"/>
    <s v="10/09/2024"/>
    <s v="ID-31573794880"/>
    <m/>
    <m/>
    <x v="1"/>
  </r>
  <r>
    <s v="COM69FB67C8B8C2F"/>
    <n v="248906"/>
    <s v="06/05/2026 13:09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Beatriz Santangelo Mauricio"/>
    <s v="39750203852"/>
    <m/>
    <m/>
    <s v="beatrizsantangelo.m00@gmail.com"/>
    <s v="5511976991125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81b093be09e09ad51eb91def64acd367"/>
    <m/>
    <s v="Nao"/>
    <x v="4"/>
    <m/>
    <s v="13/05/2026"/>
    <m/>
    <m/>
    <m/>
    <m/>
    <s v="KAM"/>
    <s v="27/03/2026"/>
    <s v="ID-39750203852"/>
    <m/>
    <m/>
    <x v="1"/>
  </r>
  <r>
    <s v="COM69FB65961A15B"/>
    <n v="248904"/>
    <s v="06/05/2026 13:00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Iara Paula de Rezende"/>
    <s v="22428199846"/>
    <m/>
    <m/>
    <s v="Iara.rezende@chubb.com"/>
    <s v="551198946750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c1cab6566809157aa30a2e0449a455bb"/>
    <m/>
    <s v="Nao"/>
    <x v="8"/>
    <m/>
    <s v="15/05/2026"/>
    <m/>
    <m/>
    <m/>
    <s v="Brasil"/>
    <s v="KAM"/>
    <m/>
    <s v="ID-22428199846"/>
    <m/>
    <m/>
    <x v="1"/>
  </r>
  <r>
    <s v="COM69FB61B96EBE3"/>
    <n v="248900"/>
    <s v="06/05/2026 12:43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Priscila Aparecida de Lima Maciel Agis"/>
    <s v="22498213805"/>
    <m/>
    <m/>
    <s v="priscila.lima@agis.com.br"/>
    <s v="551998419118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12792ac23d66ae2b55f6f3e45a966a7"/>
    <m/>
    <s v="Nao"/>
    <x v="1"/>
    <m/>
    <s v="15/05/2026"/>
    <m/>
    <m/>
    <m/>
    <s v="Brasil"/>
    <s v="KAM"/>
    <m/>
    <s v="ID-22498213805"/>
    <m/>
    <m/>
    <x v="1"/>
  </r>
  <r>
    <s v="COM69FB614F1C8F6"/>
    <n v="248899"/>
    <s v="06/05/2026 12:42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Fabiana RecheAgis"/>
    <s v="21416654852"/>
    <m/>
    <m/>
    <s v="fabiana.reche@agis.com.br"/>
    <s v="5519991876111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3f4a74d7ffd85bf9675567cbc0cb8dd8"/>
    <m/>
    <s v="Nao"/>
    <x v="1"/>
    <m/>
    <s v="15/05/2026"/>
    <m/>
    <m/>
    <m/>
    <s v="Brasil"/>
    <s v="KAM"/>
    <m/>
    <s v="ID-21416654852"/>
    <m/>
    <m/>
    <x v="1"/>
  </r>
  <r>
    <s v="COM69FB6066A3065"/>
    <n v="248897"/>
    <s v="06/05/2026 12:38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André Leonardo"/>
    <s v="25863988827"/>
    <m/>
    <m/>
    <s v="andrel.leonardo@gmail.com"/>
    <s v="5511987145777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4eb88958072a6387f686fb84290e04f8"/>
    <m/>
    <s v="Nao"/>
    <x v="1"/>
    <m/>
    <s v="13/05/2026"/>
    <m/>
    <m/>
    <m/>
    <m/>
    <s v="KAM"/>
    <s v="14/07/2023"/>
    <s v="ID-25863988827"/>
    <m/>
    <m/>
    <x v="1"/>
  </r>
  <r>
    <s v="COM69FB5FC9E04D0"/>
    <n v="248896"/>
    <s v="06/05/2026 12:35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Carolina Fonseca"/>
    <s v="08327367757"/>
    <m/>
    <m/>
    <s v="Carolina.fonseca@givaudan.com"/>
    <s v="551998904537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2d74d59bac4fde33f4f52784831bc62"/>
    <m/>
    <s v="Nao"/>
    <x v="8"/>
    <m/>
    <s v="15/05/2026"/>
    <m/>
    <m/>
    <m/>
    <s v="Brasil"/>
    <s v="KAM"/>
    <s v="31/03/2023"/>
    <s v="ID-08327367757"/>
    <m/>
    <m/>
    <x v="1"/>
  </r>
  <r>
    <s v="COM69FB5F51CDA38"/>
    <n v="248895"/>
    <s v="06/05/2026 12:33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Jefferson Lobo"/>
    <s v="02789519960"/>
    <m/>
    <m/>
    <s v="jefferson.lobo@sistemafiep.org.br"/>
    <s v="5545999864213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ff2e407fd45ab736792e4fcbfc396a2b"/>
    <m/>
    <s v="Nao"/>
    <x v="1"/>
    <m/>
    <s v="13/05/2026"/>
    <m/>
    <m/>
    <m/>
    <m/>
    <s v="KAM"/>
    <s v="30/05/2024"/>
    <s v="ID-02789519960"/>
    <m/>
    <m/>
    <x v="1"/>
  </r>
  <r>
    <s v="COM69FB5ECBE0629"/>
    <n v="248894"/>
    <s v="06/05/2026 12:31"/>
    <x v="0"/>
    <m/>
    <s v="06/05/2026"/>
    <s v="Aprovado"/>
    <n v="3"/>
    <n v="1"/>
    <n v="0"/>
    <m/>
    <n v="0"/>
    <s v=""/>
    <s v="Cortesia"/>
    <s v="cortesia"/>
    <s v="AI Festival 2026 - Ingresso Interactive"/>
    <s v="evento-ia-ed1a26_interactive"/>
    <s v="Janaina Tobita"/>
    <m/>
    <s v="59.456.277/0001-76"/>
    <s v="ORACLE DO BRASIL SISTEMAS LTDA"/>
    <s v="janaina.tobita@oracle.com"/>
    <s v="5511997543233"/>
    <s v="551133331817"/>
    <s v="04710090"/>
    <s v="DR JOSE AUREO BUSTAMANTE"/>
    <s v="455"/>
    <s v="ANEXO MORUMBI BUSINESS CEN"/>
    <s v="SANTO AMARO"/>
    <s v="São Paulo"/>
    <s v="SP"/>
    <s v="Filial(São Paulo)"/>
    <s v="AI Festival 2026 - Ingresso Interactive"/>
    <m/>
    <m/>
    <m/>
    <s v="1e8699ddabac5d49394c2aeb090988a9"/>
    <m/>
    <s v="Nao"/>
    <x v="10"/>
    <m/>
    <s v="13/05/2026"/>
    <m/>
    <m/>
    <m/>
    <m/>
    <s v="KAM"/>
    <s v="19/03/2021"/>
    <s v="ID-59456277000176"/>
    <m/>
    <m/>
    <x v="1"/>
  </r>
  <r>
    <s v="COM69FB5D3711A30"/>
    <n v="248893"/>
    <s v="06/05/2026 12:24"/>
    <x v="0"/>
    <m/>
    <s v="06/05/2026"/>
    <s v="Aprovado"/>
    <n v="1"/>
    <n v="1"/>
    <n v="0"/>
    <m/>
    <n v="0"/>
    <s v=""/>
    <s v="Cortesia"/>
    <s v="cortesia"/>
    <s v="Executive Program - 24 a 26 de Agosto de 2026"/>
    <s v="executive-program-ed8a26"/>
    <s v="Silvana Pampu"/>
    <s v="00407473955"/>
    <m/>
    <m/>
    <s v="Silvana.pampu@renault.com"/>
    <s v="5541984424682"/>
    <m/>
    <s v="04578-910"/>
    <s v="Avenida das Nações Unidas, 12901"/>
    <s v="12901"/>
    <m/>
    <s v="Brooklin Paulista"/>
    <s v="São Paulo"/>
    <s v="SP"/>
    <s v="Filial(São Paulo)"/>
    <s v="Executive Program - 24 a 26 de Agosto de 2026"/>
    <m/>
    <m/>
    <m/>
    <s v="8c40424ee53e8d50407096e3221ad284"/>
    <m/>
    <s v="Nao"/>
    <x v="6"/>
    <m/>
    <s v="24/08/2026"/>
    <m/>
    <m/>
    <m/>
    <m/>
    <s v="KAM"/>
    <s v="08/06/2019"/>
    <s v="ID-00407473955"/>
    <m/>
    <m/>
    <x v="1"/>
  </r>
  <r>
    <s v="COM69FB561599DE9"/>
    <n v="248891"/>
    <s v="06/05/2026 11:54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Alan Lomonico Peruci"/>
    <s v="21544711883"/>
    <m/>
    <m/>
    <s v="alan.peruci@dasa.com.br"/>
    <s v="551198870809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db5006d3a0c48e7bebe44e5520498f2"/>
    <m/>
    <s v="Nao"/>
    <x v="0"/>
    <m/>
    <s v="15/05/2026"/>
    <m/>
    <m/>
    <m/>
    <s v="Brasil"/>
    <s v="KAM"/>
    <m/>
    <s v="ID-21544711883"/>
    <m/>
    <m/>
    <x v="1"/>
  </r>
  <r>
    <s v="COM69FB558137531"/>
    <n v="248890"/>
    <s v="06/05/2026 11:5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Emanuela Rosa Ramos Alfaro"/>
    <s v="22863039830"/>
    <m/>
    <m/>
    <s v="emanuela.ramos@nava.com.br"/>
    <s v="551197027581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6bf866702bec8ca0472c5594f90d971c"/>
    <m/>
    <s v="Nao"/>
    <x v="1"/>
    <m/>
    <s v="13/05/2026"/>
    <m/>
    <m/>
    <m/>
    <m/>
    <s v="KAM"/>
    <s v="04/09/2024"/>
    <s v="ID-22863039830"/>
    <m/>
    <m/>
    <x v="1"/>
  </r>
  <r>
    <s v="COM69FB5394479ED"/>
    <n v="248889"/>
    <s v="06/05/2026 11:43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esar Gasparoti"/>
    <s v="19030837888"/>
    <m/>
    <m/>
    <s v="gasparoticesara@johndeere.com"/>
    <s v="551999764073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14e73b01bb4df432cec637a4f1e270bb"/>
    <m/>
    <s v="Nao"/>
    <x v="6"/>
    <m/>
    <s v="13/05/2026"/>
    <m/>
    <m/>
    <m/>
    <m/>
    <s v="KAM"/>
    <s v="28/10/2024"/>
    <s v="ID-19030837888"/>
    <m/>
    <m/>
    <x v="1"/>
  </r>
  <r>
    <s v="COM69FB5069E5479"/>
    <n v="248886"/>
    <s v="06/05/2026 11:3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lcides Corazza Junior"/>
    <s v="21827832886"/>
    <m/>
    <m/>
    <s v="alcides.corazza@gruporzk.com.br"/>
    <s v="551196402311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7923593462099f0cfb3e6743c06c3118"/>
    <m/>
    <s v="Nao"/>
    <x v="1"/>
    <m/>
    <s v="13/05/2026"/>
    <m/>
    <m/>
    <m/>
    <m/>
    <s v="KAM"/>
    <s v="05/06/2024"/>
    <s v="ID-21827832886"/>
    <m/>
    <m/>
    <x v="1"/>
  </r>
  <r>
    <s v="COM69FB4FB384831"/>
    <n v="248885"/>
    <s v="06/05/2026 11:26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Juliana Escarabelin Martins"/>
    <s v="34235552899"/>
    <m/>
    <m/>
    <s v="Juliana.escarabelin@senior.com.br"/>
    <s v="551198142770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daf403af69da5b7d2bf355c0773479b"/>
    <m/>
    <s v="Nao"/>
    <x v="5"/>
    <m/>
    <s v="15/05/2026"/>
    <m/>
    <m/>
    <m/>
    <s v="Brasil"/>
    <s v="KAM"/>
    <s v="25/03/2026"/>
    <s v="ID-34235552899"/>
    <m/>
    <m/>
    <x v="1"/>
  </r>
  <r>
    <s v="COM69FB4F272EBD0"/>
    <n v="248883"/>
    <s v="06/05/2026 11:24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Cristiano Morais de Souza"/>
    <s v="16239363812"/>
    <m/>
    <m/>
    <s v="cristiano.morais@cury.net"/>
    <s v="551198380197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9d481b3bd8f7a7c2b50cf6d14076c59"/>
    <m/>
    <s v="Nao"/>
    <x v="3"/>
    <m/>
    <s v="15/05/2026"/>
    <m/>
    <m/>
    <m/>
    <s v="Brasil"/>
    <s v="KAM"/>
    <m/>
    <s v="ID-16239363812"/>
    <m/>
    <m/>
    <x v="1"/>
  </r>
  <r>
    <s v="COM69FB4D5426260"/>
    <n v="248878"/>
    <s v="06/05/2026 11:16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Sabrina Ribeiro Garcia"/>
    <s v="06092917696"/>
    <m/>
    <m/>
    <s v="sabrina.ribeiro@cury.net"/>
    <s v="551197052112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ed6d4bfeaea1999cae97794f5a6f13b"/>
    <m/>
    <s v="Nao"/>
    <x v="3"/>
    <m/>
    <s v="15/05/2026"/>
    <m/>
    <m/>
    <m/>
    <s v="Brasil"/>
    <s v="KAM"/>
    <s v="18/08/2023"/>
    <s v="ID-06092917696"/>
    <m/>
    <m/>
    <x v="1"/>
  </r>
  <r>
    <s v="COM69FB4C67ECC60"/>
    <n v="248876"/>
    <s v="06/05/2026 11:12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Aliny Rita Alves Katsutani"/>
    <s v="27028743802"/>
    <m/>
    <m/>
    <s v="aliny.alves@tivit.com"/>
    <s v="551199189539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42d0f1fcba612f5367dcb4b21ea4804d"/>
    <m/>
    <s v="Nao"/>
    <x v="8"/>
    <m/>
    <s v="15/05/2026"/>
    <m/>
    <m/>
    <m/>
    <s v="Brasil"/>
    <s v="KAM"/>
    <s v="26/02/2022"/>
    <s v="ID-27028743802"/>
    <m/>
    <m/>
    <x v="1"/>
  </r>
  <r>
    <s v="COM69FB4BF1EAFCE"/>
    <n v="248875"/>
    <s v="06/05/2026 11:10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Bruno Emilio de Oliveira"/>
    <s v="30934838836"/>
    <m/>
    <m/>
    <s v="oliveira_bruno_e@cat.com"/>
    <s v="5541996589480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c7d2705ecbafbcbecae4fe08feb22736"/>
    <m/>
    <s v="Nao"/>
    <x v="10"/>
    <m/>
    <s v="15/05/2026"/>
    <m/>
    <m/>
    <m/>
    <s v="Brasil"/>
    <s v="KAM"/>
    <s v="12/03/2024"/>
    <s v="ID-30934838836"/>
    <m/>
    <m/>
    <x v="1"/>
  </r>
  <r>
    <s v="COM69FB4B73CACC9"/>
    <n v="248874"/>
    <s v="06/05/2026 11:08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Rafael Jeronymo"/>
    <s v="30249472805"/>
    <m/>
    <m/>
    <s v="rjeronymo@cat.com"/>
    <s v="5519983380400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0816188d1a8e825dd795427e7f9043f"/>
    <m/>
    <s v="Nao"/>
    <x v="10"/>
    <m/>
    <s v="15/05/2026"/>
    <m/>
    <m/>
    <m/>
    <s v="Brasil"/>
    <s v="KAM"/>
    <m/>
    <s v="ID-30249472805"/>
    <m/>
    <m/>
    <x v="1"/>
  </r>
  <r>
    <s v="COM69FB4A87D7EE5"/>
    <n v="248873"/>
    <s v="06/05/2026 11:04"/>
    <x v="0"/>
    <m/>
    <s v="06/05/2026"/>
    <s v="Aprovado"/>
    <n v="1"/>
    <n v="1"/>
    <n v="0"/>
    <m/>
    <n v="0"/>
    <s v=""/>
    <s v="Cortesia"/>
    <s v="cortesia"/>
    <s v="Executive Program - 25 a 27 de Maio de 2026"/>
    <s v="executive-program-ed5a26"/>
    <s v="Karen de Lucena Cavalcanti"/>
    <s v="07458060409"/>
    <m/>
    <m/>
    <s v="Karen.cavalcanti@sicoob.com.br"/>
    <s v="5583999367696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2372879ff4493cc6c0fc9c026819fe6b"/>
    <m/>
    <s v="Nao"/>
    <x v="10"/>
    <m/>
    <s v="25/05/2026"/>
    <m/>
    <m/>
    <m/>
    <m/>
    <s v="KAM"/>
    <m/>
    <s v="ID-07458060409"/>
    <m/>
    <m/>
    <x v="1"/>
  </r>
  <r>
    <s v="COM69FB49F202904"/>
    <n v="248871"/>
    <s v="06/05/2026 11:02"/>
    <x v="0"/>
    <m/>
    <s v="06/05/2026"/>
    <s v="Aprovado"/>
    <n v="1"/>
    <n v="1"/>
    <n v="0"/>
    <m/>
    <n v="0"/>
    <s v=""/>
    <s v="Cortesia"/>
    <s v="cortesia"/>
    <s v="Executive Program - 25 a 27 de Maio de 2026"/>
    <s v="executive-program-ed5a26"/>
    <s v="Jamille Nassar"/>
    <s v="26480877888"/>
    <m/>
    <m/>
    <s v="jamille.nassar@sescoopsp.coop.br"/>
    <s v="5511994984954"/>
    <m/>
    <s v="04578-910"/>
    <s v="Avenida das Nações Unidas, 12901"/>
    <s v="12901"/>
    <m/>
    <s v="Brooklin Paulista"/>
    <s v="São Paulo"/>
    <s v="SP"/>
    <s v="Filial(São Paulo)"/>
    <s v="Executive Program - 25 a 27 de Maio de 2026"/>
    <m/>
    <m/>
    <m/>
    <s v="b3774204fd9a590466943715bfed97d4"/>
    <m/>
    <s v="Nao"/>
    <x v="10"/>
    <m/>
    <s v="25/05/2026"/>
    <m/>
    <m/>
    <m/>
    <m/>
    <s v="KAM"/>
    <m/>
    <s v="ID-26480877888"/>
    <m/>
    <m/>
    <x v="1"/>
  </r>
  <r>
    <s v="COM69FB318402EF0"/>
    <n v="248846"/>
    <s v="06/05/2026 09:18"/>
    <x v="0"/>
    <m/>
    <s v="06/05/2026"/>
    <s v="Aprovado"/>
    <n v="1"/>
    <n v="1"/>
    <n v="0"/>
    <m/>
    <n v="0"/>
    <s v=""/>
    <s v="Cortesia"/>
    <s v="cortesia"/>
    <s v="SLD - Os frameworks da nova economia"/>
    <s v="comunidade-ed2a26"/>
    <s v="Renata Castanha Avediani"/>
    <s v="30491943830"/>
    <m/>
    <m/>
    <s v="renatacastanha@gmail.com"/>
    <s v="552197232613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8eb57fd23b6e676483690eb56d2ef28"/>
    <m/>
    <s v="Nao"/>
    <x v="6"/>
    <m/>
    <s v="15/05/2026"/>
    <m/>
    <m/>
    <m/>
    <s v="Brasil"/>
    <s v="KAM"/>
    <m/>
    <s v="ID-30491943830"/>
    <m/>
    <m/>
    <x v="1"/>
  </r>
  <r>
    <s v="COM69FB3031966BD"/>
    <n v="248843"/>
    <s v="06/05/2026 09:12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Adriane Daiana Ramos de Assis"/>
    <s v="36764253838"/>
    <m/>
    <m/>
    <s v="adriane.assis@portoseguro.com.br"/>
    <s v="551191208282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178786c7915598cce288a9759045e282"/>
    <m/>
    <s v="Nao"/>
    <x v="6"/>
    <m/>
    <s v="13/05/2026"/>
    <m/>
    <m/>
    <m/>
    <m/>
    <s v="KAM"/>
    <m/>
    <s v="ID-36764253838"/>
    <m/>
    <m/>
    <x v="1"/>
  </r>
  <r>
    <s v="COM69FB2FA793ED8"/>
    <n v="248841"/>
    <s v="06/05/2026 09:10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Luciana Damasceno"/>
    <s v="19475188878"/>
    <m/>
    <m/>
    <s v="luciana.damasceno@portoseguro.com.br"/>
    <s v="5511950015272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11fc6c18465497db0543d4d442ce7e8a"/>
    <m/>
    <s v="Nao"/>
    <x v="6"/>
    <m/>
    <s v="13/05/2026"/>
    <m/>
    <m/>
    <m/>
    <m/>
    <s v="KAM"/>
    <m/>
    <s v="ID-19475188878"/>
    <m/>
    <m/>
    <x v="1"/>
  </r>
  <r>
    <s v="COM69FA4256A2488"/>
    <n v="248783"/>
    <s v="05/05/2026 16:17"/>
    <x v="0"/>
    <m/>
    <s v="07/05/2026"/>
    <s v="Aprovado"/>
    <n v="3"/>
    <n v="1"/>
    <n v="9300"/>
    <m/>
    <n v="9300"/>
    <s v=""/>
    <s v="TED"/>
    <s v="ted"/>
    <s v="AI Festival 2026 - Ingresso Interactive"/>
    <s v="evento-ia-ed1a26_interactive"/>
    <s v="Priscila Hermsdorff Pontes"/>
    <m/>
    <s v="60.746.948/0283-94"/>
    <s v="BANCO BRADESCO S.A."/>
    <s v="priscila.pontes@bradesco.com.br"/>
    <s v="551133678700"/>
    <s v="5511336787001"/>
    <s v="01042001"/>
    <s v="BR DE ITAPETININGA"/>
    <s v="107"/>
    <m/>
    <s v="REPUBLICA"/>
    <s v="São Paulo"/>
    <s v="SP"/>
    <s v="Filial(São Paulo)"/>
    <s v="Evento: 50371051 - Categoria: Interactive | 3 participantes"/>
    <m/>
    <m/>
    <m/>
    <s v="5cfd6ddb0906928e934047565c35262b"/>
    <m/>
    <s v="Nao"/>
    <x v="7"/>
    <m/>
    <s v="13/05/2026"/>
    <m/>
    <m/>
    <m/>
    <m/>
    <s v="KAM"/>
    <s v="04/11/2017"/>
    <s v="ID-60746948028394"/>
    <s v="Aguardando recebimento"/>
    <m/>
    <x v="2"/>
  </r>
  <r>
    <s v="COM69FA40BC198A5"/>
    <n v="248781"/>
    <s v="05/05/2026 16:10"/>
    <x v="0"/>
    <m/>
    <s v="07/05/2026"/>
    <s v="Aprovado"/>
    <n v="3"/>
    <n v="1"/>
    <n v="7200"/>
    <m/>
    <n v="7200"/>
    <s v=""/>
    <s v="TED"/>
    <s v="ted"/>
    <s v="AI Festival 2026 - Ingresso Explorer"/>
    <s v="evento-ia-ed1a26_explorer"/>
    <s v="Priscila Hermsdorff Pontes"/>
    <m/>
    <s v="60.746.948/0283-94"/>
    <s v="BANCO BRADESCO S.A."/>
    <s v="priscila.pontes@bradesco.com.br"/>
    <s v="551133678700"/>
    <s v="5511336787001"/>
    <s v="01042001"/>
    <s v="BR DE ITAPETININGA"/>
    <s v="107"/>
    <m/>
    <s v="REPUBLICA"/>
    <s v="São Paulo"/>
    <s v="SP"/>
    <s v="Filial(São Paulo)"/>
    <s v="Evento: 50370924 - 3 participantes - Categoria: Explorer"/>
    <m/>
    <m/>
    <m/>
    <s v="092a1837cdc9ad8500fd5ea982005698"/>
    <m/>
    <s v="Nao"/>
    <x v="7"/>
    <m/>
    <s v="13/05/2026"/>
    <m/>
    <m/>
    <m/>
    <m/>
    <s v="KAM"/>
    <s v="04/11/2017"/>
    <s v="ID-60746948028394"/>
    <s v="Aguardando recebimento"/>
    <m/>
    <x v="2"/>
  </r>
  <r>
    <s v="COM69FA2C443FF08"/>
    <n v="248767"/>
    <s v="05/05/2026 14:43"/>
    <x v="0"/>
    <m/>
    <s v="06/05/2026"/>
    <s v="Aprovado"/>
    <n v="1"/>
    <n v="1"/>
    <n v="18500"/>
    <s v="Boleto Bradesco"/>
    <n v="17362.25"/>
    <s v=""/>
    <s v="Boleto"/>
    <s v="boleto"/>
    <s v="Executive Program - 25 a 27 de Maio de 2026"/>
    <s v="executive-program-ed5a26"/>
    <s v="Viviane Brasil"/>
    <m/>
    <s v="14.797.724/0001-12"/>
    <s v="SERV DE APOIO AS MICRO E PEQ EMPRESAS DO EST DA BAHIA"/>
    <s v="viviane.brasil@ba.sebrae.com.br"/>
    <s v="557133204406"/>
    <s v="557133204321"/>
    <s v="41760000"/>
    <s v="ARTHUR DE AZEVEDO MACHADO"/>
    <s v="1225"/>
    <m/>
    <s v="COSTA AZUL"/>
    <s v="Salvador"/>
    <s v="BA"/>
    <s v="Filial(São Paulo)"/>
    <s v="Executive Program - 25 a 27 de Maio de 2026 - Emerson Erbete Cardoso Macedo - Programa Presencial em São Paulo - Pagamento conforme boleto"/>
    <m/>
    <m/>
    <m/>
    <s v="750cba870a679814eb65d16b641fd215"/>
    <m/>
    <s v="Nao"/>
    <x v="2"/>
    <m/>
    <s v="25/05/2026"/>
    <m/>
    <m/>
    <m/>
    <m/>
    <s v="KAM"/>
    <s v="07/10/2019"/>
    <s v="ID-14797724000112"/>
    <s v="Aguardando recebimento"/>
    <m/>
    <x v="2"/>
  </r>
  <r>
    <s v="ORDH8T2UJBXTCJZH"/>
    <n v="248757"/>
    <s v="05/05/2026 14:02"/>
    <x v="0"/>
    <m/>
    <s v="05/05/2026"/>
    <s v="Aprovado"/>
    <n v="4"/>
    <n v="1"/>
    <n v="450.62"/>
    <s v="Braintree"/>
    <n v="450.62"/>
    <s v="28974115835I8TS5A4OE"/>
    <s v="Crédito à Vista"/>
    <s v="visa"/>
    <s v="AI Festival 2026 - Ingresso Interactive"/>
    <s v="evento-ia-ed1a26_interactive"/>
    <s v="Cleide Mariano"/>
    <s v="22247472842"/>
    <s v="05.341.062/0001-80"/>
    <s v="FEBRAFAR - FEDERACAO BRASILEIRA DAS REDES ASSOCIATIVISTAS E INDEPENDENTES DE FARMACIAS"/>
    <s v="cleide.mariano@farmarcas.com.br"/>
    <s v="11947025181"/>
    <m/>
    <s v="04035001"/>
    <s v="DOMINGOS DE MORAIS"/>
    <s v="2709"/>
    <s v="N/A"/>
    <s v="VILA MARIANA"/>
    <s v="São Paulo"/>
    <s v="SP"/>
    <s v="Filial(São Paulo)"/>
    <m/>
    <m/>
    <m/>
    <m/>
    <s v="e3c7f09c46de1f8655b8c9421df0d0d5"/>
    <s v="off-aifestival-farmarcas"/>
    <s v="Nao"/>
    <x v="0"/>
    <m/>
    <s v="13/05/2026"/>
    <m/>
    <m/>
    <m/>
    <m/>
    <s v="KAM"/>
    <s v="14/10/2019"/>
    <s v="ID-05341062000180"/>
    <m/>
    <m/>
    <x v="0"/>
  </r>
  <r>
    <s v="COM69FA00FE85573"/>
    <n v="248737"/>
    <s v="05/05/2026 11:38"/>
    <x v="0"/>
    <m/>
    <s v="07/05/2026"/>
    <s v="Aprovado"/>
    <n v="1"/>
    <n v="1"/>
    <n v="3000"/>
    <s v="Boleto Bradesco"/>
    <n v="3000"/>
    <s v=""/>
    <s v="Boleto"/>
    <s v="boleto"/>
    <s v="AI Festival 2026 - Ingresso Interactive"/>
    <s v="evento-ia-ed1a26_interactive"/>
    <s v="Elaine Domingos"/>
    <m/>
    <s v="61.198.164/0001-60"/>
    <s v="PORTO SEGURO COMPANHIA DE SEGUROS GERAIS"/>
    <s v="elaine.domingos@portoseguro.com.br"/>
    <s v="11966558926"/>
    <s v="1123936762"/>
    <s v="01205001"/>
    <s v="RIO BRANCO"/>
    <s v="1489"/>
    <s v="RUA GUAIANASES, 1238"/>
    <s v="CAMPOS ELISEOS"/>
    <s v="São Paulo"/>
    <s v="SP"/>
    <s v="Filial(São Paulo)"/>
    <s v="AI Festival 2026 - Ingresso Interactive"/>
    <m/>
    <m/>
    <m/>
    <s v="3e9b207688ddf2f65fa0495f9c004955"/>
    <m/>
    <s v="Nao"/>
    <x v="6"/>
    <m/>
    <s v="13/05/2026"/>
    <m/>
    <m/>
    <m/>
    <m/>
    <s v="KAM"/>
    <s v="19/06/2017"/>
    <s v="ID-61198164000160"/>
    <s v="Aguardando recebimento"/>
    <m/>
    <x v="2"/>
  </r>
  <r>
    <s v="COM69F9FFF849F28"/>
    <n v="248736"/>
    <s v="05/05/2026 11:34"/>
    <x v="0"/>
    <m/>
    <s v="07/05/2026"/>
    <s v="Aprovado"/>
    <n v="3"/>
    <n v="1"/>
    <n v="5997"/>
    <s v="Boleto Bradesco"/>
    <n v="5997"/>
    <s v=""/>
    <s v="Boleto"/>
    <s v="boleto"/>
    <s v="AI Festival 2026 - Ingresso Explorer"/>
    <s v="evento-ia-ed1a26_explorer"/>
    <s v="Elaine Domingos"/>
    <m/>
    <s v="61.198.164/0001-60"/>
    <s v="PORTO SEGURO COMPANHIA DE SEGUROS GERAIS"/>
    <s v="elaine.domingos@portoseguro.com.br"/>
    <s v="11966558926"/>
    <s v="1123936762"/>
    <s v="01205001"/>
    <s v="RIO BRANCO"/>
    <s v="1489"/>
    <s v="RUA GUAIANASES, 1238"/>
    <s v="CAMPOS ELISEOS"/>
    <s v="São Paulo"/>
    <s v="SP"/>
    <s v="Filial(São Paulo)"/>
    <s v="AI Festival 2026 - Ingresso Explorer"/>
    <m/>
    <m/>
    <m/>
    <s v="c1b01f0729979e304a8f927075433cda"/>
    <m/>
    <s v="Nao"/>
    <x v="1"/>
    <m/>
    <s v="13/05/2026"/>
    <m/>
    <m/>
    <m/>
    <m/>
    <s v="KAM"/>
    <s v="19/06/2017"/>
    <s v="ID-61198164000160"/>
    <s v="Aguardando recebimento"/>
    <m/>
    <x v="2"/>
  </r>
  <r>
    <s v="COM69F9E8737CA8E"/>
    <n v="248714"/>
    <s v="05/05/2026 09:5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Camila Martins"/>
    <s v="21788938801"/>
    <m/>
    <m/>
    <s v="camila.martins@br.nestle.com"/>
    <s v="551699754764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bd27d6b80e6ba576bb59990d690efbc8"/>
    <m/>
    <s v="Nao"/>
    <x v="1"/>
    <m/>
    <s v="13/05/2026"/>
    <m/>
    <m/>
    <m/>
    <m/>
    <s v="KAM"/>
    <m/>
    <s v="ID-21788938801"/>
    <m/>
    <m/>
    <x v="1"/>
  </r>
  <r>
    <s v="COM69F9E3EA69620"/>
    <n v="248709"/>
    <s v="05/05/2026 09:3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Jose Mello"/>
    <s v="02190569788"/>
    <m/>
    <m/>
    <s v="jose.mello@prudential.com"/>
    <s v="5511945097518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3abe377f9f38b85d5b2be518e5ddc4fe"/>
    <m/>
    <s v="Nao"/>
    <x v="1"/>
    <m/>
    <s v="13/05/2026"/>
    <m/>
    <m/>
    <m/>
    <m/>
    <s v="KAM"/>
    <s v="26/06/2017"/>
    <s v="ID-02190569788"/>
    <m/>
    <m/>
    <x v="1"/>
  </r>
  <r>
    <s v="COM69F9E3086450E"/>
    <n v="248706"/>
    <s v="05/05/2026 09:31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PAULO HENRIQUE WANICK MATTOS"/>
    <s v="88534790787"/>
    <m/>
    <m/>
    <s v="paulo.wanick@arcelormittal.com.br"/>
    <s v="27992923290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0411dee2847669da5fb1ded9d7d4c29d"/>
    <m/>
    <s v="Nao"/>
    <x v="0"/>
    <m/>
    <s v="13/05/2026"/>
    <m/>
    <m/>
    <m/>
    <m/>
    <s v="KAM"/>
    <m/>
    <s v="ID-88534790787"/>
    <m/>
    <m/>
    <x v="1"/>
  </r>
  <r>
    <s v="COM69F9E1D1E15B6"/>
    <n v="248705"/>
    <s v="05/05/2026 09:25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Tiago Buischi"/>
    <s v="21743994826"/>
    <m/>
    <m/>
    <s v="tiago.buischi@br.nestle.com"/>
    <s v="5511973160282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e014940b1558e904f177812125756c0"/>
    <m/>
    <s v="Nao"/>
    <x v="7"/>
    <m/>
    <s v="13/05/2026"/>
    <m/>
    <m/>
    <m/>
    <m/>
    <s v="KAM"/>
    <m/>
    <s v="ID-21743994826"/>
    <m/>
    <m/>
    <x v="1"/>
  </r>
  <r>
    <s v="COM69F9E150BE7F9"/>
    <n v="248703"/>
    <s v="05/05/2026 09:23"/>
    <x v="0"/>
    <m/>
    <s v="05/05/2026"/>
    <s v="Aprovado"/>
    <n v="1"/>
    <n v="1"/>
    <n v="0"/>
    <m/>
    <n v="0"/>
    <s v=""/>
    <s v="Cortesia"/>
    <s v="cortesia"/>
    <s v="SLD - Os frameworks da nova economia"/>
    <s v="comunidade-ed2a26"/>
    <s v="Yolanda Ferreira da Silva"/>
    <s v="43183286866"/>
    <m/>
    <m/>
    <s v="yolanda.silva@saint-gobain.com"/>
    <s v="551195467403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f470ce15e94888f745ef34da07c189fb"/>
    <m/>
    <s v="Nao"/>
    <x v="4"/>
    <m/>
    <s v="15/05/2026"/>
    <m/>
    <m/>
    <m/>
    <s v="Brasil"/>
    <s v="KAM"/>
    <m/>
    <s v="ID-43183286866"/>
    <m/>
    <m/>
    <x v="1"/>
  </r>
  <r>
    <s v="COM69F9E0E75AD37"/>
    <n v="248702"/>
    <s v="05/05/2026 09:21"/>
    <x v="0"/>
    <m/>
    <s v="05/05/2026"/>
    <s v="Aprovado"/>
    <n v="1"/>
    <n v="1"/>
    <n v="0"/>
    <m/>
    <n v="0"/>
    <s v=""/>
    <s v="Cortesia"/>
    <s v="cortesia"/>
    <s v="SLD - Os frameworks da nova economia"/>
    <s v="comunidade-ed2a26"/>
    <s v="Daniela Chagas Santos"/>
    <s v="31573794880"/>
    <m/>
    <m/>
    <s v="daniela.chagas.santos@santander.com.br"/>
    <s v="551195262198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6b7a002d43c18add5333286d3f11d432"/>
    <m/>
    <s v="Nao"/>
    <x v="4"/>
    <m/>
    <s v="15/05/2026"/>
    <m/>
    <m/>
    <m/>
    <s v="Brasil"/>
    <s v="KAM"/>
    <s v="10/09/2024"/>
    <s v="ID-31573794880"/>
    <m/>
    <m/>
    <x v="1"/>
  </r>
  <r>
    <s v="COM69F9E068346E1"/>
    <n v="248701"/>
    <s v="05/05/2026 09:19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Franco Bria"/>
    <s v="23240254859"/>
    <m/>
    <m/>
    <s v="Franco_bria@hotmail.com"/>
    <s v="555199792284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887621c58700a3e73104e541955f6fc"/>
    <m/>
    <s v="Nao"/>
    <x v="7"/>
    <m/>
    <s v="13/05/2026"/>
    <m/>
    <m/>
    <m/>
    <m/>
    <s v="KAM"/>
    <s v="26/04/2018"/>
    <s v="ID-23240254859"/>
    <m/>
    <m/>
    <x v="1"/>
  </r>
  <r>
    <s v="COM69F9DFF9838FC"/>
    <n v="248700"/>
    <s v="05/05/2026 09:18"/>
    <x v="0"/>
    <m/>
    <m/>
    <s v="Aprovado"/>
    <n v="1"/>
    <n v="1"/>
    <n v="0"/>
    <m/>
    <n v="0"/>
    <s v=""/>
    <s v="Cortesia"/>
    <s v="cortesia"/>
    <s v="AI Festival 2026 - Ingresso Explorer"/>
    <s v="evento-ia-ed1a26_explorer"/>
    <s v="Alexandre Maganhato"/>
    <s v="18176132861"/>
    <m/>
    <m/>
    <s v="amaganhato@atvos.com"/>
    <s v="5511975439696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7d735e0f50b157101e8fd1db94cc88c7"/>
    <m/>
    <s v="Nao"/>
    <x v="1"/>
    <m/>
    <s v="13/05/2026"/>
    <m/>
    <m/>
    <m/>
    <m/>
    <s v="KAM"/>
    <s v="02/04/2024"/>
    <s v="ID-18176132861"/>
    <m/>
    <m/>
    <x v="1"/>
  </r>
  <r>
    <s v="COM69F9DF2A8CA40"/>
    <n v="248699"/>
    <s v="05/05/2026 09:14"/>
    <x v="0"/>
    <m/>
    <m/>
    <s v="Aprovado"/>
    <n v="1"/>
    <n v="1"/>
    <n v="0"/>
    <m/>
    <n v="0"/>
    <s v=""/>
    <s v="Cortesia"/>
    <s v="cortesia"/>
    <s v="AI Festival 2026 - Ingresso Platinum"/>
    <s v="evento-ia-ed1a26_platinum"/>
    <s v="Priscila Blois"/>
    <s v="21834912806"/>
    <m/>
    <m/>
    <s v="Priscila.blois@kraftheinz.com"/>
    <s v="5511981998397"/>
    <m/>
    <s v="04578-910"/>
    <s v="Avenida das Nações Unidas, 12901"/>
    <s v="12901"/>
    <m/>
    <s v="Brooklin Paulista"/>
    <s v="São Paulo"/>
    <s v="SP"/>
    <s v="Filial(São Paulo)"/>
    <s v="AI Festival 2026 - Ingresso Platinum"/>
    <m/>
    <m/>
    <m/>
    <s v="7f10daed707a96c3281f43af8e26c1ed"/>
    <m/>
    <s v="Nao"/>
    <x v="1"/>
    <m/>
    <s v="13/05/2026"/>
    <m/>
    <m/>
    <m/>
    <m/>
    <s v="KAM"/>
    <s v="19/11/2024"/>
    <s v="ID-21834912806"/>
    <m/>
    <m/>
    <x v="1"/>
  </r>
  <r>
    <s v="COM69F9075272D69"/>
    <n v="248676"/>
    <s v="04/05/2026 17:53"/>
    <x v="0"/>
    <m/>
    <s v="05/05/2026"/>
    <s v="Aprovado"/>
    <n v="1"/>
    <n v="1"/>
    <n v="2250"/>
    <s v="Boleto Bradesco"/>
    <n v="2250"/>
    <s v=""/>
    <s v="Boleto"/>
    <s v="boleto"/>
    <s v="AI Festival 2026 - Ingresso Explorer"/>
    <s v="evento-ia-ed1a26_explorer"/>
    <s v="Gustavo Vieira Grinstein"/>
    <m/>
    <s v="65.599.953/0001-63"/>
    <s v="CAPGEMINI BRASIL LTDA."/>
    <s v="gustavo.grinstein@capgemini.com"/>
    <s v="21999719753"/>
    <s v="21999719753"/>
    <s v="06454050"/>
    <s v="GRAJAU"/>
    <s v="60"/>
    <s v="ANDAR 14"/>
    <s v="ALPHAVILLE CENTRO INDUSTRIAL E EMPRESARIAL"/>
    <s v="Barueri"/>
    <s v="SP"/>
    <s v="Filial(São Paulo)"/>
    <s v="AI Festival 2026 - Ingresso Explorer | PO/FRS  1000132085"/>
    <m/>
    <m/>
    <m/>
    <s v="548df14f1fa3ffa71880c5cb4cc4bc6b"/>
    <m/>
    <s v="Nao"/>
    <x v="4"/>
    <m/>
    <s v="13/05/2026"/>
    <m/>
    <m/>
    <m/>
    <m/>
    <s v="KAM"/>
    <s v="29/08/2025"/>
    <s v="ID-65599953000163"/>
    <s v="Aguardando recebimento"/>
    <m/>
    <x v="2"/>
  </r>
  <r>
    <s v="COM69F8D0B561956"/>
    <n v="248633"/>
    <s v="04/05/2026 14:00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Luana Leal Cerqueira"/>
    <s v="97700606153"/>
    <m/>
    <m/>
    <s v="luana.cerqueira@basa.com.br"/>
    <s v="559191116622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a8f7ae2fc2e8a545435441d5a1150f90"/>
    <m/>
    <s v="Nao"/>
    <x v="4"/>
    <m/>
    <s v="15/05/2026"/>
    <m/>
    <m/>
    <m/>
    <s v="Brasil"/>
    <s v="KAM"/>
    <s v="09/04/2025"/>
    <s v="ID-97700606153"/>
    <m/>
    <m/>
    <x v="1"/>
  </r>
  <r>
    <s v="COM69F896BA0D0C9"/>
    <n v="248595"/>
    <s v="04/05/2026 09:53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Leandro Conde"/>
    <s v="41637538855"/>
    <m/>
    <m/>
    <s v="leandro.conde@caseih.com"/>
    <s v="5511941188573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8e5a2eed69e9df216fbf0b62a3eeb43b"/>
    <m/>
    <s v="Nao"/>
    <x v="10"/>
    <m/>
    <s v="15/05/2026"/>
    <m/>
    <m/>
    <m/>
    <s v="Brasil"/>
    <s v="KAM"/>
    <m/>
    <s v="ID-41637538855"/>
    <m/>
    <m/>
    <x v="1"/>
  </r>
  <r>
    <s v="COM69F896530E977"/>
    <n v="248594"/>
    <s v="04/05/2026 09:51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Guilherme Rubira"/>
    <s v="05480584669"/>
    <m/>
    <m/>
    <s v="guilherme.rubira@newholland.com"/>
    <s v="5541991668705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d53404bcf04c22974c0665c380358f5"/>
    <m/>
    <s v="Nao"/>
    <x v="10"/>
    <m/>
    <s v="15/05/2026"/>
    <m/>
    <m/>
    <m/>
    <s v="Brasil"/>
    <s v="KAM"/>
    <m/>
    <s v="ID-05480584669"/>
    <m/>
    <m/>
    <x v="1"/>
  </r>
  <r>
    <s v="COM69F892B14902E"/>
    <n v="248591"/>
    <s v="04/05/2026 09:36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Gabriel Canobre"/>
    <s v="38033762896"/>
    <m/>
    <m/>
    <s v="gabriel.canobre@oracle.com"/>
    <s v="5511982582798"/>
    <m/>
    <s v="04578-910"/>
    <s v="Avenida das Nações Unidas"/>
    <s v="12901"/>
    <m/>
    <s v="Brooklin Paulista"/>
    <s v="São Paulo"/>
    <s v="SP"/>
    <s v="Filial(São Paulo)"/>
    <s v="economia"/>
    <m/>
    <m/>
    <m/>
    <s v="4c28c834e2ca28a3e81a84bd2d180543"/>
    <m/>
    <s v="Nao"/>
    <x v="10"/>
    <m/>
    <s v="15/05/2026"/>
    <m/>
    <m/>
    <m/>
    <s v="Brasil"/>
    <s v="KAM"/>
    <m/>
    <s v="ID-38033762896"/>
    <m/>
    <m/>
    <x v="1"/>
  </r>
  <r>
    <s v="COM69F890B783A8E"/>
    <n v="248590"/>
    <s v="04/05/2026 09:27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Fernanda Toniolo Fernandes"/>
    <s v="32902896808"/>
    <m/>
    <m/>
    <s v="fernanda.toniolo@hapvida.com.br"/>
    <s v="551195324993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ced169f66fd61dc3e97135d63356f73"/>
    <m/>
    <s v="Nao"/>
    <x v="0"/>
    <m/>
    <s v="15/05/2026"/>
    <m/>
    <m/>
    <m/>
    <s v="Brasil"/>
    <s v="KAM"/>
    <m/>
    <s v="ID-32902896808"/>
    <m/>
    <m/>
    <x v="1"/>
  </r>
  <r>
    <s v="COM69F88FCD5BBF1"/>
    <n v="248588"/>
    <s v="04/05/2026 09:23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Antonio Mandalozzo"/>
    <s v="85702161904"/>
    <m/>
    <m/>
    <s v="antonio.mandalozzo@electrolux.com"/>
    <s v="559191116622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041f6099d70c970c478bc758d509f44e"/>
    <m/>
    <s v="Nao"/>
    <x v="4"/>
    <m/>
    <s v="15/05/2026"/>
    <m/>
    <m/>
    <m/>
    <s v="Brasil"/>
    <s v="KAM"/>
    <s v="13/11/2023"/>
    <s v="ID-85702161904"/>
    <m/>
    <m/>
    <x v="1"/>
  </r>
  <r>
    <s v="COM69F88A848D260"/>
    <n v="248584"/>
    <s v="04/05/2026 09:01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Carlos Abramo Pinto"/>
    <s v="26533906801"/>
    <m/>
    <m/>
    <s v="carlos.abramo@oracle.com"/>
    <s v="551198709442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9bf51cf12cb196b132eaf79ad9d60689"/>
    <m/>
    <s v="Nao"/>
    <x v="10"/>
    <m/>
    <s v="15/05/2026"/>
    <m/>
    <m/>
    <m/>
    <s v="Brasil"/>
    <s v="KAM"/>
    <m/>
    <s v="ID-26533906801"/>
    <m/>
    <m/>
    <x v="1"/>
  </r>
  <r>
    <s v="COM69F88995CBD5B"/>
    <n v="248583"/>
    <s v="04/05/2026 08:57"/>
    <x v="0"/>
    <m/>
    <s v="04/05/2026"/>
    <s v="Aprovado"/>
    <n v="1"/>
    <n v="1"/>
    <n v="0"/>
    <m/>
    <n v="0"/>
    <s v=""/>
    <s v="Cortesia"/>
    <s v="cortesia"/>
    <s v="SLD - Os frameworks da nova economia"/>
    <s v="comunidade-ed2a26"/>
    <s v="Eduardo Alencar"/>
    <s v="19077940855"/>
    <m/>
    <m/>
    <s v="eduardo.alencar@oracle.com"/>
    <s v="551197614739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3b9d6472b905cc68c5f394682398701c"/>
    <m/>
    <s v="Nao"/>
    <x v="10"/>
    <m/>
    <s v="15/05/2026"/>
    <m/>
    <m/>
    <m/>
    <s v="Brasil"/>
    <s v="KAM"/>
    <m/>
    <s v="ID-19077940855"/>
    <m/>
    <m/>
    <x v="1"/>
  </r>
  <r>
    <s v="COM69F3EEA8D4FA7"/>
    <n v="248538"/>
    <s v="30/04/2026 21:07"/>
    <x v="1"/>
    <m/>
    <s v="04/05/2026"/>
    <s v="Aprovado"/>
    <n v="4"/>
    <n v="1"/>
    <n v="10000"/>
    <s v="Boleto Bradesco"/>
    <n v="9385"/>
    <s v=""/>
    <s v="Boleto"/>
    <s v="boleto"/>
    <s v="AI para Negócios - Imersão Presencial -  28 e 29 de Maio de 2026"/>
    <s v="imersao-presencial-de-ai-ed9a26"/>
    <s v="Rosimery Santos"/>
    <m/>
    <s v="35.993.098/0001-00"/>
    <s v="Z.A. DIGITAL DE SAO PAULO SISTEMA DE ESTACIONAMENTO ROTATIVO S.A."/>
    <s v="rosimery.o@estapar.com.br"/>
    <s v="11918762546"/>
    <s v="11918762546"/>
    <s v="04543900"/>
    <s v="PRES JUSCELINO KUBITSCHEK"/>
    <s v="1830"/>
    <s v="ANDAR 2 BLOCO 3"/>
    <s v="VILA NOVA CONCEICAO"/>
    <s v="São Paulo"/>
    <s v="SP"/>
    <s v="Filial(São Paulo)"/>
    <s v="AI para Negócios - Imersão Presencial - 28 e 29 de Maio de 2026 | XPEDOC28002459"/>
    <m/>
    <m/>
    <m/>
    <s v="8f129a3c0a867f4112c44fb42dd6edb9"/>
    <m/>
    <s v="Nao"/>
    <x v="6"/>
    <m/>
    <s v="28/05/2026"/>
    <m/>
    <m/>
    <m/>
    <m/>
    <s v="KAM"/>
    <s v="30/04/2026"/>
    <s v="ID-35993098000100"/>
    <s v="Aguardando recebimento"/>
    <m/>
    <x v="2"/>
  </r>
  <r>
    <s v="COM69F3D6F487D93"/>
    <n v="248534"/>
    <s v="30/04/2026 19:25"/>
    <x v="1"/>
    <m/>
    <s v="04/05/2026"/>
    <s v="Aprovado"/>
    <n v="1"/>
    <n v="1"/>
    <n v="16000"/>
    <s v="Boleto Bradesco"/>
    <n v="15016"/>
    <s v=""/>
    <s v="Boleto"/>
    <s v="boleto"/>
    <s v="Executive Program - 25 a 27 de Maio de 2026"/>
    <s v="executive-program-ed5a26"/>
    <s v="Rosimery Santos"/>
    <m/>
    <s v="35.993.098/0001-00"/>
    <s v="Z.A. DIGITAL DE SAO PAULO SISTEMA DE ESTACIONAMENTO ROTATIVO S.A."/>
    <s v="rosimery.o@estapar.com.br"/>
    <s v="11918762546"/>
    <s v="11918762546"/>
    <s v="04543900"/>
    <s v="PRES JUSCELINO KUBITSCHEK"/>
    <s v="1830"/>
    <s v="ANDAR 2 BLOCO 3"/>
    <s v="VILA NOVA CONCEICAO"/>
    <s v="São Paulo"/>
    <s v="SP"/>
    <s v="Filial(São Paulo)"/>
    <s v="Executive Program - 25 a 27 de Maio de 2026 | XPEDOC28002459"/>
    <m/>
    <m/>
    <m/>
    <s v="7c2b6bca76279db2a5b326537277ed1d"/>
    <m/>
    <s v="Nao"/>
    <x v="6"/>
    <m/>
    <s v="25/05/2026"/>
    <m/>
    <m/>
    <m/>
    <m/>
    <s v="KAM"/>
    <s v="30/04/2026"/>
    <s v="ID-35993098000100"/>
    <s v="Aguardando recebimento"/>
    <m/>
    <x v="2"/>
  </r>
  <r>
    <s v="COM69F3CE1140E56"/>
    <n v="248532"/>
    <s v="30/04/2026 18:48"/>
    <x v="1"/>
    <m/>
    <s v="30/04/2026"/>
    <s v="Aprovado"/>
    <n v="1"/>
    <n v="1"/>
    <n v="36000"/>
    <s v="Boleto Bradesco"/>
    <n v="33786"/>
    <s v=""/>
    <s v="Boleto"/>
    <s v="boleto"/>
    <s v="StartSe Board Program - Turma 16 - 2026"/>
    <s v="board-program-ed4a26"/>
    <s v="Diego Pessoa"/>
    <m/>
    <s v="29.341.643/0001-80"/>
    <s v="SPC BRASIL S.A."/>
    <s v="diego.pessoa@spcbrasil.com.br"/>
    <s v="19971304348"/>
    <s v="1135496800"/>
    <s v="06455020"/>
    <s v="TOCANTINS"/>
    <s v="125"/>
    <s v="ANDAR 15 CONJ 1502"/>
    <s v="ALPHAVILLE CENTRO INDUSTRIAL E EMPRESARIAL"/>
    <s v="Barueri"/>
    <s v="SP"/>
    <s v="Filial(São Paulo)"/>
    <s v="StartSe Board Program - Turma 16 - 2026"/>
    <m/>
    <m/>
    <m/>
    <s v="53d00308e610365b441212d022519cac"/>
    <m/>
    <s v="Nao"/>
    <x v="3"/>
    <m/>
    <s v="26/10/2026"/>
    <m/>
    <m/>
    <m/>
    <s v="Brasil"/>
    <s v="KAM"/>
    <s v="16/06/2025"/>
    <s v="ID-29341643000180"/>
    <s v="Aguardando recebimento"/>
    <m/>
    <x v="2"/>
  </r>
  <r>
    <s v="COM69F3CC367B109"/>
    <n v="248530"/>
    <s v="30/04/2026 18:40"/>
    <x v="1"/>
    <m/>
    <s v="04/05/2026"/>
    <s v="Aprovado"/>
    <n v="9"/>
    <n v="1"/>
    <n v="21600"/>
    <s v="Boleto Bradesco"/>
    <n v="21600"/>
    <s v=""/>
    <s v="Boleto"/>
    <s v="boleto"/>
    <s v="AI Festival 2026 - Ingresso Interactive"/>
    <s v="evento-ia-ed1a26_interactive"/>
    <s v="Lilian Aparecida Grein Carneiro Kloss"/>
    <m/>
    <s v="03.407.049/0002-32"/>
    <s v="VOTORANTIM S.A."/>
    <s v="lilian.kloss@votorantim.com"/>
    <s v="41998693349"/>
    <s v="41991848257"/>
    <s v="82130570"/>
    <s v="CURITIBA /RIO BRANCO DO SUL-PR 092"/>
    <s v="1303"/>
    <s v="BLOCO A"/>
    <s v="ABRANCHES"/>
    <s v="Curitiba"/>
    <s v="PR"/>
    <s v="Filial(São Paulo)"/>
    <s v="AI Festival 2026 - Ingresso Interactive"/>
    <m/>
    <m/>
    <m/>
    <s v="30deccbd2db4ba9e08e56b0e1a7c5abe"/>
    <m/>
    <s v="Nao"/>
    <x v="0"/>
    <m/>
    <s v="13/05/2026"/>
    <m/>
    <m/>
    <m/>
    <m/>
    <s v="KAM"/>
    <s v="27/10/2021"/>
    <s v="ID-03407049000232"/>
    <s v="Aguardando recebimento"/>
    <m/>
    <x v="2"/>
  </r>
  <r>
    <s v="COM69F3C9B3E6777"/>
    <n v="248528"/>
    <s v="30/04/2026 18:29"/>
    <x v="1"/>
    <m/>
    <s v="30/04/2026"/>
    <s v="Aprovado"/>
    <n v="1"/>
    <n v="0"/>
    <n v="216000"/>
    <m/>
    <n v="591255"/>
    <m/>
    <m/>
    <m/>
    <s v="Learning By Doing | Care Plus"/>
    <s v="consulting-ai-sprint-ed8a26_entrega1"/>
    <s v="Marilia Lapelucci"/>
    <m/>
    <s v="02.725.347/0001-27"/>
    <s v="CARE PLUS MEDICINA ASSISTENCIAL LTDA"/>
    <s v="alvaro.carnio@startse.com"/>
    <s v="11916236622"/>
    <s v="1141970000"/>
    <s v="06454040"/>
    <s v="MAMORE"/>
    <s v="687"/>
    <s v="ANDAR 12                  CONJ  1201 1202 1203 1204"/>
    <s v="ALPHAVILLE CENTRO"/>
    <s v="Barueri"/>
    <s v="SP"/>
    <s v="Filial(São Paulo)"/>
    <s v=""/>
    <m/>
    <m/>
    <m/>
    <s v="b247ccf44fbab966bc7d3abccb178212"/>
    <m/>
    <s v="Nao"/>
    <x v="0"/>
    <m/>
    <s v="30/04/2099"/>
    <m/>
    <m/>
    <m/>
    <m/>
    <s v="KAM"/>
    <s v="22/06/2017"/>
    <s v="ID-02725347000127"/>
    <m/>
    <m/>
    <x v="1"/>
  </r>
  <r>
    <s v="COM69F3C9B3E6777"/>
    <n v="248528"/>
    <s v="30/04/2026 18:29"/>
    <x v="1"/>
    <m/>
    <s v="30/04/2026"/>
    <s v="Aprovado"/>
    <n v="1"/>
    <n v="0"/>
    <n v="157500"/>
    <m/>
    <n v="591255"/>
    <m/>
    <m/>
    <m/>
    <s v="Learning By Doing | Care Plus"/>
    <s v="consulting-ai-sprint-ed8a26_entrega2"/>
    <s v="Marilia Lapelucci"/>
    <m/>
    <s v="02.725.347/0001-27"/>
    <s v="CARE PLUS MEDICINA ASSISTENCIAL LTDA"/>
    <s v="alvaro.carnio@startse.com"/>
    <s v="11916236622"/>
    <s v="1141970000"/>
    <s v="06454040"/>
    <s v="MAMORE"/>
    <s v="687"/>
    <s v="ANDAR 12                  CONJ  1201 1202 1203 1204"/>
    <s v="ALPHAVILLE CENTRO"/>
    <s v="Barueri"/>
    <s v="SP"/>
    <s v="Filial(São Paulo)"/>
    <s v=""/>
    <m/>
    <m/>
    <m/>
    <s v="b247ccf44fbab966bc7d3abccb178212"/>
    <m/>
    <s v="Nao"/>
    <x v="0"/>
    <m/>
    <s v="30/04/2099"/>
    <m/>
    <m/>
    <m/>
    <m/>
    <s v="KAM"/>
    <s v="22/06/2017"/>
    <s v="ID-02725347000127"/>
    <m/>
    <m/>
    <x v="1"/>
  </r>
  <r>
    <s v="COM69F3C9B3E6777"/>
    <n v="248528"/>
    <s v="30/04/2026 18:29"/>
    <x v="1"/>
    <m/>
    <s v="30/04/2026"/>
    <s v="Aprovado"/>
    <n v="1"/>
    <n v="0"/>
    <n v="256500"/>
    <m/>
    <n v="591255"/>
    <m/>
    <m/>
    <m/>
    <s v="Learning By Doing | Care Plus"/>
    <s v="consulting-ai-sprint-ed8a26_entrega3"/>
    <s v="Marilia Lapelucci"/>
    <m/>
    <s v="02.725.347/0001-27"/>
    <s v="CARE PLUS MEDICINA ASSISTENCIAL LTDA"/>
    <s v="alvaro.carnio@startse.com"/>
    <s v="11916236622"/>
    <s v="1141970000"/>
    <s v="06454040"/>
    <s v="MAMORE"/>
    <s v="687"/>
    <s v="ANDAR 12                  CONJ  1201 1202 1203 1204"/>
    <s v="ALPHAVILLE CENTRO"/>
    <s v="Barueri"/>
    <s v="SP"/>
    <s v="Filial(São Paulo)"/>
    <s v=""/>
    <m/>
    <m/>
    <m/>
    <s v="b247ccf44fbab966bc7d3abccb178212"/>
    <m/>
    <s v="Nao"/>
    <x v="0"/>
    <m/>
    <s v="30/04/2099"/>
    <m/>
    <m/>
    <m/>
    <m/>
    <s v="KAM"/>
    <s v="22/06/2017"/>
    <s v="ID-02725347000127"/>
    <m/>
    <m/>
    <x v="1"/>
  </r>
  <r>
    <s v="COM69F3C9B3E6777"/>
    <n v="248528"/>
    <s v="30/04/2026 18:29"/>
    <x v="1"/>
    <m/>
    <s v="30/04/2026"/>
    <s v="Aprovado"/>
    <n v="1"/>
    <n v="0"/>
    <n v="0"/>
    <m/>
    <n v="591255"/>
    <m/>
    <m/>
    <m/>
    <s v="Learning By Doing | Care Plus"/>
    <s v="consulting-ai-sprint-ed8a26"/>
    <s v="Marilia Lapelucci"/>
    <m/>
    <s v="02.725.347/0001-27"/>
    <s v="CARE PLUS MEDICINA ASSISTENCIAL LTDA"/>
    <s v="alvaro.carnio@startse.com"/>
    <s v="11916236622"/>
    <s v="1141970000"/>
    <s v="06454040"/>
    <s v="MAMORE"/>
    <s v="687"/>
    <s v="ANDAR 12                  CONJ  1201 1202 1203 1204"/>
    <s v="ALPHAVILLE CENTRO"/>
    <s v="Barueri"/>
    <s v="SP"/>
    <s v="Filial(São Paulo)"/>
    <s v=""/>
    <m/>
    <m/>
    <m/>
    <s v="b247ccf44fbab966bc7d3abccb178212"/>
    <m/>
    <s v="Nao"/>
    <x v="0"/>
    <m/>
    <s v="31/12/2099"/>
    <m/>
    <m/>
    <m/>
    <m/>
    <s v="KAM"/>
    <s v="22/06/2017"/>
    <s v="ID-02725347000127"/>
    <m/>
    <m/>
    <x v="1"/>
  </r>
  <r>
    <s v="COM69F3C5C50180B"/>
    <n v="248524"/>
    <s v="30/04/2026 18:12"/>
    <x v="1"/>
    <m/>
    <s v="30/04/2026"/>
    <s v="Aprovado"/>
    <n v="1"/>
    <n v="0"/>
    <n v="676000"/>
    <m/>
    <n v="938500"/>
    <m/>
    <m/>
    <m/>
    <s v="AI Transformation Program - Consulting Obramax"/>
    <s v="consulting-ai-sprint-ed7a26"/>
    <s v="Gustavo Rodrigues"/>
    <m/>
    <s v="23.476.033/0001-08"/>
    <s v="BMB MATERIAL DE CONSTRUCAO S.A."/>
    <s v="alvaro.carnio@startse.com"/>
    <s v="11986933755"/>
    <s v="1122190619"/>
    <s v="01503001"/>
    <s v="DA LIBERDADE"/>
    <s v="823"/>
    <s v="ANDAR 5 7 8 E 9           CONJ  51/52 E 71 A 94"/>
    <s v="LIBERDADE"/>
    <s v="São Paulo"/>
    <s v="SP"/>
    <s v="Filial(São Paulo)"/>
    <s v=""/>
    <m/>
    <m/>
    <m/>
    <s v="9dd07cdcd47d2acff6a386e84680dc95"/>
    <m/>
    <s v="Nao"/>
    <x v="0"/>
    <m/>
    <s v="31/12/2099"/>
    <m/>
    <m/>
    <m/>
    <m/>
    <s v="KAM"/>
    <s v="20/07/2023"/>
    <s v="ID-23476033000108"/>
    <m/>
    <m/>
    <x v="1"/>
  </r>
  <r>
    <s v="COM69F3C5C50180B"/>
    <n v="248524"/>
    <s v="30/04/2026 18:12"/>
    <x v="1"/>
    <m/>
    <s v="30/04/2026"/>
    <s v="Aprovado"/>
    <n v="1"/>
    <n v="0"/>
    <n v="324000"/>
    <m/>
    <n v="938500"/>
    <m/>
    <m/>
    <m/>
    <s v="AI Transformation Program - Consulting Obramax"/>
    <s v="corporate-jornada-ed30a26"/>
    <s v="Gustavo Rodrigues"/>
    <m/>
    <s v="23.476.033/0001-08"/>
    <s v="BMB MATERIAL DE CONSTRUCAO S.A."/>
    <s v="alvaro.carnio@startse.com"/>
    <s v="11986933755"/>
    <s v="1122190619"/>
    <s v="01503001"/>
    <s v="DA LIBERDADE"/>
    <s v="823"/>
    <s v="ANDAR 5 7 8 E 9           CONJ  51/52 E 71 A 94"/>
    <s v="LIBERDADE"/>
    <s v="São Paulo"/>
    <s v="SP"/>
    <s v="Filial(São Paulo)"/>
    <s v=""/>
    <m/>
    <m/>
    <m/>
    <s v="9dd07cdcd47d2acff6a386e84680dc95"/>
    <m/>
    <s v="Nao"/>
    <x v="0"/>
    <m/>
    <s v="31/12/2099"/>
    <m/>
    <m/>
    <m/>
    <m/>
    <s v="KAM"/>
    <s v="20/07/2023"/>
    <s v="ID-23476033000108"/>
    <m/>
    <m/>
    <x v="1"/>
  </r>
  <r>
    <s v="COM69F3C32C4020C"/>
    <n v="248521"/>
    <s v="30/04/2026 18:01"/>
    <x v="1"/>
    <m/>
    <s v="30/04/2026"/>
    <s v="Aprovado"/>
    <n v="1"/>
    <n v="1"/>
    <n v="80000"/>
    <s v="Multimeios"/>
    <n v="0"/>
    <m/>
    <s v="Multimeios"/>
    <s v="multimeios"/>
    <s v="Projeto Piloto Clientes TOTVS"/>
    <s v="corporate-jornada-ed29a26_pagamento1"/>
    <s v="Waldir Ventura"/>
    <m/>
    <s v="53.113.791/0001-22"/>
    <s v="TOTVS S.A."/>
    <s v="alvaro.carnio@startse.com"/>
    <s v="13991450115"/>
    <s v="1140040015"/>
    <s v="02511000"/>
    <s v="BRAZ LEME"/>
    <s v="1000"/>
    <m/>
    <s v="CASA VERDE"/>
    <s v="São Paulo"/>
    <s v="SP"/>
    <s v="Filial(São Paulo)"/>
    <s v=""/>
    <m/>
    <m/>
    <m/>
    <s v="2bc71cbf7d94356bf0c73c669818015c"/>
    <m/>
    <s v="Nao"/>
    <x v="0"/>
    <m/>
    <s v="30/04/2099"/>
    <m/>
    <m/>
    <m/>
    <m/>
    <s v="KAM"/>
    <s v="13/12/2017"/>
    <s v="ID-53113791000122"/>
    <m/>
    <m/>
    <x v="2"/>
  </r>
  <r>
    <s v="COM69F3C32C4020C"/>
    <n v="248521"/>
    <s v="30/04/2026 18:01"/>
    <x v="1"/>
    <m/>
    <s v="30/04/2026"/>
    <s v="Aprovado"/>
    <n v="1"/>
    <n v="1"/>
    <n v="91000"/>
    <s v="Multimeios"/>
    <n v="0"/>
    <m/>
    <s v="Multimeios"/>
    <s v="multimeios"/>
    <s v="Projeto Piloto Clientes TOTVS"/>
    <s v="corporate-jornada-ed29a26_pagamento2"/>
    <s v="Waldir Ventura"/>
    <m/>
    <s v="53.113.791/0001-22"/>
    <s v="TOTVS S.A."/>
    <s v="alvaro.carnio@startse.com"/>
    <s v="13991450115"/>
    <s v="1140040015"/>
    <s v="02511000"/>
    <s v="BRAZ LEME"/>
    <s v="1000"/>
    <m/>
    <s v="CASA VERDE"/>
    <s v="São Paulo"/>
    <s v="SP"/>
    <s v="Filial(São Paulo)"/>
    <s v=""/>
    <m/>
    <m/>
    <m/>
    <s v="2bc71cbf7d94356bf0c73c669818015c"/>
    <m/>
    <s v="Nao"/>
    <x v="0"/>
    <m/>
    <s v="30/04/2099"/>
    <m/>
    <m/>
    <m/>
    <m/>
    <s v="KAM"/>
    <s v="13/12/2017"/>
    <s v="ID-53113791000122"/>
    <m/>
    <m/>
    <x v="2"/>
  </r>
  <r>
    <s v="COM69F3C32C4020C"/>
    <n v="248521"/>
    <s v="30/04/2026 18:01"/>
    <x v="1"/>
    <m/>
    <s v="30/04/2026"/>
    <s v="Aprovado"/>
    <n v="1"/>
    <n v="1"/>
    <n v="0"/>
    <s v="Multimeios"/>
    <n v="0"/>
    <m/>
    <s v="Multimeios"/>
    <s v="multimeios"/>
    <s v="Projeto Piloto Clientes TOTVS"/>
    <s v="corporate-jornada-ed29a26"/>
    <s v="Waldir Ventura"/>
    <m/>
    <s v="53.113.791/0001-22"/>
    <s v="TOTVS S.A."/>
    <s v="alvaro.carnio@startse.com"/>
    <s v="13991450115"/>
    <s v="1140040015"/>
    <s v="02511000"/>
    <s v="BRAZ LEME"/>
    <s v="1000"/>
    <m/>
    <s v="CASA VERDE"/>
    <s v="São Paulo"/>
    <s v="SP"/>
    <s v="Filial(São Paulo)"/>
    <s v=""/>
    <m/>
    <m/>
    <m/>
    <s v="2bc71cbf7d94356bf0c73c669818015c"/>
    <m/>
    <s v="Nao"/>
    <x v="0"/>
    <m/>
    <s v="31/12/2099"/>
    <m/>
    <m/>
    <m/>
    <m/>
    <s v="KAM"/>
    <s v="13/12/2017"/>
    <s v="ID-53113791000122"/>
    <m/>
    <m/>
    <x v="2"/>
  </r>
  <r>
    <s v="COM69F3BFD669ADB"/>
    <n v="248517"/>
    <s v="30/04/2026 17:47"/>
    <x v="1"/>
    <m/>
    <s v="30/04/2026"/>
    <s v="Aprovado"/>
    <n v="1"/>
    <n v="1"/>
    <n v="150000"/>
    <s v="Multimeios"/>
    <n v="0"/>
    <m/>
    <s v="Multimeios"/>
    <s v="multimeios"/>
    <s v="COMPESA | AI Transformation Program"/>
    <s v="consulting-ai-sprint-ed6a26_fase1_entrega1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144000"/>
    <s v="Multimeios"/>
    <n v="0"/>
    <m/>
    <s v="Multimeios"/>
    <s v="multimeios"/>
    <s v="COMPESA | AI Transformation Program"/>
    <s v="consulting-ai-sprint-ed6a26_fase1_entrega2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144000"/>
    <s v="Multimeios"/>
    <n v="0"/>
    <m/>
    <s v="Multimeios"/>
    <s v="multimeios"/>
    <s v="COMPESA | AI Transformation Program"/>
    <s v="consulting-ai-sprint-ed6a26_fase1_entrega3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144000"/>
    <s v="Multimeios"/>
    <n v="0"/>
    <m/>
    <s v="Multimeios"/>
    <s v="multimeios"/>
    <s v="COMPESA | AI Transformation Program"/>
    <s v="consulting-ai-sprint-ed6a26_fase1_entrega4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1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2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3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4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5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6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7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8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9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10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11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5000"/>
    <s v="Multimeios"/>
    <n v="0"/>
    <m/>
    <s v="Multimeios"/>
    <s v="multimeios"/>
    <s v="COMPESA | AI Transformation Program"/>
    <s v="consulting-ai-sprint-ed6a26_fase2_entrega12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1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2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3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4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5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6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7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8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60000"/>
    <s v="Multimeios"/>
    <n v="0"/>
    <m/>
    <s v="Multimeios"/>
    <s v="multimeios"/>
    <s v="COMPESA | AI Transformation Program"/>
    <s v="consulting-ai-sprint-ed6a26_fase3_entrega9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1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2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3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4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5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6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30000"/>
    <s v="Multimeios"/>
    <n v="0"/>
    <m/>
    <s v="Multimeios"/>
    <s v="multimeios"/>
    <s v="COMPESA | AI Transformation Program"/>
    <s v="consulting-ai-sprint-ed6a26_fase4_entrega7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0/04/2099"/>
    <m/>
    <m/>
    <m/>
    <m/>
    <s v="KAM"/>
    <s v="11/10/2022"/>
    <s v="ID-09769035000164"/>
    <m/>
    <m/>
    <x v="3"/>
  </r>
  <r>
    <s v="COM69F3BFD669ADB"/>
    <n v="248517"/>
    <s v="30/04/2026 17:47"/>
    <x v="1"/>
    <m/>
    <s v="30/04/2026"/>
    <s v="Aprovado"/>
    <n v="1"/>
    <n v="1"/>
    <n v="0"/>
    <s v="Multimeios"/>
    <n v="0"/>
    <m/>
    <s v="Multimeios"/>
    <s v="multimeios"/>
    <s v="COMPESA | AI Transformation Program"/>
    <s v="consulting-ai-sprint-ed6a26"/>
    <s v="Renan Vasconcelos"/>
    <m/>
    <s v="09.769.035/0001-64"/>
    <s v="COMPANHIA PERNAMBUCANA DE SANEAMENTO"/>
    <s v="renancarvalho@compesa.com.br"/>
    <s v="8134129545"/>
    <s v="8134129545"/>
    <s v="50040000"/>
    <s v="CRUZ CABUGA"/>
    <s v="1387"/>
    <m/>
    <s v="SANTO AMARO"/>
    <s v="Recife"/>
    <s v="PE"/>
    <s v="Filial(São Paulo)"/>
    <s v=""/>
    <m/>
    <m/>
    <m/>
    <s v="7b328ad77454ee7916f892b367645e64"/>
    <m/>
    <s v="Nao"/>
    <x v="2"/>
    <m/>
    <s v="31/12/2099"/>
    <m/>
    <m/>
    <m/>
    <m/>
    <s v="KAM"/>
    <s v="11/10/2022"/>
    <s v="ID-09769035000164"/>
    <m/>
    <m/>
    <x v="3"/>
  </r>
  <r>
    <s v="COM69F3BDCC67416"/>
    <n v="248515"/>
    <s v="30/04/2026 17:38"/>
    <x v="1"/>
    <m/>
    <s v="30/04/2026"/>
    <s v="Aprovado"/>
    <n v="1"/>
    <n v="1"/>
    <n v="150000"/>
    <m/>
    <n v="516175"/>
    <s v=""/>
    <s v="TED"/>
    <s v="ted"/>
    <s v="Jornada IA - Liderança Bradesco - Workshop AI_turma1"/>
    <s v="corporate-jornada-ed27a26_Workshop-AI_turma1"/>
    <s v="Juliana de Oliveira Gonçalves"/>
    <m/>
    <s v="60.746.948/0283-94"/>
    <s v="BANCO BRADESCO S.A."/>
    <s v="julianao.goncalves@bradesco.com.br"/>
    <s v="11989844989"/>
    <s v="1133678700"/>
    <s v="01042001"/>
    <s v="BR DE ITAPETININGA"/>
    <s v="107"/>
    <m/>
    <s v="REPUBLICA"/>
    <s v="São Paulo"/>
    <s v="SP"/>
    <s v="Filial(São Paulo)"/>
    <s v="EVENTO XXXXX"/>
    <m/>
    <m/>
    <m/>
    <s v="c76bd04feda92065959908c49c4022f4"/>
    <m/>
    <s v="Nao"/>
    <x v="7"/>
    <m/>
    <s v="31/12/2099"/>
    <m/>
    <m/>
    <m/>
    <m/>
    <s v="KAM"/>
    <s v="04/11/2017"/>
    <s v="ID-60746948028394"/>
    <s v="Aguardando recebimento"/>
    <m/>
    <x v="2"/>
  </r>
  <r>
    <s v="COM69F3BDCC67416"/>
    <n v="248515"/>
    <s v="30/04/2026 17:38"/>
    <x v="1"/>
    <m/>
    <s v="30/04/2026"/>
    <s v="Aprovado"/>
    <n v="1"/>
    <n v="1"/>
    <n v="150000"/>
    <m/>
    <n v="516175"/>
    <s v=""/>
    <s v="TED"/>
    <s v="ted"/>
    <s v="Jornada IA - Liderança Bradesco - Workshop AI_turma2"/>
    <s v="corporate-jornada-ed27a26_Workshop-AI_turma2"/>
    <s v="Juliana de Oliveira Gonçalves"/>
    <m/>
    <s v="60.746.948/0283-94"/>
    <s v="BANCO BRADESCO S.A."/>
    <s v="julianao.goncalves@bradesco.com.br"/>
    <s v="11989844989"/>
    <s v="1133678700"/>
    <s v="01042001"/>
    <s v="BR DE ITAPETININGA"/>
    <s v="107"/>
    <m/>
    <s v="REPUBLICA"/>
    <s v="São Paulo"/>
    <s v="SP"/>
    <s v="Filial(São Paulo)"/>
    <s v="EVENTO XXXXX"/>
    <m/>
    <m/>
    <m/>
    <s v="c76bd04feda92065959908c49c4022f4"/>
    <m/>
    <s v="Nao"/>
    <x v="7"/>
    <m/>
    <s v="31/12/2099"/>
    <m/>
    <m/>
    <m/>
    <m/>
    <s v="KAM"/>
    <s v="04/11/2017"/>
    <s v="ID-60746948028394"/>
    <s v="Aguardando recebimento"/>
    <m/>
    <x v="2"/>
  </r>
  <r>
    <s v="COM69F3BDCC67416"/>
    <n v="248515"/>
    <s v="30/04/2026 17:38"/>
    <x v="1"/>
    <m/>
    <s v="30/04/2026"/>
    <s v="Aprovado"/>
    <n v="1"/>
    <n v="1"/>
    <n v="125000"/>
    <m/>
    <n v="516175"/>
    <s v=""/>
    <s v="TED"/>
    <s v="ted"/>
    <s v="Jornada IA - Liderança Bradesco - Workshop Debriefing_Turma 1"/>
    <s v="corporate-jornada-ed27a26_Workshop-Debriefing_Turma-1"/>
    <s v="Juliana de Oliveira Gonçalves"/>
    <m/>
    <s v="60.746.948/0283-94"/>
    <s v="BANCO BRADESCO S.A."/>
    <s v="julianao.goncalves@bradesco.com.br"/>
    <s v="11989844989"/>
    <s v="1133678700"/>
    <s v="01042001"/>
    <s v="BR DE ITAPETININGA"/>
    <s v="107"/>
    <m/>
    <s v="REPUBLICA"/>
    <s v="São Paulo"/>
    <s v="SP"/>
    <s v="Filial(São Paulo)"/>
    <s v="EVENTO XXXXX"/>
    <m/>
    <m/>
    <m/>
    <s v="c76bd04feda92065959908c49c4022f4"/>
    <m/>
    <s v="Nao"/>
    <x v="7"/>
    <m/>
    <s v="31/12/2099"/>
    <m/>
    <m/>
    <m/>
    <m/>
    <s v="KAM"/>
    <s v="04/11/2017"/>
    <s v="ID-60746948028394"/>
    <s v="Aguardando recebimento"/>
    <m/>
    <x v="2"/>
  </r>
  <r>
    <s v="COM69F3BDCC67416"/>
    <n v="248515"/>
    <s v="30/04/2026 17:38"/>
    <x v="1"/>
    <m/>
    <s v="30/04/2026"/>
    <s v="Aprovado"/>
    <n v="1"/>
    <n v="1"/>
    <n v="125000"/>
    <m/>
    <n v="516175"/>
    <s v=""/>
    <s v="TED"/>
    <s v="ted"/>
    <s v="Jornada IA - Liderança Bradesco - Workshop Debriefing_Turma 2"/>
    <s v="corporate-jornada-ed27a26_Workshop-Debriefing_Turma-2"/>
    <s v="Juliana de Oliveira Gonçalves"/>
    <m/>
    <s v="60.746.948/0283-94"/>
    <s v="BANCO BRADESCO S.A."/>
    <s v="julianao.goncalves@bradesco.com.br"/>
    <s v="11989844989"/>
    <s v="1133678700"/>
    <s v="01042001"/>
    <s v="BR DE ITAPETININGA"/>
    <s v="107"/>
    <m/>
    <s v="REPUBLICA"/>
    <s v="São Paulo"/>
    <s v="SP"/>
    <s v="Filial(São Paulo)"/>
    <s v="EVENTO XXXXX"/>
    <m/>
    <m/>
    <m/>
    <s v="c76bd04feda92065959908c49c4022f4"/>
    <m/>
    <s v="Nao"/>
    <x v="7"/>
    <m/>
    <s v="31/12/2099"/>
    <m/>
    <m/>
    <m/>
    <m/>
    <s v="KAM"/>
    <s v="04/11/2017"/>
    <s v="ID-60746948028394"/>
    <s v="Aguardando recebimento"/>
    <m/>
    <x v="2"/>
  </r>
  <r>
    <s v="COM69F3B7792DA3C"/>
    <n v="248494"/>
    <s v="30/04/2026 17:11"/>
    <x v="1"/>
    <m/>
    <s v="30/04/2026"/>
    <s v="Aprovado"/>
    <n v="15"/>
    <n v="1"/>
    <n v="525000"/>
    <m/>
    <n v="525000"/>
    <s v=""/>
    <s v="TED"/>
    <s v="ted"/>
    <s v="Imersão China 2026 | Clube Nord"/>
    <s v="corporate-china-xperience-ed7a26"/>
    <s v="Felipe Vasconcelos"/>
    <m/>
    <s v="41.833.837/0001-07"/>
    <s v="NORD PARTICIPACOES LTDA"/>
    <s v="felipe.vasconcelos@startse.com"/>
    <s v="11994952727"/>
    <s v="1130871103"/>
    <s v="04534000"/>
    <s v="JOAQUIM FLORIANO"/>
    <s v="100"/>
    <s v="CONJ 171"/>
    <s v="ITAIM BIBI"/>
    <s v="São Paulo"/>
    <s v="SP"/>
    <s v="Turismo - 50%"/>
    <s v="Imersão China"/>
    <m/>
    <m/>
    <m/>
    <s v="2c95ba33d5583711baa30e6085e27f95"/>
    <m/>
    <s v="Nao"/>
    <x v="8"/>
    <m/>
    <s v="23/11/2026"/>
    <m/>
    <m/>
    <s v="https://loja.startse.com.br//processamento/fatura/2c95ba33d5583711baa30e6085e27f95"/>
    <s v="China"/>
    <s v="KAM"/>
    <s v="29/04/2026"/>
    <s v="ID-41833837000107"/>
    <s v="Aguardando recebimento"/>
    <m/>
    <x v="2"/>
  </r>
  <r>
    <s v="COM69F3B44DE9425"/>
    <n v="248492"/>
    <s v="30/04/2026 16:58"/>
    <x v="1"/>
    <m/>
    <s v="30/04/2026"/>
    <s v="Aprovado"/>
    <n v="1"/>
    <n v="1"/>
    <n v="140000"/>
    <m/>
    <n v="131390"/>
    <s v=""/>
    <s v="TED"/>
    <s v="ted"/>
    <s v="BAT - WORKSHOP 5As - Unidade de Produção Agrícola LEAF"/>
    <s v="corporate-workshop-ed36a26"/>
    <s v="Cristiano Munhoz"/>
    <m/>
    <s v="33.009.911/0001-39"/>
    <s v="SOUZA CRUZ LTDA"/>
    <s v="Cristiano_Munhoz@bat.com"/>
    <s v="51999518946"/>
    <s v="2138499047"/>
    <s v="20031170"/>
    <s v="REPUBLICA DO CHILE"/>
    <s v="330"/>
    <s v="BLOCO 1 SALA 3001 SALA 3101"/>
    <s v="Centro"/>
    <s v="Rio de Janeiro"/>
    <s v="RJ"/>
    <s v="Filial(São Paulo)"/>
    <s v="BAT - WORKSHOP 5As - Unidade de Produção Agrícola LEAF"/>
    <m/>
    <m/>
    <m/>
    <s v="5c45f5048f0e6cb12eb21f41486e2ef5"/>
    <m/>
    <s v="Nao"/>
    <x v="10"/>
    <m/>
    <s v="31/12/2099"/>
    <m/>
    <m/>
    <m/>
    <m/>
    <s v="KAM"/>
    <s v="07/05/2018"/>
    <s v="ID-33009911000139"/>
    <s v="Aguardando recebimento"/>
    <m/>
    <x v="2"/>
  </r>
  <r>
    <s v="COM69F3B2BF3872D"/>
    <n v="248486"/>
    <s v="30/04/2026 16:51"/>
    <x v="1"/>
    <m/>
    <s v="30/04/2026"/>
    <s v="Aprovado"/>
    <n v="1"/>
    <n v="1"/>
    <n v="100000"/>
    <s v="Multimeios"/>
    <n v="0"/>
    <m/>
    <s v="Multimeios"/>
    <s v="multimeios"/>
    <s v="Jornada Liderar Executivo 2026 - Solvi Ambiental"/>
    <s v="corporate-jornada-ed28a26_entrega1"/>
    <s v="Felipe Vasconcelos"/>
    <m/>
    <s v="24.554.736/0001-70"/>
    <s v="STARTSE INFORMACOES E SISTEMAS S/A"/>
    <s v="felipe.vasconcelos@startse.com"/>
    <s v="11999457350"/>
    <s v="11999457350"/>
    <s v="04578910"/>
    <s v="DAS NACOES UNIDAS"/>
    <s v="12901"/>
    <s v="EDIF  TORRE NORTE - CENU  CONJ  901 A 902"/>
    <s v="Brooklin Paulista"/>
    <s v="São Paulo"/>
    <s v="SP"/>
    <s v="Filial(São Paulo)"/>
    <s v=""/>
    <m/>
    <m/>
    <m/>
    <s v="7455f76221d05b002cba24da4abd2580"/>
    <m/>
    <s v="Nao"/>
    <x v="8"/>
    <m/>
    <s v="30/06/2099"/>
    <m/>
    <m/>
    <m/>
    <m/>
    <s v="KAM"/>
    <s v="07/11/2016"/>
    <s v="ID-24554736000170"/>
    <m/>
    <m/>
    <x v="2"/>
  </r>
  <r>
    <s v="COM69F3B2BF3872D"/>
    <n v="248486"/>
    <s v="30/04/2026 16:51"/>
    <x v="1"/>
    <m/>
    <s v="30/04/2026"/>
    <s v="Aprovado"/>
    <n v="1"/>
    <n v="1"/>
    <n v="100000"/>
    <s v="Multimeios"/>
    <n v="0"/>
    <m/>
    <s v="Multimeios"/>
    <s v="multimeios"/>
    <s v="Jornada Liderar Executivo 2026 - Solvi Ambiental"/>
    <s v="corporate-jornada-ed28a26_entrega2"/>
    <s v="Felipe Vasconcelos"/>
    <m/>
    <s v="24.554.736/0001-70"/>
    <s v="STARTSE INFORMACOES E SISTEMAS S/A"/>
    <s v="felipe.vasconcelos@startse.com"/>
    <s v="11999457350"/>
    <s v="11999457350"/>
    <s v="04578910"/>
    <s v="DAS NACOES UNIDAS"/>
    <s v="12901"/>
    <s v="EDIF  TORRE NORTE - CENU  CONJ  901 A 902"/>
    <s v="Brooklin Paulista"/>
    <s v="São Paulo"/>
    <s v="SP"/>
    <s v="Filial(São Paulo)"/>
    <s v=""/>
    <m/>
    <m/>
    <m/>
    <s v="7455f76221d05b002cba24da4abd2580"/>
    <m/>
    <s v="Nao"/>
    <x v="8"/>
    <m/>
    <s v="30/08/2099"/>
    <m/>
    <m/>
    <m/>
    <m/>
    <s v="KAM"/>
    <s v="07/11/2016"/>
    <s v="ID-24554736000170"/>
    <m/>
    <m/>
    <x v="2"/>
  </r>
  <r>
    <s v="COM69F3B2BF3872D"/>
    <n v="248486"/>
    <s v="30/04/2026 16:51"/>
    <x v="1"/>
    <m/>
    <s v="30/04/2026"/>
    <s v="Aprovado"/>
    <n v="1"/>
    <n v="1"/>
    <n v="100000"/>
    <s v="Multimeios"/>
    <n v="0"/>
    <m/>
    <s v="Multimeios"/>
    <s v="multimeios"/>
    <s v="Jornada Liderar Executivo 2026 - Solvi Ambiental"/>
    <s v="corporate-jornada-ed28a26_entrega3"/>
    <s v="Felipe Vasconcelos"/>
    <m/>
    <s v="24.554.736/0001-70"/>
    <s v="STARTSE INFORMACOES E SISTEMAS S/A"/>
    <s v="felipe.vasconcelos@startse.com"/>
    <s v="11999457350"/>
    <s v="11999457350"/>
    <s v="04578910"/>
    <s v="DAS NACOES UNIDAS"/>
    <s v="12901"/>
    <s v="EDIF  TORRE NORTE - CENU  CONJ  901 A 902"/>
    <s v="Brooklin Paulista"/>
    <s v="São Paulo"/>
    <s v="SP"/>
    <s v="Filial(São Paulo)"/>
    <s v=""/>
    <m/>
    <m/>
    <m/>
    <s v="7455f76221d05b002cba24da4abd2580"/>
    <m/>
    <s v="Nao"/>
    <x v="8"/>
    <m/>
    <s v="30/10/2099"/>
    <m/>
    <m/>
    <m/>
    <m/>
    <s v="KAM"/>
    <s v="07/11/2016"/>
    <s v="ID-24554736000170"/>
    <m/>
    <m/>
    <x v="2"/>
  </r>
  <r>
    <s v="COM69F3B2BF3872D"/>
    <n v="248486"/>
    <s v="30/04/2026 16:51"/>
    <x v="1"/>
    <m/>
    <s v="30/04/2026"/>
    <s v="Aprovado"/>
    <n v="1"/>
    <n v="1"/>
    <n v="0"/>
    <s v="Multimeios"/>
    <n v="0"/>
    <m/>
    <s v="Multimeios"/>
    <s v="multimeios"/>
    <s v="Jornada Liderar Executivo 2026 - Solvi Ambiental"/>
    <s v="corporate-jornada-ed28a26"/>
    <s v="Felipe Vasconcelos"/>
    <m/>
    <s v="24.554.736/0001-70"/>
    <s v="STARTSE INFORMACOES E SISTEMAS S/A"/>
    <s v="felipe.vasconcelos@startse.com"/>
    <s v="11999457350"/>
    <s v="11999457350"/>
    <s v="04578910"/>
    <s v="DAS NACOES UNIDAS"/>
    <s v="12901"/>
    <s v="EDIF  TORRE NORTE - CENU  CONJ  901 A 902"/>
    <s v="Brooklin Paulista"/>
    <s v="São Paulo"/>
    <s v="SP"/>
    <s v="Filial(São Paulo)"/>
    <s v=""/>
    <m/>
    <m/>
    <m/>
    <s v="7455f76221d05b002cba24da4abd2580"/>
    <m/>
    <s v="Nao"/>
    <x v="8"/>
    <m/>
    <s v="31/12/2099"/>
    <m/>
    <m/>
    <m/>
    <m/>
    <s v="KAM"/>
    <s v="07/11/2016"/>
    <s v="ID-24554736000170"/>
    <m/>
    <m/>
    <x v="2"/>
  </r>
  <r>
    <s v="COM69F3B0794D476"/>
    <n v="248482"/>
    <s v="30/04/2026 16:41"/>
    <x v="1"/>
    <m/>
    <s v="30/04/2026"/>
    <s v="Aprovado"/>
    <n v="6"/>
    <n v="1"/>
    <n v="17100"/>
    <s v="Boleto Bradesco"/>
    <n v="17100"/>
    <s v=""/>
    <s v="Boleto"/>
    <s v="boleto"/>
    <s v="AI Festival 2026 - Ingresso Interactive"/>
    <s v="evento-ia-ed1a26_interactive"/>
    <s v="Mariana Geisel Martins"/>
    <m/>
    <s v="61.186.680/0001-74"/>
    <s v="BANCO BMG S.A"/>
    <s v="mariana.geisel@bancobmg.com.br"/>
    <s v="31988930880"/>
    <s v="1128477486"/>
    <s v="04543900"/>
    <s v="PRES JUSCELINO KUBITSCHEK"/>
    <s v="1830"/>
    <s v="ANDAR 9 10 14 SALA 94 101 102 103"/>
    <s v="VILA NOVA CONCEICAO"/>
    <s v="São Paulo"/>
    <s v="SP"/>
    <s v="Filial(São Paulo)"/>
    <s v="6 Ingressos Festival AI - Categoria Interactive: R$2.850,00 por participante"/>
    <m/>
    <m/>
    <m/>
    <s v="4d67620b2c7e91e807b0b345867767c8"/>
    <m/>
    <s v="Nao"/>
    <x v="7"/>
    <m/>
    <s v="13/05/2026"/>
    <m/>
    <m/>
    <m/>
    <m/>
    <s v="KAM"/>
    <s v="07/08/2017"/>
    <s v="ID-61186680000174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1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07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2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08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3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09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4-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10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5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11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FDD9B70E"/>
    <n v="248478"/>
    <s v="30/04/2026 16:39"/>
    <x v="1"/>
    <m/>
    <s v="30/04/2026"/>
    <s v="Aprovado"/>
    <n v="1"/>
    <n v="1"/>
    <n v="50000"/>
    <m/>
    <n v="281550"/>
    <s v=""/>
    <s v="TED"/>
    <s v="ted"/>
    <s v="Sebrae MT | Desdobramento Estratégico"/>
    <s v="consulting-strategy-deliver-ed3a26_pagamento-06"/>
    <s v="Ricardo Willian Santiago"/>
    <m/>
    <s v="03.534.450/0001-52"/>
    <s v="SERVICO DE APOIO AS MICRO E PEQ. EMPRESAS DO ESTADO DE MATO GROSSO"/>
    <s v="ricardo.santiago@mt.sebrae.com.br"/>
    <s v="65981126467"/>
    <s v="6536485250"/>
    <s v="78049939"/>
    <s v="HISTORIADOR RUBENS DE MENDONCA"/>
    <s v="3999"/>
    <m/>
    <s v="CENTRO POLITICO ADMINISTRATIVO"/>
    <s v="Cuiabá"/>
    <s v="MT"/>
    <s v="Filial(São Paulo)"/>
    <s v="Sebrae MT | Desdobramento Estratégico"/>
    <m/>
    <m/>
    <m/>
    <s v="e865d19f2f9d77e26026611cd8025414"/>
    <m/>
    <s v="Nao"/>
    <x v="2"/>
    <m/>
    <s v="10/12/2026"/>
    <m/>
    <m/>
    <m/>
    <s v="StartSe Consulting,StartSe Consulting,StartSe Consulting,StartSe Consulting,StartSe Consulting,StartSe Consulting"/>
    <s v="KAM"/>
    <s v="16/01/2020"/>
    <s v="ID-03534450000152"/>
    <s v="Aguardando recebimento"/>
    <m/>
    <x v="2"/>
  </r>
  <r>
    <s v="COM69F3AE2A98894"/>
    <n v="248475"/>
    <s v="30/04/2026 16:31"/>
    <x v="1"/>
    <m/>
    <s v="30/04/2026"/>
    <s v="Aprovado"/>
    <n v="1"/>
    <n v="1"/>
    <n v="215000"/>
    <m/>
    <n v="201777.5"/>
    <m/>
    <s v="TED"/>
    <s v="ted"/>
    <s v="Unimed VTRP | Executive in company [2 dias]"/>
    <s v="corporate-workshop-ed39a26"/>
    <s v="Marina Arnhold"/>
    <m/>
    <s v="87.300.448/0001-09"/>
    <s v="UNIMED - COOPERATIVA DE SERVICOS DE SAUDE DOS VALES DO TAQUARI E RIO PARDO LTDA."/>
    <s v="marina.arnhold@unimedvtrp.com.br"/>
    <s v="5192749462"/>
    <s v="5137147100"/>
    <s v="95913148"/>
    <s v="PIRAI"/>
    <s v="155"/>
    <m/>
    <s v="SAO CRISTOVAO"/>
    <s v="Lajeado"/>
    <s v="RS"/>
    <s v="Filial(São Paulo)"/>
    <s v=""/>
    <m/>
    <m/>
    <m/>
    <s v="50f1a8973045d610f6c1b8d5b7f17835"/>
    <m/>
    <s v="Nao"/>
    <x v="6"/>
    <m/>
    <s v="31/12/2099"/>
    <m/>
    <m/>
    <m/>
    <m/>
    <s v="KAM"/>
    <s v="08/02/2018"/>
    <s v="ID-87300448000109"/>
    <m/>
    <m/>
    <x v="2"/>
  </r>
  <r>
    <s v="COM69F3A797191AF"/>
    <n v="248459"/>
    <s v="30/04/2026 16:03"/>
    <x v="1"/>
    <m/>
    <s v="30/04/2026"/>
    <s v="Aprovado"/>
    <n v="1"/>
    <n v="1"/>
    <n v="80000"/>
    <m/>
    <n v="187700"/>
    <s v=""/>
    <s v="TED"/>
    <s v="ted"/>
    <s v="Workshop AI - ELO / SP"/>
    <s v="corporate-jornada-ed26a26_pagamento1"/>
    <s v="Paula Montoni"/>
    <m/>
    <s v="09.227.084/0001-75"/>
    <s v="ELO SERVICOS S.A."/>
    <s v="paula.montoni@elo.com.br"/>
    <s v="21971523772"/>
    <s v="1152423300"/>
    <s v="06455030"/>
    <s v="XINGU"/>
    <s v="512"/>
    <s v="ANDAR 5 E 6"/>
    <s v="ALPHAVILLE CENTRO INDUSTRIAL E EMPRESARIAL"/>
    <s v="Barueri"/>
    <s v="SP"/>
    <s v="Filial(São Paulo)"/>
    <s v="Workshop AI - ELO / SP, Workshop AI - ELO / SP"/>
    <m/>
    <m/>
    <m/>
    <s v="38d160ee3cf9091c6469ce86b9dce022"/>
    <m/>
    <s v="Nao"/>
    <x v="4"/>
    <m/>
    <s v="30/04/2099"/>
    <m/>
    <m/>
    <m/>
    <m/>
    <s v="KAM"/>
    <s v="10/09/2018"/>
    <s v="ID-09227084000175"/>
    <s v="Aguardando recebimento"/>
    <m/>
    <x v="2"/>
  </r>
  <r>
    <s v="COM69F3A797191AF"/>
    <n v="248459"/>
    <s v="30/04/2026 16:03"/>
    <x v="1"/>
    <m/>
    <s v="30/04/2026"/>
    <s v="Aprovado"/>
    <n v="1"/>
    <n v="1"/>
    <n v="120000"/>
    <m/>
    <n v="187700"/>
    <s v=""/>
    <s v="TED"/>
    <s v="ted"/>
    <s v="Workshop AI - ELO / SP"/>
    <s v="corporate-jornada-ed26a26_pagamento2"/>
    <s v="Paula Montoni"/>
    <m/>
    <s v="09.227.084/0001-75"/>
    <s v="ELO SERVICOS S.A."/>
    <s v="paula.montoni@elo.com.br"/>
    <s v="21971523772"/>
    <s v="1152423300"/>
    <s v="06455030"/>
    <s v="XINGU"/>
    <s v="512"/>
    <s v="ANDAR 5 E 6"/>
    <s v="ALPHAVILLE CENTRO INDUSTRIAL E EMPRESARIAL"/>
    <s v="Barueri"/>
    <s v="SP"/>
    <s v="Filial(São Paulo)"/>
    <s v="Workshop AI - ELO / SP, Workshop AI - ELO / SP"/>
    <m/>
    <m/>
    <m/>
    <s v="38d160ee3cf9091c6469ce86b9dce022"/>
    <m/>
    <s v="Nao"/>
    <x v="4"/>
    <m/>
    <s v="27/05/2099"/>
    <m/>
    <m/>
    <m/>
    <m/>
    <s v="KAM"/>
    <s v="10/09/2018"/>
    <s v="ID-09227084000175"/>
    <s v="Aguardando recebimento"/>
    <m/>
    <x v="2"/>
  </r>
  <r>
    <s v="COM69F39D4B6888E"/>
    <n v="248448"/>
    <s v="30/04/2026 15:19"/>
    <x v="1"/>
    <m/>
    <s v="30/04/2026"/>
    <s v="Aprovado"/>
    <n v="1"/>
    <n v="1"/>
    <n v="1050000"/>
    <m/>
    <n v="1050000"/>
    <s v=""/>
    <s v="TED"/>
    <s v="ted"/>
    <s v="Imersão China [Beef Club] | MSD"/>
    <s v="corporate-china-xperience-ed8a26"/>
    <s v="Lais Vieira"/>
    <m/>
    <s v="07.954.091/0001-43"/>
    <s v="MERCK SHARP &amp;amp; DOHME SAUDE ANIMAL LTDA"/>
    <s v="lais.vieira@msd.com"/>
    <s v="19971456361"/>
    <s v="1151897700"/>
    <s v="12730340"/>
    <s v="CORONEL BENTO SOARES"/>
    <s v="530"/>
    <s v="ANEXO PARTE SALA GERENCIA DE PLANTA"/>
    <s v="ITAGACABA"/>
    <s v="Cruzeiro"/>
    <s v="SP"/>
    <s v="Turismo - 50%"/>
    <s v="Imersão China [Beef Club] | MSD"/>
    <m/>
    <m/>
    <m/>
    <s v="da73c676bd9ab9560b7868beb33835bb"/>
    <m/>
    <s v="Nao"/>
    <x v="6"/>
    <m/>
    <s v="02/11/2026"/>
    <m/>
    <m/>
    <s v="https://loja.startse.com.br//processamento/fatura/da73c676bd9ab9560b7868beb33835bb"/>
    <s v="China"/>
    <s v="KAM"/>
    <s v="14/03/2019"/>
    <s v="ID-07954091000143"/>
    <s v="Aguardando recebimento"/>
    <m/>
    <x v="2"/>
  </r>
  <r>
    <s v="COM69F394A14367B"/>
    <n v="248438"/>
    <s v="30/04/2026 14:42"/>
    <x v="1"/>
    <m/>
    <s v="30/04/2026"/>
    <s v="Aprovado"/>
    <n v="1"/>
    <n v="1"/>
    <n v="0"/>
    <m/>
    <n v="0"/>
    <s v=""/>
    <s v="Cortesia"/>
    <s v="cortesia"/>
    <s v="Executive Program - 24 a 26 de Agosto de 2026"/>
    <s v="executive-program-ed8a26"/>
    <s v="Fabio Bielenki Hadid"/>
    <s v="04475383900"/>
    <m/>
    <m/>
    <s v="fabio.hadid@unimedpr.coop.br"/>
    <s v="5544997727374"/>
    <m/>
    <s v="04578-910"/>
    <s v="Avenida das Nações Unidas"/>
    <s v="12901"/>
    <m/>
    <s v="Brooklin Paulista"/>
    <s v="São Paulo"/>
    <s v="SP"/>
    <s v="Filial(São Paulo)"/>
    <s v="Executive Program - 24 a 26 de Agosto de 2026"/>
    <m/>
    <m/>
    <m/>
    <s v="c86567e308420356b292ec620380ff05"/>
    <m/>
    <s v="Nao"/>
    <x v="6"/>
    <m/>
    <s v="24/08/2026"/>
    <m/>
    <m/>
    <m/>
    <m/>
    <s v="KAM"/>
    <m/>
    <s v="ID-04475383900"/>
    <m/>
    <m/>
    <x v="1"/>
  </r>
  <r>
    <s v="COM69F38F1055403"/>
    <n v="248428"/>
    <s v="30/04/2026 14:19"/>
    <x v="1"/>
    <m/>
    <s v="30/04/2026"/>
    <s v="Aprovado"/>
    <n v="1"/>
    <n v="1"/>
    <n v="108000"/>
    <s v="Multimeios"/>
    <n v="0"/>
    <m/>
    <s v="Multimeios"/>
    <s v="multimeios"/>
    <s v="Programa de liderança - AeC"/>
    <s v="corporate-jornada-ed24a26_pagamento1"/>
    <s v="Jacikelly Lucio"/>
    <m/>
    <s v="02.455.233/0001-04"/>
    <s v="AEC CENTRO DE CONTATOS S/A"/>
    <s v="jacikelly.gomes@aec.com.br"/>
    <s v="8391233088"/>
    <s v="3135157000"/>
    <s v="30150050"/>
    <s v="SAPUCAI"/>
    <s v="429"/>
    <m/>
    <s v="FLORESTA"/>
    <s v="Belo Horizonte"/>
    <s v="MG"/>
    <s v="Filial(São Paulo)"/>
    <s v=""/>
    <m/>
    <m/>
    <m/>
    <s v="aeb5dbacf8cdf0d976959c4d7f5da589"/>
    <m/>
    <s v="Nao"/>
    <x v="4"/>
    <m/>
    <s v="18/06/2099"/>
    <m/>
    <m/>
    <m/>
    <m/>
    <s v="KAM"/>
    <s v="14/11/2019"/>
    <s v="ID-02455233000104"/>
    <m/>
    <m/>
    <x v="2"/>
  </r>
  <r>
    <s v="COM69F38F1055403"/>
    <n v="248428"/>
    <s v="30/04/2026 14:19"/>
    <x v="1"/>
    <m/>
    <s v="30/04/2026"/>
    <s v="Aprovado"/>
    <n v="1"/>
    <n v="1"/>
    <n v="162000"/>
    <s v="Multimeios"/>
    <n v="0"/>
    <m/>
    <s v="Multimeios"/>
    <s v="multimeios"/>
    <s v="Programa de liderança - AeC"/>
    <s v="corporate-jornada-ed24a26_pagamento2"/>
    <s v="Jacikelly Lucio"/>
    <m/>
    <s v="02.455.233/0001-04"/>
    <s v="AEC CENTRO DE CONTATOS S/A"/>
    <s v="jacikelly.gomes@aec.com.br"/>
    <s v="8391233088"/>
    <s v="3135157000"/>
    <s v="30150050"/>
    <s v="SAPUCAI"/>
    <s v="429"/>
    <m/>
    <s v="FLORESTA"/>
    <s v="Belo Horizonte"/>
    <s v="MG"/>
    <s v="Filial(São Paulo)"/>
    <s v=""/>
    <m/>
    <m/>
    <m/>
    <s v="aeb5dbacf8cdf0d976959c4d7f5da589"/>
    <m/>
    <s v="Nao"/>
    <x v="4"/>
    <m/>
    <s v="30/06/2099"/>
    <m/>
    <m/>
    <m/>
    <m/>
    <s v="KAM"/>
    <s v="14/11/2019"/>
    <s v="ID-02455233000104"/>
    <m/>
    <m/>
    <x v="2"/>
  </r>
  <r>
    <s v="COM69F38F1055403"/>
    <n v="248428"/>
    <s v="30/04/2026 14:19"/>
    <x v="1"/>
    <m/>
    <s v="30/04/2026"/>
    <s v="Aprovado"/>
    <n v="1"/>
    <n v="1"/>
    <n v="0"/>
    <s v="Multimeios"/>
    <n v="0"/>
    <m/>
    <s v="Multimeios"/>
    <s v="multimeios"/>
    <s v="Programa de liderança - AeC"/>
    <s v="corporate-jornada-ed24a26"/>
    <s v="Jacikelly Lucio"/>
    <m/>
    <s v="02.455.233/0001-04"/>
    <s v="AEC CENTRO DE CONTATOS S/A"/>
    <s v="jacikelly.gomes@aec.com.br"/>
    <s v="8391233088"/>
    <s v="3135157000"/>
    <s v="30150050"/>
    <s v="SAPUCAI"/>
    <s v="429"/>
    <m/>
    <s v="FLORESTA"/>
    <s v="Belo Horizonte"/>
    <s v="MG"/>
    <s v="Filial(São Paulo)"/>
    <s v=""/>
    <m/>
    <m/>
    <m/>
    <s v="aeb5dbacf8cdf0d976959c4d7f5da589"/>
    <m/>
    <s v="Nao"/>
    <x v="4"/>
    <m/>
    <s v="31/12/2099"/>
    <m/>
    <m/>
    <m/>
    <m/>
    <s v="KAM"/>
    <s v="14/11/2019"/>
    <s v="ID-02455233000104"/>
    <m/>
    <m/>
    <x v="2"/>
  </r>
  <r>
    <s v="COM69F38105A4D83"/>
    <n v="248416"/>
    <s v="30/04/2026 13:19"/>
    <x v="1"/>
    <m/>
    <s v="30/04/2026"/>
    <s v="Aprovado"/>
    <n v="1"/>
    <n v="1"/>
    <n v="0"/>
    <m/>
    <n v="0"/>
    <s v=""/>
    <s v="Cortesia"/>
    <s v="cortesia"/>
    <s v="SLD - Os frameworks da nova economia"/>
    <s v="comunidade-ed2a26"/>
    <s v="Diogo Marcondes Gonçalves Monteiro"/>
    <s v="36805412870"/>
    <m/>
    <m/>
    <s v="diogo.monteiro@bayer.com"/>
    <s v="5511987942324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38604e6c8b5365a8792439146182ac5d"/>
    <m/>
    <s v="Nao"/>
    <x v="10"/>
    <m/>
    <s v="15/05/2026"/>
    <m/>
    <m/>
    <m/>
    <s v="Brasil"/>
    <s v="KAM"/>
    <m/>
    <s v="ID-36805412870"/>
    <m/>
    <m/>
    <x v="1"/>
  </r>
  <r>
    <s v="COM69F37CFD33B9A"/>
    <n v="248408"/>
    <s v="30/04/2026 13:02"/>
    <x v="1"/>
    <m/>
    <s v="30/04/2026"/>
    <s v="Aprovado"/>
    <n v="1"/>
    <n v="1"/>
    <n v="0"/>
    <m/>
    <n v="0"/>
    <s v=""/>
    <s v="Cortesia"/>
    <s v="cortesia"/>
    <s v="SLD - Os frameworks da nova economia"/>
    <s v="comunidade-ed2a26"/>
    <s v="Grasielle Abreu E Silva Paviani Zanoni"/>
    <s v="06313394933"/>
    <m/>
    <m/>
    <s v="grasielle.silva@cnh.com"/>
    <s v="5515996900906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bdcf137426a3383d05aa6ea157c5c722"/>
    <m/>
    <s v="Nao"/>
    <x v="10"/>
    <m/>
    <s v="15/05/2026"/>
    <m/>
    <m/>
    <m/>
    <s v="Brasil"/>
    <s v="KAM"/>
    <m/>
    <s v="ID-06313394933"/>
    <m/>
    <m/>
    <x v="1"/>
  </r>
  <r>
    <s v="ORDA91FEKI10DCB8"/>
    <n v="248406"/>
    <s v="30/04/2026 12:39"/>
    <x v="1"/>
    <m/>
    <s v="30/04/2026"/>
    <s v="Aprovado"/>
    <n v="1"/>
    <n v="1"/>
    <n v="2700"/>
    <s v="Braintree"/>
    <n v="2700"/>
    <s v="28974115835I48INQ1PE"/>
    <s v="Crédito à Vista"/>
    <s v="visa"/>
    <s v="AI para Negócios - Imersão Presencial -  28 e 29 de Maio de 2026"/>
    <s v="imersao-presencial-de-ai-ed9a26"/>
    <s v="Renato Lima De Mauro Jr"/>
    <s v="38312455841"/>
    <m/>
    <m/>
    <s v="renato.demauro@hotmail.com"/>
    <s v="11991939484"/>
    <m/>
    <s v="04709010"/>
    <s v="Rua do Estilo Barroco"/>
    <s v="467"/>
    <s v="34"/>
    <s v="Chácara Santo Antônio (Zona Sul)"/>
    <s v="São Paulo"/>
    <s v="SP"/>
    <s v="Filial(São Paulo)"/>
    <m/>
    <m/>
    <m/>
    <m/>
    <s v="c2f1a8554c857e2a004f1fb3e3ac7842"/>
    <s v="off-brasilata-ai"/>
    <s v="Nao"/>
    <x v="0"/>
    <m/>
    <s v="28/05/2026"/>
    <m/>
    <m/>
    <m/>
    <m/>
    <s v="KAM"/>
    <s v="30/04/2026"/>
    <s v="ID-38312455841"/>
    <m/>
    <m/>
    <x v="0"/>
  </r>
  <r>
    <s v="COM69F372E230506"/>
    <n v="248404"/>
    <s v="30/04/2026 12:18"/>
    <x v="1"/>
    <m/>
    <s v="30/04/2026"/>
    <s v="Aprovado"/>
    <n v="1"/>
    <n v="1"/>
    <n v="0"/>
    <m/>
    <n v="0"/>
    <s v=""/>
    <s v="Cortesia"/>
    <s v="cortesia"/>
    <s v="SLD - Os frameworks da nova economia"/>
    <s v="comunidade-ed2a26"/>
    <s v="Adriana Florizi"/>
    <s v="14045784802"/>
    <m/>
    <m/>
    <s v="adriana.florizi@oracle.com"/>
    <s v="11974091968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df16820aab01062e7ce893a6db161a91"/>
    <m/>
    <s v="Nao"/>
    <x v="10"/>
    <m/>
    <s v="15/05/2026"/>
    <m/>
    <m/>
    <m/>
    <s v="Brasil"/>
    <s v="KAM"/>
    <m/>
    <s v="ID-14045784802"/>
    <m/>
    <m/>
    <x v="1"/>
  </r>
  <r>
    <s v="COM69F371500617B"/>
    <n v="248403"/>
    <s v="30/04/2026 12:12"/>
    <x v="1"/>
    <m/>
    <s v="30/04/2026"/>
    <s v="Aprovado"/>
    <n v="1"/>
    <n v="1"/>
    <n v="0"/>
    <m/>
    <n v="0"/>
    <s v=""/>
    <s v="Cortesia"/>
    <s v="cortesia"/>
    <s v="SLD - Os frameworks da nova economia"/>
    <s v="comunidade-ed2a26"/>
    <s v="NIELLEN FRANCINI SOUZA DOS SANTOS"/>
    <s v="36158173894"/>
    <m/>
    <m/>
    <s v="niellen.santos@bayer.com"/>
    <s v="1194185005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2960125537e537bdd0f11615929485ea"/>
    <m/>
    <s v="Nao"/>
    <x v="10"/>
    <m/>
    <s v="15/05/2026"/>
    <m/>
    <m/>
    <m/>
    <s v="Brasil"/>
    <s v="KAM"/>
    <m/>
    <s v="ID-36158173894"/>
    <m/>
    <m/>
    <x v="1"/>
  </r>
  <r>
    <s v="COM69F36FE85078A"/>
    <n v="248402"/>
    <s v="30/04/2026 12:06"/>
    <x v="1"/>
    <m/>
    <m/>
    <s v="Aprovado"/>
    <n v="1"/>
    <n v="1"/>
    <n v="0"/>
    <m/>
    <n v="0"/>
    <s v=""/>
    <s v="Cortesia"/>
    <s v="cortesia"/>
    <s v="AI Festival 2026 - Ingresso Platinum"/>
    <s v="evento-ia-ed1a26_platinum"/>
    <s v="Jaqueline Machado"/>
    <s v="28499817882"/>
    <m/>
    <m/>
    <s v="Jaqueline.machado@btgpactual.com"/>
    <s v="5511964332116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ecd2628e7f9ca158c9a7e2c38bf4e5b1"/>
    <m/>
    <s v="Nao"/>
    <x v="7"/>
    <m/>
    <s v="13/05/2026"/>
    <m/>
    <m/>
    <m/>
    <m/>
    <s v="KAM"/>
    <m/>
    <s v="ID-28499817882"/>
    <m/>
    <m/>
    <x v="1"/>
  </r>
  <r>
    <s v="ORDQXYJY75RG6DFD"/>
    <n v="248401"/>
    <s v="30/04/2026 12:05"/>
    <x v="1"/>
    <m/>
    <s v="30/04/2026"/>
    <s v="Aprovado"/>
    <n v="2"/>
    <n v="1"/>
    <n v="5400"/>
    <s v="Braintree"/>
    <n v="5400"/>
    <s v="28974115835I48IMCMOE"/>
    <s v="Crédito à Vista"/>
    <s v="mastercard"/>
    <s v="AI para Negócios - Imersão Presencial -  28 e 29 de Maio de 2026"/>
    <s v="imersao-presencial-de-ai-ed9a26"/>
    <s v="JULIANA CORDEIRO"/>
    <s v="31600276865"/>
    <m/>
    <m/>
    <s v="juliana.cordeiro@brasilata.com.br"/>
    <s v="11966481513"/>
    <m/>
    <s v="05025020"/>
    <s v="Rua Guiara"/>
    <s v="371"/>
    <s v="ap 42"/>
    <s v="Vila Pompéia"/>
    <s v="São Paulo"/>
    <s v="SP"/>
    <s v="Filial(São Paulo)"/>
    <m/>
    <m/>
    <m/>
    <m/>
    <s v="7d86e8c0dec1f8f183d51315fa59295c"/>
    <s v="off-brasilata-ai"/>
    <s v="Nao"/>
    <x v="0"/>
    <m/>
    <s v="28/05/2026"/>
    <m/>
    <m/>
    <m/>
    <m/>
    <s v="KAM"/>
    <s v="12/03/2024"/>
    <s v="ID-31600276865"/>
    <m/>
    <m/>
    <x v="0"/>
  </r>
  <r>
    <s v="COM69F36F4BBFEAC"/>
    <n v="248400"/>
    <s v="30/04/2026 12:03"/>
    <x v="1"/>
    <m/>
    <s v="30/04/2026"/>
    <s v="Aprovado"/>
    <n v="1"/>
    <n v="1"/>
    <n v="0"/>
    <m/>
    <n v="0"/>
    <s v=""/>
    <s v="Cortesia"/>
    <s v="cortesia"/>
    <s v="SLD - Os frameworks da nova economia"/>
    <s v="comunidade-ed2a26"/>
    <s v="Vanessa Cristina da Silva"/>
    <s v="26348092801"/>
    <m/>
    <m/>
    <s v="Vanessa.silva6@assai.com.br"/>
    <s v="5511940455033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84567b0fe7325497a4325c0dce4849d3"/>
    <m/>
    <s v="Nao"/>
    <x v="0"/>
    <m/>
    <s v="15/05/2026"/>
    <m/>
    <m/>
    <m/>
    <s v="Brasil"/>
    <s v="KAM"/>
    <s v="22/11/2018"/>
    <s v="ID-26348092801"/>
    <m/>
    <m/>
    <x v="1"/>
  </r>
  <r>
    <s v="COM69F36ED25473C"/>
    <n v="248399"/>
    <s v="30/04/2026 12:01"/>
    <x v="1"/>
    <m/>
    <s v="30/04/2026"/>
    <s v="Aprovado"/>
    <n v="1"/>
    <n v="1"/>
    <n v="0"/>
    <m/>
    <n v="0"/>
    <s v=""/>
    <s v="Cortesia"/>
    <s v="cortesia"/>
    <s v="Executive Program - 24 a 26 de Agosto de 2026"/>
    <s v="executive-program-ed8a26"/>
    <s v="Soraya Bahde"/>
    <s v="30852448830"/>
    <m/>
    <m/>
    <s v="soraya.bahde@bradesco.com.br"/>
    <s v="5511942353344"/>
    <m/>
    <s v="04578-910"/>
    <s v="Avenida das Nações Unidas, 12901"/>
    <s v="12901"/>
    <m/>
    <s v="Brooklin Paulista"/>
    <s v="São Paulo"/>
    <s v="SP"/>
    <s v="Filial(São Paulo)"/>
    <s v="Executive Program - 24 a 26 de Agosto de 2026"/>
    <m/>
    <m/>
    <m/>
    <s v="3e0d69e42f8eb0ab7c66db48361f7374"/>
    <m/>
    <s v="Nao"/>
    <x v="7"/>
    <m/>
    <s v="24/08/2026"/>
    <m/>
    <m/>
    <m/>
    <m/>
    <s v="KAM"/>
    <m/>
    <s v="ID-30852448830"/>
    <m/>
    <m/>
    <x v="1"/>
  </r>
  <r>
    <s v="COM69F36DA2A2E02"/>
    <n v="248398"/>
    <s v="30/04/2026 11:56"/>
    <x v="1"/>
    <m/>
    <s v="30/04/2026"/>
    <s v="Aprovado"/>
    <n v="2"/>
    <n v="1"/>
    <n v="70000"/>
    <m/>
    <n v="70000"/>
    <s v=""/>
    <s v="TED"/>
    <s v="ted"/>
    <s v="Imersão China Exclusiva | Franqueados MC Donalds"/>
    <s v="corporate-china-xperience-ed2a26"/>
    <s v="Luisa Santi"/>
    <m/>
    <s v="42.591.651/0001-43"/>
    <s v="ARCOS DOURADOS COMERCIO DE ALIMENTOS SA"/>
    <s v="luisa.sens@br.mcd.com"/>
    <s v="11941132386"/>
    <s v="1141969800"/>
    <s v="06454070"/>
    <s v="AMAZONAS"/>
    <s v="253"/>
    <m/>
    <s v="ALPHAVILLE INDUSTRIAL"/>
    <s v="Barueri"/>
    <s v="SP"/>
    <s v="Turismo - 50%"/>
    <s v="Imersão China Exclusiva | Franqueados MC Donalds"/>
    <m/>
    <m/>
    <m/>
    <s v="a5f320fa85947d5f53b85a2d40e24b8f"/>
    <m/>
    <s v="Nao"/>
    <x v="0"/>
    <m/>
    <s v="07/09/2026"/>
    <m/>
    <m/>
    <s v="https://loja.startse.com.br//processamento/fatura/a5f320fa85947d5f53b85a2d40e24b8f"/>
    <s v="China"/>
    <s v="KAM"/>
    <s v="08/08/2018"/>
    <s v="ID-42591651000143"/>
    <s v="Aguardando recebimento"/>
    <m/>
    <x v="2"/>
  </r>
  <r>
    <s v="COM69F36D0CA5EF4"/>
    <n v="248397"/>
    <s v="30/04/2026 11:54"/>
    <x v="1"/>
    <m/>
    <s v="30/04/2026"/>
    <s v="Aprovado"/>
    <n v="3"/>
    <n v="1"/>
    <n v="6150"/>
    <m/>
    <n v="6150"/>
    <s v=""/>
    <s v="TED"/>
    <s v="ted"/>
    <s v="AI Festival 2026 - Ingresso Explorer"/>
    <s v="evento-ia-ed1a26_explorer"/>
    <s v="Priscila Hermsdorff Pontes"/>
    <m/>
    <s v="60.746.948/0283-94"/>
    <s v="BANCO BRADESCO S.A."/>
    <s v="priscila.pontes@bradesco.com.br"/>
    <s v="1133678700"/>
    <s v="11336787001"/>
    <s v="01042001"/>
    <s v="BR DE ITAPETININGA"/>
    <s v="107"/>
    <m/>
    <s v="REPUBLICA"/>
    <s v="São Paulo"/>
    <s v="SP"/>
    <s v="Filial(São Paulo)"/>
    <s v="Evento: 50370912 - AI Festival 2026 - 3 Ingressos - Categoria Explorer"/>
    <m/>
    <m/>
    <m/>
    <s v="17573bb46e747297e2c4a515f3d64bf6"/>
    <m/>
    <s v="Nao"/>
    <x v="7"/>
    <m/>
    <s v="13/05/2026"/>
    <m/>
    <m/>
    <m/>
    <m/>
    <s v="KAM"/>
    <s v="04/11/2017"/>
    <s v="ID-60746948028394"/>
    <s v="Aguardando recebimento"/>
    <m/>
    <x v="2"/>
  </r>
  <r>
    <s v="COM69F2A90429848"/>
    <n v="248341"/>
    <s v="29/04/2026 21:57"/>
    <x v="1"/>
    <m/>
    <s v="29/04/2026"/>
    <s v="Aprovado"/>
    <n v="1"/>
    <n v="1"/>
    <n v="0"/>
    <m/>
    <n v="0"/>
    <s v=""/>
    <s v="Cortesia"/>
    <s v="cortesia"/>
    <s v="SLD - Os frameworks da nova economia"/>
    <s v="comunidade-ed2a26"/>
    <s v="Bárbara Crespo Rocha"/>
    <s v="01482522063"/>
    <m/>
    <m/>
    <s v="barbarascrespo@gmail.com"/>
    <s v="5551999921779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50a760fef090a40f593011ebf162f758"/>
    <m/>
    <s v="Nao"/>
    <x v="7"/>
    <m/>
    <s v="15/05/2026"/>
    <m/>
    <m/>
    <m/>
    <s v="Brasil"/>
    <s v="KAM"/>
    <s v="29/10/2024"/>
    <s v="ID-01482522063"/>
    <m/>
    <m/>
    <x v="1"/>
  </r>
  <r>
    <s v="COM69F2A3DF821BA"/>
    <n v="248339"/>
    <s v="29/04/2026 21:35"/>
    <x v="1"/>
    <m/>
    <m/>
    <s v="Aprovado"/>
    <n v="1"/>
    <n v="1"/>
    <n v="0"/>
    <m/>
    <n v="0"/>
    <s v=""/>
    <s v="Cortesia"/>
    <s v="cortesia"/>
    <s v="AI Festival 2026 - Ingresso Platinum"/>
    <s v="evento-ia-ed1a26_platinum"/>
    <s v="Rodrigo Antelo Callisperis"/>
    <s v="17333650871"/>
    <m/>
    <m/>
    <s v="Rodrigo.callisperis@assai.com.br"/>
    <s v="5511942556009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d06287456681dc124362e4b71dd4301a"/>
    <m/>
    <s v="Nao"/>
    <x v="0"/>
    <m/>
    <s v="13/05/2026"/>
    <m/>
    <m/>
    <m/>
    <m/>
    <s v="KAM"/>
    <m/>
    <s v="ID-17333650871"/>
    <m/>
    <m/>
    <x v="1"/>
  </r>
  <r>
    <s v="COM69F2A26D70059"/>
    <n v="248337"/>
    <s v="29/04/2026 21:29"/>
    <x v="1"/>
    <m/>
    <s v="29/04/2026"/>
    <s v="Aprovado"/>
    <n v="1"/>
    <n v="1"/>
    <n v="0"/>
    <m/>
    <n v="0"/>
    <s v=""/>
    <s v="Cortesia"/>
    <s v="cortesia"/>
    <s v="SLD - Os frameworks da nova economia"/>
    <s v="comunidade-ed2a26"/>
    <s v="Mario Lavacca"/>
    <s v="29566906803"/>
    <m/>
    <m/>
    <s v="mario.lavacca@basf.com"/>
    <s v="5511999982476"/>
    <m/>
    <s v="04578-910"/>
    <s v="Avenida das Nações Unidas"/>
    <s v="12901"/>
    <m/>
    <s v="Brooklin Paulista"/>
    <s v="São Paulo"/>
    <s v="SP"/>
    <s v="Filial(São Paulo)"/>
    <s v="SLD - Os frameworks da nova economia"/>
    <m/>
    <m/>
    <m/>
    <s v="183326f1e7d0c76cd5bcf556b797f27c"/>
    <m/>
    <s v="Nao"/>
    <x v="10"/>
    <m/>
    <s v="15/05/2026"/>
    <m/>
    <m/>
    <m/>
    <s v="Brasil"/>
    <s v="KAM"/>
    <m/>
    <s v="ID-29566906803"/>
    <m/>
    <m/>
    <x v="1"/>
  </r>
  <r>
    <s v="COM69F2A10ACAE1C"/>
    <n v="248336"/>
    <s v="29/04/2026 21:23"/>
    <x v="1"/>
    <m/>
    <m/>
    <s v="Aprovado"/>
    <n v="1"/>
    <n v="1"/>
    <n v="0"/>
    <m/>
    <n v="0"/>
    <s v=""/>
    <s v="Cortesia"/>
    <s v="cortesia"/>
    <s v="AI Festival 2026 - Ingresso Platinum"/>
    <s v="evento-ia-ed1a26_platinum"/>
    <s v="Eduardo Vasconcelos"/>
    <s v="14672228878"/>
    <m/>
    <m/>
    <s v="Vasco@bancobmg.com.br"/>
    <s v="5511998238713"/>
    <m/>
    <s v="04578-910"/>
    <s v="Avenida das Nações Unidas"/>
    <s v="12901"/>
    <m/>
    <s v="Brooklin Paulista"/>
    <s v="São Paulo"/>
    <s v="SP"/>
    <s v="Filial(São Paulo)"/>
    <s v="AI Festival 2026 - Ingresso Platinum"/>
    <m/>
    <m/>
    <m/>
    <s v="c16a5e1af395d0269b86bc9d67165968"/>
    <m/>
    <s v="Nao"/>
    <x v="7"/>
    <m/>
    <s v="13/05/2026"/>
    <m/>
    <m/>
    <m/>
    <m/>
    <s v="KAM"/>
    <s v="30/04/2026"/>
    <s v="ID-14672228878"/>
    <m/>
    <m/>
    <x v="1"/>
  </r>
  <r>
    <s v="COM69F29BC558765"/>
    <n v="248334"/>
    <s v="29/04/2026 21:01"/>
    <x v="1"/>
    <m/>
    <s v="29/04/2026"/>
    <s v="Aprovado"/>
    <n v="1"/>
    <n v="1"/>
    <n v="0"/>
    <m/>
    <n v="0"/>
    <s v=""/>
    <s v="Cortesia"/>
    <s v="cortesia"/>
    <s v="AI for Leaders - 2026"/>
    <s v="ai-for-leaders-ed1a26"/>
    <s v="Evandro Santos Nascimento"/>
    <s v="03847934520"/>
    <m/>
    <m/>
    <s v="evandro@sebraeprev.com.br"/>
    <s v="5561999873166"/>
    <m/>
    <s v="70770-503"/>
    <s v="Quadra SEPN 515 Bloco C"/>
    <s v="N/A"/>
    <m/>
    <s v="Asa Norte"/>
    <s v="Brasília"/>
    <s v="DF"/>
    <s v="Filial(São Paulo)"/>
    <s v="AI For Leaders"/>
    <m/>
    <m/>
    <m/>
    <s v="0a70a419f5ca4531719760b0712a8259"/>
    <m/>
    <s v="Nao"/>
    <x v="2"/>
    <m/>
    <s v="13/01/2026"/>
    <m/>
    <m/>
    <m/>
    <s v="Brasil"/>
    <s v="KAM"/>
    <m/>
    <s v="ID-03847934520"/>
    <m/>
    <m/>
    <x v="1"/>
  </r>
  <r>
    <s v="COM69F27213AC10D"/>
    <n v="248320"/>
    <s v="29/04/2026 18:03"/>
    <x v="1"/>
    <m/>
    <s v="30/04/2026"/>
    <s v="Aprovado"/>
    <n v="16"/>
    <n v="1"/>
    <n v="37500"/>
    <m/>
    <n v="35193.75"/>
    <s v=""/>
    <s v="TED"/>
    <s v="ted"/>
    <s v="Sebrae AM | Vagas IA para negócios"/>
    <s v="corporate-melhor-escolha-ia-para-negocios-ed2a26"/>
    <s v="Frank Vidinha de Souza"/>
    <m/>
    <s v="04.322.004/0001-47"/>
    <s v="SERVICO DE APOIO AS MICROS E PEQ EMPRESAS DO AMAZONAS"/>
    <s v="beta.frank.ugp@am.sebrae.com.br"/>
    <s v="9221217317"/>
    <s v="9221217317"/>
    <s v="69010170"/>
    <s v="LEONARDO MALCHER"/>
    <s v="924"/>
    <m/>
    <s v="CENTRO"/>
    <s v="Manaus"/>
    <s v="AM"/>
    <s v="Filial(São Paulo)"/>
    <s v="Sebrae AM | Vagas IA para negócios"/>
    <m/>
    <m/>
    <m/>
    <s v="7042649f4473ec7ff403f0b92b876b5b"/>
    <m/>
    <s v="Nao"/>
    <x v="2"/>
    <m/>
    <s v="31/12/2099"/>
    <m/>
    <m/>
    <m/>
    <s v="Brasil"/>
    <s v="KAM"/>
    <s v="05/10/2021"/>
    <s v="ID-04322004000147"/>
    <s v="Aguardando recebimento"/>
    <m/>
    <x v="2"/>
  </r>
  <r>
    <s v="COM69F26BBC537C8"/>
    <n v="248315"/>
    <s v="29/04/2026 17:36"/>
    <x v="1"/>
    <m/>
    <s v="30/04/2026"/>
    <s v="Aprovado"/>
    <n v="1"/>
    <n v="1"/>
    <n v="35000"/>
    <m/>
    <n v="32847.5"/>
    <s v=""/>
    <s v="TED"/>
    <s v="ted"/>
    <s v="Oracle l Missão Vale do Silício GTC NVidia I Acompanhamento StartSe"/>
    <s v="corporate-vale-xperience-ed2a26"/>
    <s v="Agustina Zappacosta"/>
    <m/>
    <s v="59.456.277/0001-76"/>
    <s v="ORACLE DO BRASIL SISTEMAS LTDA"/>
    <s v="agustina.zappacosta@oracle.com"/>
    <s v="11910554869"/>
    <s v="1133331817"/>
    <s v="04710090"/>
    <s v="Rua Dr Jose Aureo Bustamante"/>
    <s v="455"/>
    <s v="ANEXO MORUMBI BUSINESS CEN"/>
    <s v="Santo Amaro"/>
    <s v="São Paulo"/>
    <s v="SP"/>
    <s v="Filial(São Paulo)"/>
    <s v="Oracle l Missão Vale do Silício GTC NVidia I Acompanhamento StartSe"/>
    <m/>
    <m/>
    <m/>
    <s v="67434feea0dcdf5a84d2d2bd7d622038"/>
    <m/>
    <s v="Nao"/>
    <x v="10"/>
    <m/>
    <s v="15/03/2026"/>
    <m/>
    <m/>
    <m/>
    <m/>
    <s v="KAM"/>
    <s v="19/03/2021"/>
    <s v="ID-59456277000176"/>
    <s v="Aguardando recebimento"/>
    <m/>
    <x v="2"/>
  </r>
  <r>
    <s v="ORDP2MF79LV5BJGU"/>
    <n v="248301"/>
    <s v="29/04/2026 16:09"/>
    <x v="1"/>
    <m/>
    <s v="29/04/2026"/>
    <s v="Aprovado"/>
    <n v="1"/>
    <n v="1"/>
    <n v="35000"/>
    <s v="PIX"/>
    <n v="35000"/>
    <m/>
    <s v="PIX"/>
    <s v="pix"/>
    <s v="Imersão China 2026 | Clube Nord"/>
    <s v="corporate-china-xperience-ed7a26"/>
    <s v="NORD PARTICIPACOES LTDA"/>
    <s v="00092267025"/>
    <s v="41.833.837/0001-07"/>
    <s v="NORD PARTICIPACOES LTDA"/>
    <s v="financeiro@nordresearch.com.br"/>
    <s v="11964287510"/>
    <m/>
    <s v="04534000"/>
    <s v="JOAQUIM FLORIANO"/>
    <s v="100"/>
    <s v="CONJ  171"/>
    <s v="ITAIM BIBI"/>
    <s v="São Paulo"/>
    <s v="SP"/>
    <s v="Turismo - 50%"/>
    <m/>
    <m/>
    <m/>
    <m/>
    <s v="0db4c45534cba52ccd17c0ecd72c9804"/>
    <s v="OFFCLUBENORD"/>
    <s v="Nao"/>
    <x v="8"/>
    <m/>
    <s v="23/11/2026"/>
    <m/>
    <m/>
    <s v="https://loja.startse.com.br//processamento/fatura/0db4c45534cba52ccd17c0ecd72c9804"/>
    <s v="China"/>
    <s v="KAM"/>
    <s v="29/04/2026"/>
    <s v="ID-41833837000107"/>
    <m/>
    <m/>
    <x v="0"/>
  </r>
  <r>
    <s v="ORDH4BVMP8JE3AP0"/>
    <n v="248300"/>
    <s v="29/04/2026 16:05"/>
    <x v="1"/>
    <m/>
    <s v="29/04/2026"/>
    <s v="Aprovado"/>
    <n v="1"/>
    <n v="1"/>
    <n v="35000"/>
    <s v="PIX"/>
    <n v="35000"/>
    <m/>
    <s v="PIX"/>
    <s v="pix"/>
    <s v="Imersão China 2026 | Clube Nord"/>
    <s v="corporate-china-xperience-ed7a26"/>
    <s v="NORD PARTICIPACOES LTDA"/>
    <s v="21775358836"/>
    <s v="41.833.837/0001-07"/>
    <s v="NORD PARTICIPACOES LTDA"/>
    <s v="financeiro@nordresearch.com.br"/>
    <s v="11964287510"/>
    <m/>
    <s v="04534000"/>
    <s v="JOAQUIM FLORIANO"/>
    <s v="100"/>
    <s v="CONJ  171"/>
    <s v="ITAIM BIBI"/>
    <s v="São Paulo"/>
    <s v="SP"/>
    <s v="Turismo - 50%"/>
    <m/>
    <m/>
    <m/>
    <m/>
    <s v="f63f999e7e435e2c22c101b9d5e42b5b"/>
    <s v="OFFCLUBENORD"/>
    <s v="Nao"/>
    <x v="8"/>
    <m/>
    <s v="23/11/2026"/>
    <m/>
    <m/>
    <s v="https://loja.startse.com.br//processamento/fatura/f63f999e7e435e2c22c101b9d5e42b5b"/>
    <s v="China"/>
    <s v="KAM"/>
    <s v="29/04/2026"/>
    <s v="ID-41833837000107"/>
    <m/>
    <m/>
    <x v="0"/>
  </r>
  <r>
    <s v="ORD66FX4C6VONTDZ"/>
    <n v="248299"/>
    <s v="29/04/2026 16:02"/>
    <x v="1"/>
    <m/>
    <s v="29/04/2026"/>
    <s v="Aprovado"/>
    <n v="1"/>
    <n v="1"/>
    <n v="35000"/>
    <s v="PIX"/>
    <n v="35000"/>
    <m/>
    <s v="PIX"/>
    <s v="pix"/>
    <s v="Imersão China 2026 | Clube Nord"/>
    <s v="corporate-china-xperience-ed7a26"/>
    <s v="NORD PARTICIPACOES LTDA"/>
    <s v="02486196757"/>
    <s v="41.833.837/0001-07"/>
    <s v="NORD PARTICIPACOES LTDA"/>
    <s v="financeiro@nordresearch.com.br"/>
    <s v="11964287510"/>
    <m/>
    <s v="04534000"/>
    <s v="JOAQUIM FLORIANO"/>
    <s v="100"/>
    <s v="CONJ  171"/>
    <s v="ITAIM BIBI"/>
    <s v="São Paulo"/>
    <s v="SP"/>
    <s v="Turismo - 50%"/>
    <m/>
    <m/>
    <m/>
    <m/>
    <s v="3382deedda3ce44a2d7efeee94cc7bfc"/>
    <s v="OFFCLUBENORD"/>
    <s v="Nao"/>
    <x v="8"/>
    <m/>
    <s v="23/11/2026"/>
    <m/>
    <m/>
    <s v="https://loja.startse.com.br//processamento/fatura/3382deedda3ce44a2d7efeee94cc7bfc"/>
    <s v="China"/>
    <s v="KAM"/>
    <s v="29/04/2026"/>
    <s v="ID-41833837000107"/>
    <m/>
    <m/>
    <x v="0"/>
  </r>
  <r>
    <s v="ORD8F2EFYDH6F458"/>
    <n v="248298"/>
    <s v="29/04/2026 15:49"/>
    <x v="1"/>
    <m/>
    <s v="29/04/2026"/>
    <s v="Aprovado"/>
    <n v="1"/>
    <n v="1"/>
    <n v="35000"/>
    <s v="PIX"/>
    <n v="35000"/>
    <m/>
    <s v="PIX"/>
    <s v="pix"/>
    <s v="Imersão China 2026 | Clube Nord"/>
    <s v="corporate-china-xperience-ed7a26"/>
    <s v="NORD PARTICIPACOES LTDA"/>
    <s v="34631193824"/>
    <s v="41.833.837/0001-07"/>
    <s v="NORD PARTICIPACOES LTDA"/>
    <s v="financeiro@nordresearch.com.br"/>
    <s v="11964287510"/>
    <m/>
    <s v="04534000"/>
    <s v="JOAQUIM FLORIANO"/>
    <s v="100"/>
    <s v="CONJ  171"/>
    <s v="ITAIM BIBI"/>
    <s v="São Paulo"/>
    <s v="SP"/>
    <s v="Turismo - 50%"/>
    <m/>
    <m/>
    <m/>
    <m/>
    <s v="54d391006de6037455371d4906876a7f"/>
    <s v="OFFCLUBENORD"/>
    <s v="Nao"/>
    <x v="8"/>
    <m/>
    <s v="23/11/2026"/>
    <m/>
    <m/>
    <s v="https://loja.startse.com.br//processamento/fatura/54d391006de6037455371d4906876a7f"/>
    <s v="China"/>
    <s v="KAM"/>
    <s v="29/04/2026"/>
    <s v="ID-41833837000107"/>
    <m/>
    <m/>
    <x v="0"/>
  </r>
  <r>
    <s v="COM69F23DE68FAC2"/>
    <n v="248285"/>
    <s v="29/04/2026 14:20"/>
    <x v="1"/>
    <m/>
    <s v="30/04/2026"/>
    <s v="Aprovado"/>
    <n v="1"/>
    <n v="1"/>
    <n v="80000"/>
    <m/>
    <n v="187700"/>
    <s v=""/>
    <s v="TED"/>
    <s v="ted"/>
    <s v="Qualicorp | Oficina de Líderes | Raphaela Mello"/>
    <s v="corporate-jornada-ed23a26_pagamento-01"/>
    <s v="Gabriela Rodrigues Paiva"/>
    <m/>
    <s v="11.992.680/0001-93"/>
    <s v="QUALICORP CONSULTORIA E CORRETORA DE SEGUROS S.A."/>
    <s v="grpaiva@qualicorp.com.br"/>
    <s v="11958292397"/>
    <s v="1131914000"/>
    <s v="01310914"/>
    <s v="PAULISTA"/>
    <s v="1106"/>
    <s v="ANDAR 12 - PARTE"/>
    <s v="BELA VISTA"/>
    <s v="São Paulo"/>
    <s v="SP"/>
    <s v="Filial(São Paulo)"/>
    <s v="Qualicorp | Oficina de Líderes"/>
    <m/>
    <m/>
    <m/>
    <s v="2c839839f682ef5f6b4b7233e01304f7"/>
    <m/>
    <s v="Nao"/>
    <x v="5"/>
    <m/>
    <s v="31/12/2099"/>
    <m/>
    <m/>
    <m/>
    <m/>
    <s v="KAM"/>
    <s v="19/01/2021"/>
    <s v="ID-11992680000193"/>
    <s v="Aguardando recebimento"/>
    <m/>
    <x v="2"/>
  </r>
  <r>
    <s v="COM69F23DE68FAC2"/>
    <n v="248285"/>
    <s v="29/04/2026 14:20"/>
    <x v="1"/>
    <m/>
    <s v="30/04/2026"/>
    <s v="Aprovado"/>
    <n v="1"/>
    <n v="1"/>
    <n v="120000"/>
    <m/>
    <n v="187700"/>
    <s v=""/>
    <s v="TED"/>
    <s v="ted"/>
    <s v="Qualicorp | Oficina de Líderes | Raphaela Mello"/>
    <s v="corporate-jornada-ed23a26_pagamento-02"/>
    <s v="Gabriela Rodrigues Paiva"/>
    <m/>
    <s v="11.992.680/0001-93"/>
    <s v="QUALICORP CONSULTORIA E CORRETORA DE SEGUROS S.A."/>
    <s v="grpaiva@qualicorp.com.br"/>
    <s v="11958292397"/>
    <s v="1131914000"/>
    <s v="01310914"/>
    <s v="PAULISTA"/>
    <s v="1106"/>
    <s v="ANDAR 12 - PARTE"/>
    <s v="BELA VISTA"/>
    <s v="São Paulo"/>
    <s v="SP"/>
    <s v="Filial(São Paulo)"/>
    <s v="Qualicorp | Oficina de Líderes"/>
    <m/>
    <m/>
    <m/>
    <s v="2c839839f682ef5f6b4b7233e01304f7"/>
    <m/>
    <s v="Nao"/>
    <x v="5"/>
    <m/>
    <s v="31/12/2099"/>
    <m/>
    <m/>
    <m/>
    <m/>
    <s v="KAM"/>
    <s v="19/01/2021"/>
    <s v="ID-11992680000193"/>
    <s v="Aguardando recebimento"/>
    <m/>
    <x v="2"/>
  </r>
  <r>
    <s v="ORDX4EP4HHXQ7WG4"/>
    <n v="248256"/>
    <s v="29/04/2026 11:42"/>
    <x v="1"/>
    <m/>
    <s v="29/04/2026"/>
    <s v="Aprovado"/>
    <n v="2"/>
    <n v="1"/>
    <n v="70000"/>
    <s v="Braintree"/>
    <n v="70000"/>
    <s v="28987210985I389269NC"/>
    <s v="Crédito à Vista"/>
    <s v="mastercard"/>
    <s v="Imersão China 2026 | Clube Nord"/>
    <s v="corporate-china-xperience-ed7a26"/>
    <s v="Marcos Hofig"/>
    <s v="08194419883"/>
    <m/>
    <m/>
    <s v="mhofig@gmail.com"/>
    <s v="11988508551"/>
    <m/>
    <s v="01453030"/>
    <s v="Rua Jacurici"/>
    <s v="215"/>
    <s v="ap 191"/>
    <s v="Itaim Bibi"/>
    <s v="São Paulo"/>
    <s v="SP"/>
    <s v="Turismo - 50%"/>
    <m/>
    <m/>
    <m/>
    <m/>
    <s v="12ba2e0522692cc00b2d559a3cf0c448"/>
    <s v="OFFCLUBENORD"/>
    <s v="Nao"/>
    <x v="8"/>
    <m/>
    <s v="23/11/2026"/>
    <m/>
    <m/>
    <s v="https://loja.startse.com.br//processamento/fatura/12ba2e0522692cc00b2d559a3cf0c448"/>
    <s v="China"/>
    <s v="KAM"/>
    <s v="29/04/2026"/>
    <s v="ID-08194419883"/>
    <m/>
    <m/>
    <x v="0"/>
  </r>
  <r>
    <s v="COM69F2107200168"/>
    <n v="248250"/>
    <s v="29/04/2026 11:06"/>
    <x v="1"/>
    <m/>
    <s v="29/04/2026"/>
    <s v="Aprovado"/>
    <n v="5"/>
    <n v="1"/>
    <n v="14250"/>
    <m/>
    <n v="14250"/>
    <s v=""/>
    <s v="TED"/>
    <s v="ted"/>
    <s v="AI Festival 2026 - Ingresso Interactive"/>
    <s v="evento-ia-ed1a26_interactive"/>
    <s v="Priscila Hermsdorff Pontes"/>
    <m/>
    <s v="60.746.948/0283-94"/>
    <s v="BANCO BRADESCO S.A."/>
    <s v="priscila.pontes@bradesco.com.br"/>
    <s v="1133678700"/>
    <s v="11336787001"/>
    <s v="01042001"/>
    <s v="BR DE ITAPETININGA"/>
    <s v="107"/>
    <m/>
    <s v="REPUBLICA"/>
    <s v="São Paulo"/>
    <s v="SP"/>
    <s v="Filial(São Paulo)"/>
    <s v="EVENTO: 50370721 - Festival AI 2026: 5 ingressos Interactive - R$ 2.850,00 por participante"/>
    <m/>
    <m/>
    <m/>
    <s v="260d8c9175af0c19b3bf185812beb17b"/>
    <m/>
    <s v="Nao"/>
    <x v="7"/>
    <m/>
    <s v="13/05/2026"/>
    <m/>
    <m/>
    <m/>
    <m/>
    <s v="KAM"/>
    <s v="04/11/2017"/>
    <s v="ID-60746948028394"/>
    <s v="Aguardando recebimento"/>
    <m/>
    <x v="2"/>
  </r>
  <r>
    <s v="ORDFFCKKF7CYJTRO"/>
    <n v="248209"/>
    <s v="28/04/2026 20:12"/>
    <x v="1"/>
    <m/>
    <s v="28/04/2026"/>
    <s v="Aprovado"/>
    <n v="1"/>
    <n v="1"/>
    <n v="35000"/>
    <s v="Braintree"/>
    <n v="35000"/>
    <s v="28987210985I2AAP15PC"/>
    <s v="Crédito à Vista"/>
    <s v="visa"/>
    <s v="Imersão China 2026 | Clube Nord"/>
    <s v="corporate-china-xperience-ed7a26"/>
    <s v="Marcelo Montalvão Machado"/>
    <s v="00453330509"/>
    <m/>
    <m/>
    <s v="marcelo@machadoadvogados.com"/>
    <s v="61981113357"/>
    <m/>
    <s v="70274090"/>
    <s v="Quadra SQS 211 Bloco I"/>
    <s v="606"/>
    <m/>
    <s v="Asa Sul"/>
    <s v="Brasília"/>
    <s v="DF"/>
    <s v="Turismo - 50%"/>
    <m/>
    <m/>
    <m/>
    <m/>
    <s v="5032b91c81f1aa7589a1c7e2497847dd"/>
    <s v="OFFCLUBENORD"/>
    <s v="Nao"/>
    <x v="8"/>
    <m/>
    <s v="23/11/2026"/>
    <m/>
    <m/>
    <s v="https://loja.startse.com.br//processamento/fatura/5032b91c81f1aa7589a1c7e2497847dd"/>
    <s v="China"/>
    <s v="KAM"/>
    <s v="18/01/2019"/>
    <s v="ID-00453330509"/>
    <m/>
    <m/>
    <x v="0"/>
  </r>
  <r>
    <s v="COM69F101890C6A0"/>
    <n v="248169"/>
    <s v="28/04/2026 15:50"/>
    <x v="1"/>
    <m/>
    <s v="29/04/2026"/>
    <s v="Aprovado"/>
    <n v="1"/>
    <n v="1"/>
    <n v="64000"/>
    <m/>
    <n v="150160"/>
    <s v=""/>
    <s v="TED"/>
    <s v="ted"/>
    <s v="Programa de Liderança Tecnobank - São Paulo / SP"/>
    <s v="corporate-workshop-ed35a26_pagamento-01"/>
    <s v="Monalisa Alcantara"/>
    <m/>
    <s v="09.016.926/0001-40"/>
    <s v="TECNOBANK TECNOLOGIA BANCARIA S.A."/>
    <s v="monalisa.alcantara@tecnobank.com.br"/>
    <s v="11993055712"/>
    <s v="1131852770"/>
    <s v="04547005"/>
    <s v="GOMES DE CARVALHO"/>
    <s v="1356"/>
    <s v="ANDAR 9 CONJ 92"/>
    <s v="VILA OLIMPIA"/>
    <s v="São Paulo"/>
    <s v="SP"/>
    <s v="Filial(São Paulo)"/>
    <s v="Programa de Liderança Tecnobank - São Paulo / SP"/>
    <m/>
    <m/>
    <m/>
    <s v="4dce631b61320458f298d771d2b7556b"/>
    <m/>
    <s v="Nao"/>
    <x v="4"/>
    <m/>
    <s v="31/12/2099"/>
    <m/>
    <m/>
    <m/>
    <m/>
    <s v="KAM"/>
    <s v="04/05/2018"/>
    <s v="ID-09016926000140"/>
    <s v="Aguardando recebimento"/>
    <m/>
    <x v="2"/>
  </r>
  <r>
    <s v="COM69F101890C6A0"/>
    <n v="248169"/>
    <s v="28/04/2026 15:50"/>
    <x v="1"/>
    <m/>
    <s v="29/04/2026"/>
    <s v="Aprovado"/>
    <n v="1"/>
    <n v="1"/>
    <n v="96000"/>
    <m/>
    <n v="150160"/>
    <s v=""/>
    <s v="TED"/>
    <s v="ted"/>
    <s v="Programa de Liderança Tecnobank - São Paulo / SP"/>
    <s v="corporate-workshop-ed35a26_pagamento-02"/>
    <s v="Monalisa Alcantara"/>
    <m/>
    <s v="09.016.926/0001-40"/>
    <s v="TECNOBANK TECNOLOGIA BANCARIA S.A."/>
    <s v="monalisa.alcantara@tecnobank.com.br"/>
    <s v="11993055712"/>
    <s v="1131852770"/>
    <s v="04547005"/>
    <s v="GOMES DE CARVALHO"/>
    <s v="1356"/>
    <s v="ANDAR 9 CONJ 92"/>
    <s v="VILA OLIMPIA"/>
    <s v="São Paulo"/>
    <s v="SP"/>
    <s v="Filial(São Paulo)"/>
    <s v="Programa de Liderança Tecnobank - São Paulo / SP"/>
    <m/>
    <m/>
    <m/>
    <s v="4dce631b61320458f298d771d2b7556b"/>
    <m/>
    <s v="Nao"/>
    <x v="4"/>
    <m/>
    <s v="31/12/2099"/>
    <m/>
    <m/>
    <m/>
    <m/>
    <s v="KAM"/>
    <s v="04/05/2018"/>
    <s v="ID-09016926000140"/>
    <s v="Aguardando recebimento"/>
    <m/>
    <x v="2"/>
  </r>
  <r>
    <s v="ORDLFPEWUGDCDUKZ"/>
    <n v="248164"/>
    <s v="28/04/2026 15:25"/>
    <x v="1"/>
    <m/>
    <s v="28/04/2026"/>
    <s v="Aprovado"/>
    <n v="9"/>
    <n v="1"/>
    <n v="25200"/>
    <s v="Braintree"/>
    <n v="25200"/>
    <s v="28974115835I2A94GD3C"/>
    <s v="Crédito à Vista"/>
    <s v="visa"/>
    <s v="AI Festival 2026 - Ingresso Interactive"/>
    <s v="evento-ia-ed1a26_interactive"/>
    <s v="Luiz Felipe Silva Mattos"/>
    <s v="09498114757"/>
    <m/>
    <m/>
    <s v="luiz.mattos@arcelormittal.com.br"/>
    <s v="27999735938"/>
    <m/>
    <s v="29101780"/>
    <s v="RUA  GOIANIA"/>
    <s v="300"/>
    <s v="APTO 1003"/>
    <s v="ITAPUA"/>
    <s v="Vila Velha"/>
    <s v="ES"/>
    <s v="Filial(São Paulo)"/>
    <m/>
    <m/>
    <m/>
    <m/>
    <s v="09fe8203850a1dac5cbfdd703fc205d6"/>
    <s v="arcelormittaldescontoAI"/>
    <s v="Nao"/>
    <x v="0"/>
    <m/>
    <s v="13/05/2026"/>
    <m/>
    <m/>
    <m/>
    <m/>
    <s v="KAM"/>
    <s v="28/04/2026"/>
    <s v="ID-09498114757"/>
    <m/>
    <m/>
    <x v="0"/>
  </r>
  <r>
    <s v="COM69F0EB24213CF"/>
    <n v="248150"/>
    <s v="28/04/2026 14:15"/>
    <x v="1"/>
    <m/>
    <s v="28/04/2026"/>
    <s v="Aprovado"/>
    <n v="1"/>
    <n v="1"/>
    <n v="0"/>
    <m/>
    <n v="0"/>
    <s v=""/>
    <s v="Cortesia"/>
    <s v="cortesia"/>
    <s v="Executive Program - 25 a 27 de Maio de 2026"/>
    <s v="executive-program-ed5a26"/>
    <s v="Tatiana Carvalho Lima de Alencar Matos"/>
    <s v="81688679120"/>
    <m/>
    <m/>
    <s v="Tatiana.matos@sicoob.com.br"/>
    <s v="5561996243660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f9b6f5d6b2238c3f5331bdb204b065a6"/>
    <m/>
    <s v="Nao"/>
    <x v="10"/>
    <m/>
    <s v="25/05/2026"/>
    <m/>
    <m/>
    <m/>
    <m/>
    <s v="KAM"/>
    <m/>
    <s v="ID-81688679120"/>
    <m/>
    <m/>
    <x v="1"/>
  </r>
  <r>
    <s v="COM69F0E97B8469C"/>
    <n v="248148"/>
    <s v="28/04/2026 14:08"/>
    <x v="1"/>
    <m/>
    <s v="28/04/2026"/>
    <s v="Aprovado"/>
    <n v="1"/>
    <n v="1"/>
    <n v="0"/>
    <m/>
    <n v="0"/>
    <s v=""/>
    <s v="Cortesia"/>
    <s v="cortesia"/>
    <s v="Executive Program - 25 a 27 de Maio de 2026"/>
    <s v="executive-program-ed5a26"/>
    <s v="Michelle Cristina de Mattos"/>
    <s v="71650539134"/>
    <m/>
    <m/>
    <s v="Michelle.cristina@sicoob.com.br"/>
    <s v="5561981517226"/>
    <m/>
    <s v="04578-910"/>
    <s v="Avenida das Nações Unidas 12901"/>
    <s v="12901"/>
    <m/>
    <s v="Brooklin Paulista"/>
    <s v="São Paulo"/>
    <s v="SP"/>
    <s v="Filial(São Paulo)"/>
    <s v="Executive Program - 25 a 27 de Maio de 2026"/>
    <m/>
    <m/>
    <m/>
    <s v="98a9c1ee7971de6738a0477ba68ada4d"/>
    <m/>
    <s v="Nao"/>
    <x v="10"/>
    <m/>
    <s v="25/05/2026"/>
    <m/>
    <m/>
    <m/>
    <m/>
    <s v="KAM"/>
    <m/>
    <s v="ID-71650539134"/>
    <m/>
    <m/>
    <x v="1"/>
  </r>
  <r>
    <s v="ORDOKDRYQECOSEPO"/>
    <n v="248117"/>
    <s v="28/04/2026 09:26"/>
    <x v="1"/>
    <m/>
    <s v="28/04/2026"/>
    <s v="Aprovado"/>
    <n v="1"/>
    <n v="1"/>
    <n v="35000"/>
    <s v="Braintree"/>
    <n v="35000"/>
    <s v="28987210985I2A6PABIC"/>
    <s v="Crédito à Vista"/>
    <s v="amex"/>
    <s v="Imersão China 2026 | Clube Nord"/>
    <s v="corporate-china-xperience-ed7a26"/>
    <s v="Paola Mendes de Oliveira Freitas"/>
    <s v="61090476191"/>
    <s v="04.719.284/0001-21"/>
    <s v="Freedom Motors Ltda"/>
    <s v="diretoria@freedomhonda.com.br"/>
    <s v="61996554106"/>
    <m/>
    <s v="71200035"/>
    <s v="Quadra SIA Quadra 3-C A/e 19 loja"/>
    <s v="75"/>
    <s v="Freedom Honda"/>
    <s v="Zona Industrial (Guará)"/>
    <s v="Brasília"/>
    <s v="DF"/>
    <s v="Turismo - 50%"/>
    <m/>
    <m/>
    <m/>
    <m/>
    <s v="f7e15f0daa397d5f79a458be66063f22"/>
    <s v="OFFCLUBENORD"/>
    <s v="Nao"/>
    <x v="8"/>
    <m/>
    <s v="23/11/2026"/>
    <m/>
    <m/>
    <s v="https://loja.startse.com.br//processamento/fatura/f7e15f0daa397d5f79a458be66063f22"/>
    <s v="China"/>
    <s v="KAM"/>
    <s v="23/05/2019"/>
    <s v="ID-04719284000121"/>
    <m/>
    <m/>
    <x v="0"/>
  </r>
  <r>
    <s v="ORDQTHAT37R07SIT"/>
    <n v="248114"/>
    <s v="28/04/2026 09:19"/>
    <x v="1"/>
    <m/>
    <s v="28/04/2026"/>
    <s v="Aprovado"/>
    <n v="1"/>
    <n v="12"/>
    <n v="35000"/>
    <s v="Braintree"/>
    <n v="35000"/>
    <s v="28987210985I2A6OB3SC"/>
    <s v="Crédito Parcelado"/>
    <s v="visa"/>
    <s v="Imersão China 2026 | Clube Nord"/>
    <s v="corporate-china-xperience-ed7a26"/>
    <s v="Christian Montalvao e Silva"/>
    <s v="55396194120"/>
    <s v="04.719.284/0001-21"/>
    <s v="Freedom Motors Ltda"/>
    <s v="christianb@freedomhonda.com.br"/>
    <s v="61996554106"/>
    <m/>
    <s v="71200035"/>
    <s v="Quadra SIA Quadra 3-C A/e 19 loja"/>
    <s v="75"/>
    <s v="Freedom Honda"/>
    <s v="Zona Industrial (Guará)"/>
    <s v="Brasília"/>
    <s v="DF"/>
    <s v="Turismo - 50%"/>
    <m/>
    <m/>
    <m/>
    <m/>
    <s v="028076561f6ab4e87bb6b4c23ce84d65"/>
    <s v="OFFCLUBENORD"/>
    <s v="Nao"/>
    <x v="8"/>
    <m/>
    <s v="23/11/2026"/>
    <m/>
    <m/>
    <s v="https://loja.startse.com.br//processamento/fatura/028076561f6ab4e87bb6b4c23ce84d65"/>
    <s v="China"/>
    <s v="KAM"/>
    <s v="23/05/2019"/>
    <s v="ID-04719284000121"/>
    <m/>
    <m/>
    <x v="0"/>
  </r>
  <r>
    <s v="ORDNY4LLZ4OR7N9W"/>
    <n v="248083"/>
    <s v="27/04/2026 18:05"/>
    <x v="1"/>
    <m/>
    <s v="27/04/2026"/>
    <s v="Aprovado"/>
    <n v="1"/>
    <n v="0"/>
    <n v="0"/>
    <m/>
    <n v="0"/>
    <m/>
    <s v="Cortesia"/>
    <s v="cortesia"/>
    <s v="AI for Leaders - Atualização 2025"/>
    <s v="ai-for-leaders-ed3a25"/>
    <s v="Gustavo Rodrigues"/>
    <s v="35723762893"/>
    <m/>
    <m/>
    <s v="grodrigues1988@gmail.com"/>
    <s v="11986933755"/>
    <m/>
    <s v="04578910"/>
    <s v="Avenida das Nações Unidas"/>
    <s v="12901"/>
    <m/>
    <s v="Brooklin Paulista"/>
    <s v="São Paulo"/>
    <s v="SP"/>
    <s v="Filial(São Paulo)"/>
    <m/>
    <m/>
    <m/>
    <m/>
    <s v="9ffd349ebc3061a217d7864e9b95f7e3"/>
    <s v="CORTESIAOBRAMAX"/>
    <s v="Nao"/>
    <x v="0"/>
    <m/>
    <s v="15/05/2025"/>
    <m/>
    <m/>
    <m/>
    <s v="Brasil"/>
    <s v="KAM"/>
    <m/>
    <s v="ID-35723762893"/>
    <m/>
    <m/>
    <x v="1"/>
  </r>
  <r>
    <s v="COM69EFB21A10F3F"/>
    <n v="248056"/>
    <s v="27/04/2026 15:59"/>
    <x v="1"/>
    <m/>
    <s v="27/04/2026"/>
    <s v="Aprovado"/>
    <n v="1"/>
    <n v="1"/>
    <n v="0"/>
    <m/>
    <n v="0"/>
    <s v=""/>
    <s v="Cortesia"/>
    <s v="cortesia"/>
    <s v="Executive Program - 25 a 27 de Maio de 2026"/>
    <s v="executive-program-ed5a26"/>
    <s v="Flavia Azevedo Moreira de Morais"/>
    <s v="87441241120"/>
    <m/>
    <m/>
    <s v="famorais@sesicni.com.br"/>
    <s v="556198356677"/>
    <m/>
    <s v="70040-903"/>
    <s v="SBN Quadra 1 Bloco C"/>
    <s v="n/a"/>
    <m/>
    <s v="Asa Norte"/>
    <s v="Brasília"/>
    <s v="DF"/>
    <s v="Filial(São Paulo)"/>
    <s v="Executive Program"/>
    <m/>
    <m/>
    <m/>
    <s v="399761a84840654786f48a936393c111"/>
    <m/>
    <s v="Nao"/>
    <x v="2"/>
    <m/>
    <s v="25/05/2026"/>
    <m/>
    <m/>
    <m/>
    <m/>
    <s v="KAM"/>
    <m/>
    <s v="ID-87441241120"/>
    <m/>
    <m/>
    <x v="1"/>
  </r>
  <r>
    <s v="COM69EFACF1B7637"/>
    <n v="248052"/>
    <s v="27/04/2026 15:37"/>
    <x v="1"/>
    <m/>
    <s v="27/04/2026"/>
    <s v="Aprovado"/>
    <n v="27"/>
    <n v="1"/>
    <n v="76500"/>
    <m/>
    <n v="76500"/>
    <s v=""/>
    <s v="TED"/>
    <s v="ted"/>
    <s v="AI Festival 2026 - Ingresso Interactive"/>
    <s v="evento-ia-ed1a26_interactive"/>
    <s v="Luci Silva e Castro"/>
    <m/>
    <s v="00.360.305/0001-04"/>
    <s v="CAIXA ECONOMICA FEDERAL"/>
    <s v="fundosdeinvestimento@caixa.gov.br"/>
    <s v="11974853282"/>
    <s v="11974853282"/>
    <s v="70092900"/>
    <s v="SETOR SBS"/>
    <s v="S/N"/>
    <s v="QUADRA4 BLOCO A ANDAR TODOS"/>
    <s v="ASA SUL"/>
    <s v="Brasília"/>
    <s v="DF"/>
    <s v="Filial(São Paulo)"/>
    <s v="AI Festival 2026 - Ingresso Interactive"/>
    <m/>
    <m/>
    <m/>
    <s v="1db69fae9de8bfb37e4106aabd7b79a8"/>
    <m/>
    <s v="Nao"/>
    <x v="7"/>
    <m/>
    <s v="13/05/2026"/>
    <m/>
    <m/>
    <m/>
    <m/>
    <s v="KAM"/>
    <s v="20/11/2017"/>
    <s v="ID-00360305000104"/>
    <s v="Aguardando recebimento"/>
    <m/>
    <x v="2"/>
  </r>
  <r>
    <s v="COM69EF7B8B0EE42"/>
    <n v="248024"/>
    <s v="27/04/2026 12:06"/>
    <x v="1"/>
    <m/>
    <s v="27/04/2026"/>
    <s v="Aprovado"/>
    <n v="1"/>
    <n v="1"/>
    <n v="0"/>
    <m/>
    <n v="0"/>
    <s v=""/>
    <s v="Cortesia"/>
    <s v="cortesia"/>
    <s v="Executive Program - 25 a 27 de Maio de 2026"/>
    <s v="executive-program-ed5a26"/>
    <s v="Paola Morschel Jagher"/>
    <s v="04031908946"/>
    <m/>
    <m/>
    <s v="paola.jagher@cnh.com"/>
    <s v="554184130265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5b0524aeae7a19316537beb9d56a480e"/>
    <m/>
    <s v="Nao"/>
    <x v="5"/>
    <m/>
    <s v="25/05/2026"/>
    <m/>
    <m/>
    <m/>
    <m/>
    <s v="KAM"/>
    <m/>
    <s v="ID-04031908946"/>
    <m/>
    <m/>
    <x v="1"/>
  </r>
  <r>
    <s v="COM69EF7A7A057A3"/>
    <n v="248021"/>
    <s v="27/04/2026 12:02"/>
    <x v="1"/>
    <m/>
    <s v="27/04/2026"/>
    <s v="Aprovado"/>
    <n v="1"/>
    <n v="1"/>
    <n v="0"/>
    <m/>
    <n v="0"/>
    <s v=""/>
    <s v="Cortesia"/>
    <s v="cortesia"/>
    <s v="Executive Program - 25 a 27 de Maio de 2026"/>
    <s v="executive-program-ed5a26"/>
    <s v="Flavia David de Denucci Martins"/>
    <s v="02145619763"/>
    <m/>
    <m/>
    <s v="flavia.david@portoseguro.com.br"/>
    <s v="5521982676065"/>
    <m/>
    <s v="04578-910"/>
    <s v="Avenida das Nações Unidas, 12901"/>
    <s v="12901"/>
    <m/>
    <s v="Brooklin Paulista"/>
    <s v="São Paulo"/>
    <s v="SP"/>
    <s v="Filial(São Paulo)"/>
    <s v="Executive Program - 25 a 27 de Maio de 2026"/>
    <m/>
    <m/>
    <m/>
    <s v="f923a11cf3831e7bf02520a994d239db"/>
    <m/>
    <s v="Nao"/>
    <x v="6"/>
    <m/>
    <s v="25/05/2026"/>
    <m/>
    <m/>
    <m/>
    <m/>
    <s v="KAM"/>
    <m/>
    <s v="ID-02145619763"/>
    <m/>
    <m/>
    <x v="1"/>
  </r>
  <r>
    <s v="COM69EF4EDD3DD64"/>
    <n v="248006"/>
    <s v="27/04/2026 08:56"/>
    <x v="1"/>
    <m/>
    <s v="27/04/2026"/>
    <s v="Aprovado"/>
    <n v="1"/>
    <n v="1"/>
    <n v="0"/>
    <m/>
    <n v="0"/>
    <s v=""/>
    <s v="Cortesia"/>
    <s v="cortesia"/>
    <s v="AI for Leaders - 2026"/>
    <s v="ai-for-leaders-ed1a26"/>
    <s v="José Antunes Coimbra Neto"/>
    <s v="05541984793"/>
    <m/>
    <m/>
    <s v="jose.coimbra@selic.anbima.com.br"/>
    <s v="5521999645261"/>
    <m/>
    <s v="04578-910"/>
    <s v="Avenida das Nações Unidas, 12901"/>
    <s v="12901"/>
    <m/>
    <s v="Brooklin Paulista"/>
    <s v="São Paulo"/>
    <s v="SP"/>
    <s v="Filial(São Paulo)"/>
    <s v="AI for Leaders - 2026"/>
    <m/>
    <m/>
    <m/>
    <s v="4f033b3e7ce057fef37df2229d465f37"/>
    <m/>
    <s v="Nao"/>
    <x v="8"/>
    <m/>
    <s v="13/01/2026"/>
    <m/>
    <m/>
    <m/>
    <s v="Brasil"/>
    <s v="KAM"/>
    <s v="08/11/2023"/>
    <s v="ID-05541984793"/>
    <m/>
    <m/>
    <x v="1"/>
  </r>
  <r>
    <s v="COM69EBAC15235A0"/>
    <n v="247927"/>
    <s v="24/04/2026 14:44"/>
    <x v="1"/>
    <m/>
    <s v="24/04/2026"/>
    <s v="Aprovado"/>
    <n v="1"/>
    <n v="1"/>
    <n v="60000"/>
    <m/>
    <n v="56310"/>
    <s v=""/>
    <s v="TED"/>
    <s v="ted"/>
    <s v="Palestra Piero - SANTANDER - SP"/>
    <s v="corporate-palestra-ed22a26"/>
    <s v="Kathleen Guimarães"/>
    <m/>
    <s v="90.400.888/0001-42"/>
    <s v="BANCO SANTANDER (BRASIL) S.A."/>
    <s v="kaguimaraes@santander.com.br"/>
    <s v="11947694664"/>
    <s v="1140043535"/>
    <s v="04543011"/>
    <s v="PRES JUSCELINO KUBITSCHEK"/>
    <s v="2041"/>
    <s v="CONJ 281 BLOCO A COND WTORRE JK"/>
    <s v="VILA NOVA CONCEICAO"/>
    <s v="São Paulo"/>
    <s v="SP"/>
    <s v="Filial(São Paulo)"/>
    <s v="Palestra Piero - SANTANDER - SP"/>
    <m/>
    <m/>
    <m/>
    <s v="2c57f4d4f37af1a1a2b5906b7163fd00"/>
    <m/>
    <s v="Nao"/>
    <x v="4"/>
    <m/>
    <s v="28/04/2026"/>
    <m/>
    <m/>
    <m/>
    <m/>
    <s v="KAM"/>
    <s v="08/11/2016"/>
    <s v="ID-90400888000142"/>
    <s v="Aguardando recebimento"/>
    <m/>
    <x v="2"/>
  </r>
  <r>
    <s v="ORD3FSIMECVRDMUE"/>
    <n v="247923"/>
    <s v="24/04/2026 14:13"/>
    <x v="1"/>
    <m/>
    <s v="24/04/2026"/>
    <s v="Aprovado"/>
    <n v="5"/>
    <n v="12"/>
    <n v="14250"/>
    <s v="Braintree"/>
    <n v="14250"/>
    <s v="28974115835HULESTS1E"/>
    <s v="Crédito Parcelado"/>
    <s v="mastercard"/>
    <s v="AI Festival 2026 - Ingresso Interactive"/>
    <s v="evento-ia-ed1a26_interactive"/>
    <s v="PROFECTUM TECNOLOGIA DA INFORMACAO LTDA"/>
    <s v="03404179358"/>
    <s v="30.482.215/0001-57"/>
    <s v="PROFECTUM TECNOLOGIA DA INFORMACAO LTDA"/>
    <s v="admfinanceiro@profectum.com.br"/>
    <s v="85981029522"/>
    <m/>
    <s v="61775060"/>
    <s v="CALIXTO MACHADO"/>
    <s v="21"/>
    <s v="SALA  C"/>
    <s v="PIRES FACANHA"/>
    <s v="Eusébio"/>
    <s v="CE"/>
    <s v="Filial(São Paulo)"/>
    <m/>
    <m/>
    <m/>
    <m/>
    <s v="6343cf0bb650d986cdc3087dd4230a29"/>
    <s v="Exclusivo_vip_festivalia2026"/>
    <s v="Nao"/>
    <x v="6"/>
    <m/>
    <s v="13/05/2026"/>
    <m/>
    <m/>
    <m/>
    <m/>
    <s v="KAM"/>
    <s v="20/09/2024"/>
    <s v="ID-30482215000157"/>
    <m/>
    <m/>
    <x v="0"/>
  </r>
  <r>
    <s v="ORDS5WTCDIXD81U7"/>
    <n v="247917"/>
    <s v="24/04/2026 14:02"/>
    <x v="1"/>
    <m/>
    <s v="24/04/2026"/>
    <s v="Aprovado"/>
    <n v="1"/>
    <n v="1"/>
    <n v="2849.84"/>
    <s v="Braintree"/>
    <n v="2849.84"/>
    <s v="28974115835HULETEAME"/>
    <s v="Crédito à Vista"/>
    <s v="visa"/>
    <s v="AI Festival 2026 - Ingresso Interactive"/>
    <s v="evento-ia-ed1a26_interactive"/>
    <s v="Tino Aldo Mantarro"/>
    <s v="00817682813"/>
    <m/>
    <m/>
    <s v="tinoamantarro@gmail.com"/>
    <s v="11945443883"/>
    <m/>
    <s v="06706085"/>
    <s v="Rua Bartolomeu Bueno da Silva"/>
    <s v="105"/>
    <m/>
    <s v="São Paulo II"/>
    <s v="Cotia"/>
    <s v="SP"/>
    <s v="Filial(São Paulo)"/>
    <m/>
    <m/>
    <m/>
    <m/>
    <s v="372b8317bea07e6de67750aa3cc5fb46"/>
    <s v="ESPECIAL_FERBITT_INTERACTIVE"/>
    <s v="Nao"/>
    <x v="7"/>
    <m/>
    <s v="13/05/2026"/>
    <m/>
    <m/>
    <m/>
    <m/>
    <s v="KAM"/>
    <s v="24/04/2026"/>
    <s v="ID-00817682813"/>
    <m/>
    <m/>
    <x v="0"/>
  </r>
  <r>
    <s v="COM69EB7E42619B9"/>
    <n v="247900"/>
    <s v="24/04/2026 11:29"/>
    <x v="1"/>
    <m/>
    <s v="24/04/2026"/>
    <s v="Aprovado"/>
    <n v="1"/>
    <n v="1"/>
    <n v="0"/>
    <m/>
    <n v="0"/>
    <s v=""/>
    <s v="Cortesia"/>
    <s v="cortesia"/>
    <s v="SLD - Os frameworks da nova economia"/>
    <s v="comunidade-ed2a26"/>
    <s v="Gabriela Di Rissio"/>
    <s v="38369082807"/>
    <m/>
    <m/>
    <s v="gabriela.rissio@volkswagen.com.br"/>
    <s v="5511989264420"/>
    <m/>
    <s v="04578-910"/>
    <s v="Avenida das Nações Unidas, 12901"/>
    <s v="12901"/>
    <m/>
    <s v="Brooklin Paulista"/>
    <s v="São Paulo"/>
    <s v="SP"/>
    <s v="Filial(São Paulo)"/>
    <s v="SLD - Os frameworks da nova economia"/>
    <m/>
    <m/>
    <m/>
    <s v="2f65f08575b319605778d002eb78661f"/>
    <m/>
    <s v="Nao"/>
    <x v="6"/>
    <m/>
    <s v="15/05/2026"/>
    <m/>
    <m/>
    <m/>
    <s v="Brasil"/>
    <s v="KAM"/>
    <m/>
    <s v="ID-38369082807"/>
    <m/>
    <m/>
    <x v="1"/>
  </r>
  <r>
    <s v="COM69EA5C9363C84"/>
    <n v="247838"/>
    <s v="23/04/2026 14:53"/>
    <x v="1"/>
    <m/>
    <s v="24/04/2026"/>
    <s v="Aprovado"/>
    <n v="3"/>
    <n v="1"/>
    <n v="6750"/>
    <m/>
    <n v="6750"/>
    <s v=""/>
    <s v="TED"/>
    <s v="ted"/>
    <s v="AI Festival 2026 - Ingresso Explorer"/>
    <s v="evento-ia-ed1a26_explorer"/>
    <s v="Gustavo Vieira Grinstein"/>
    <m/>
    <s v="65.599.953/0001-63"/>
    <s v="CAPGEMINI BRASIL LTDA."/>
    <s v="gustavo.grinstein@capgemini.com"/>
    <s v="71981035781"/>
    <s v="1141967437"/>
    <s v="06454050"/>
    <s v="Alameda Grajau"/>
    <s v="60"/>
    <s v="Andar 14"/>
    <s v="Alphaville Centro Industrial e Empresarial"/>
    <s v="Barueri"/>
    <s v="SP"/>
    <s v="Filial(São Paulo)"/>
    <s v="AI Festival 2026 - Ingresso Explorer | Pedido: 4500153882"/>
    <m/>
    <m/>
    <m/>
    <s v="1c1751fe76f288c9869fbebc815522ae"/>
    <m/>
    <s v="Nao"/>
    <x v="4"/>
    <m/>
    <s v="13/05/2026"/>
    <m/>
    <m/>
    <m/>
    <m/>
    <s v="KAM"/>
    <s v="29/08/2025"/>
    <s v="ID-65599953000163"/>
    <s v="Aguardando recebimento"/>
    <m/>
    <x v="2"/>
  </r>
  <r>
    <s v="ORDY9ORGIIXFIWH6"/>
    <n v="247798"/>
    <s v="23/04/2026 09:52"/>
    <x v="1"/>
    <m/>
    <s v="23/04/2026"/>
    <s v="Aprovado"/>
    <n v="1"/>
    <n v="1"/>
    <n v="2849.84"/>
    <s v="PIX"/>
    <n v="2849.84"/>
    <m/>
    <s v="PIX"/>
    <s v="pix"/>
    <s v="AI Festival 2026 - Ingresso Interactive"/>
    <s v="evento-ia-ed1a26_interactive"/>
    <s v="Lucas Humberto Coelho Frota"/>
    <s v="08404768331"/>
    <s v="07.599.186/0001-96"/>
    <s v="Dissobel"/>
    <s v="lucksbrasil123@gmail.com"/>
    <s v="88999222502"/>
    <m/>
    <s v="62050382"/>
    <s v="Avenida Senador Fernandes Távora"/>
    <s v="402"/>
    <m/>
    <s v="Sinhá Sabóia"/>
    <s v="Sobral"/>
    <s v="CE"/>
    <s v="Filial(São Paulo)"/>
    <m/>
    <m/>
    <m/>
    <m/>
    <s v="fa5248c33d4e80982a273b348de633ac"/>
    <s v="ESPECIAL_FERBITT_INTERACTIVE"/>
    <s v="Nao"/>
    <x v="7"/>
    <m/>
    <s v="13/05/2026"/>
    <m/>
    <m/>
    <m/>
    <m/>
    <s v="KAM"/>
    <s v="19/12/2024"/>
    <s v="ID-07599186000196"/>
    <m/>
    <m/>
    <x v="0"/>
  </r>
  <r>
    <s v="COM69EA13531D3E0"/>
    <n v="247797"/>
    <s v="23/04/2026 09:40"/>
    <x v="1"/>
    <m/>
    <s v="23/04/2026"/>
    <s v="Aprovado"/>
    <n v="1"/>
    <n v="1"/>
    <n v="0"/>
    <m/>
    <n v="0"/>
    <s v=""/>
    <s v="Cortesia"/>
    <s v="cortesia"/>
    <s v="Executive Program - 25 a 27 de Maio de 2026"/>
    <s v="executive-program-ed5a26"/>
    <s v="Viviane Midori Kadowaki Rassi"/>
    <s v="28980488874"/>
    <m/>
    <m/>
    <s v="vkadowaki@sicoob.com.br"/>
    <s v="5516981632557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ff2a5dc4c62c63938613f1efc84194a8"/>
    <m/>
    <s v="Nao"/>
    <x v="10"/>
    <m/>
    <s v="25/05/2026"/>
    <m/>
    <m/>
    <m/>
    <m/>
    <s v="KAM"/>
    <m/>
    <s v="ID-28980488874"/>
    <m/>
    <m/>
    <x v="1"/>
  </r>
  <r>
    <s v="COM69EA09A45DFA2"/>
    <n v="247794"/>
    <s v="23/04/2026 08:59"/>
    <x v="1"/>
    <m/>
    <s v="23/04/2026"/>
    <s v="Aprovado"/>
    <n v="1"/>
    <n v="1"/>
    <n v="0"/>
    <m/>
    <n v="0"/>
    <s v=""/>
    <s v="Cortesia"/>
    <s v="cortesia"/>
    <s v="Executive Program - 25 a 27 de Maio de 2026"/>
    <s v="executive-program-ed5a26"/>
    <s v="Antonio do Amaral Júnior"/>
    <s v="20253186854"/>
    <m/>
    <m/>
    <s v="ajunior@unimedpr.coop.br"/>
    <s v="5519982145655"/>
    <m/>
    <s v="04578-910"/>
    <s v="Avenida das Nações Unidas, 12901"/>
    <s v="12901"/>
    <m/>
    <s v="Brooklin Paulista"/>
    <s v="São Paulo"/>
    <s v="SP"/>
    <s v="Filial(São Paulo)"/>
    <s v="Executive Program - 25 a 27 de Maio de 2026"/>
    <m/>
    <m/>
    <m/>
    <s v="3862f1a1c85dda2ba84239777a82ec37"/>
    <m/>
    <s v="Nao"/>
    <x v="6"/>
    <m/>
    <s v="25/05/2026"/>
    <m/>
    <m/>
    <m/>
    <m/>
    <s v="KAM"/>
    <m/>
    <s v="ID-20253186854"/>
    <m/>
    <m/>
    <x v="1"/>
  </r>
  <r>
    <s v="COM69E935400D722"/>
    <n v="247777"/>
    <s v="22/04/2026 17:53"/>
    <x v="1"/>
    <m/>
    <s v="22/04/2026"/>
    <s v="Aprovado"/>
    <n v="1"/>
    <n v="1"/>
    <n v="0"/>
    <m/>
    <n v="0"/>
    <s v=""/>
    <s v="Cortesia"/>
    <s v="cortesia"/>
    <s v="AI Strategy - 23 de abril de 2026"/>
    <s v="imersao-presencial-strategy-ai-ed1a26"/>
    <s v="Marcelo Tonhazolo"/>
    <s v="13148226836"/>
    <m/>
    <m/>
    <s v="marcelo.tonhazolo@manserv.com.br"/>
    <s v="5511985713562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b1e00e72e32d860431a419124ab9e5cb"/>
    <m/>
    <s v="Nao"/>
    <x v="0"/>
    <m/>
    <s v="23/04/2026"/>
    <m/>
    <m/>
    <m/>
    <s v="Brasil"/>
    <s v="KAM"/>
    <m/>
    <s v="ID-13148226836"/>
    <m/>
    <m/>
    <x v="1"/>
  </r>
  <r>
    <s v="COM69E906D172115"/>
    <n v="247759"/>
    <s v="22/04/2026 14:35"/>
    <x v="1"/>
    <m/>
    <s v="24/04/2026"/>
    <s v="Aprovado"/>
    <n v="1"/>
    <n v="1"/>
    <n v="135000"/>
    <m/>
    <n v="126697.5"/>
    <s v=""/>
    <s v="TED"/>
    <s v="ted"/>
    <s v="Workshop Sicredi Central Sul Sudeste - Gestão de Pessoas"/>
    <s v="corporate-workshop-ed3a26"/>
    <s v="Alexandra Godoy"/>
    <m/>
    <s v="10.510.590/0001-56"/>
    <s v="SERVICO NACIONAL DE APRENDIZAGEM DO COOPERATIVISMO DO ESTADO DO RIO GRANDE DO SUL - SESCOOP/RS"/>
    <s v="alexandra_godoy@sicredi.com.br"/>
    <s v="51995634876"/>
    <s v="5133230018"/>
    <s v="90240581"/>
    <s v="BERLIM"/>
    <s v="409"/>
    <s v="ANDAR 3"/>
    <s v="SAO GERALDO"/>
    <s v="Porto Alegre"/>
    <s v="RS"/>
    <s v="Filial(São Paulo)"/>
    <s v="Workshop Sicredi Central Sul Sudeste - Gestão de Pessoas"/>
    <m/>
    <m/>
    <m/>
    <s v="cb2dc8c68c3c3bd129f0a8925d5245fc"/>
    <m/>
    <s v="Nao"/>
    <x v="7"/>
    <m/>
    <s v="17/06/2026"/>
    <m/>
    <m/>
    <m/>
    <m/>
    <s v="KAM"/>
    <s v="17/04/2018"/>
    <s v="ID-10510590000156"/>
    <s v="Aguardando recebimento"/>
    <m/>
    <x v="2"/>
  </r>
  <r>
    <s v="COM69E8E212E0B54"/>
    <n v="247744"/>
    <s v="22/04/2026 11:58"/>
    <x v="1"/>
    <m/>
    <m/>
    <s v="Aprovado"/>
    <n v="1"/>
    <n v="1"/>
    <n v="0"/>
    <m/>
    <n v="0"/>
    <s v=""/>
    <s v="Cortesia"/>
    <s v="cortesia"/>
    <s v="AI Festival 2026 - Ingresso Explorer"/>
    <s v="evento-ia-ed1a26_explorer"/>
    <s v="Otávio Mendonça Lucas"/>
    <s v="10882828657"/>
    <m/>
    <m/>
    <s v="otavio.lucas@agrocp.agr.br"/>
    <s v="5535997215271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c42f32ea7680c4722384ae186f48a061"/>
    <m/>
    <s v="Nao"/>
    <x v="13"/>
    <m/>
    <s v="13/05/2026"/>
    <m/>
    <m/>
    <m/>
    <m/>
    <m/>
    <m/>
    <s v="ID-10882828657"/>
    <m/>
    <m/>
    <x v="1"/>
  </r>
  <r>
    <s v="COM69E8E14D7B05F"/>
    <n v="247743"/>
    <s v="22/04/2026 11:55"/>
    <x v="1"/>
    <m/>
    <m/>
    <s v="Aprovado"/>
    <n v="1"/>
    <n v="1"/>
    <n v="0"/>
    <m/>
    <n v="0"/>
    <s v=""/>
    <s v="Cortesia"/>
    <s v="cortesia"/>
    <s v="AI Festival 2026 - Ingresso Explorer"/>
    <s v="evento-ia-ed1a26_explorer"/>
    <s v="Tais Verena de Oliveira"/>
    <s v="08076128633"/>
    <m/>
    <m/>
    <s v="tais.oliveira@agrocp.agr.br"/>
    <s v="5535992470074"/>
    <m/>
    <s v="04578-910"/>
    <s v="Avenida das Nações Unidas"/>
    <s v="12901"/>
    <m/>
    <s v="Brooklin Paulista"/>
    <s v="São Paulo"/>
    <s v="SP"/>
    <s v="Filial(São Paulo)"/>
    <s v="AI Festival 2026 - Ingresso Explorer"/>
    <m/>
    <m/>
    <m/>
    <s v="0eea9e53ade2f6490487560d2351e4db"/>
    <m/>
    <s v="Nao"/>
    <x v="13"/>
    <m/>
    <s v="13/05/2026"/>
    <m/>
    <m/>
    <m/>
    <m/>
    <m/>
    <m/>
    <s v="ID-08076128633"/>
    <m/>
    <m/>
    <x v="1"/>
  </r>
  <r>
    <s v="COM69E8DBED6F58A"/>
    <n v="247736"/>
    <s v="22/04/2026 11:32"/>
    <x v="1"/>
    <m/>
    <s v="22/04/2026"/>
    <s v="Aprovado"/>
    <n v="1"/>
    <n v="1"/>
    <n v="0"/>
    <m/>
    <n v="0"/>
    <s v=""/>
    <s v="Cortesia"/>
    <s v="cortesia"/>
    <s v="AI Strategy - 23 de abril de 2026"/>
    <s v="imersao-presencial-strategy-ai-ed1a26"/>
    <s v="Rodrigo Peres"/>
    <s v="22358608858"/>
    <m/>
    <m/>
    <s v="rodrigo.peres@claro.com.br"/>
    <s v="5511999763977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39cdbafefd3c5bd1e5d9bfed779a0623"/>
    <m/>
    <s v="Nao"/>
    <x v="4"/>
    <m/>
    <s v="23/04/2026"/>
    <m/>
    <m/>
    <m/>
    <s v="Brasil"/>
    <s v="KAM"/>
    <m/>
    <s v="ID-22358608858"/>
    <m/>
    <m/>
    <x v="1"/>
  </r>
  <r>
    <s v="COM69E8D6EA64987"/>
    <n v="247729"/>
    <s v="22/04/2026 11:10"/>
    <x v="1"/>
    <m/>
    <s v="24/04/2026"/>
    <s v="Aprovado"/>
    <n v="1"/>
    <n v="1"/>
    <n v="15500"/>
    <m/>
    <n v="14546.75"/>
    <s v=""/>
    <s v="TED"/>
    <s v="ted"/>
    <s v="Executive Program - 25 a 27 de Maio de 2026"/>
    <s v="executive-program-ed5a26"/>
    <s v="PRISCILA HERMSDORFF PONTES"/>
    <m/>
    <s v="60.746.948/0283-94"/>
    <s v="BANCO BRADESCO S.A."/>
    <s v="priscila.pontes@bradesco.com.br"/>
    <s v="11958349961"/>
    <s v="1133678700"/>
    <s v="01042001"/>
    <s v="BR DE ITAPETININGA"/>
    <s v="107"/>
    <m/>
    <s v="REPUBLICA"/>
    <s v="São Paulo"/>
    <s v="SP"/>
    <s v="Filial(São Paulo)"/>
    <s v="Evento: 50370483 - Participante: Guilherme Mauricio de Lima"/>
    <m/>
    <m/>
    <m/>
    <s v="eb1005383e5ee80ea29ad5a3054419df"/>
    <m/>
    <s v="Nao"/>
    <x v="7"/>
    <m/>
    <s v="25/05/2026"/>
    <m/>
    <m/>
    <m/>
    <m/>
    <s v="KAM"/>
    <s v="04/11/2017"/>
    <s v="ID-60746948028394"/>
    <s v="Aguardando recebimento"/>
    <m/>
    <x v="2"/>
  </r>
  <r>
    <s v="COM69E664AE47CC4"/>
    <n v="247665"/>
    <s v="20/04/2026 14:38"/>
    <x v="1"/>
    <m/>
    <m/>
    <s v="Aprovado"/>
    <n v="1"/>
    <n v="1"/>
    <n v="0"/>
    <m/>
    <n v="0"/>
    <s v=""/>
    <s v="Cortesia"/>
    <s v="cortesia"/>
    <s v="AI Festival 2026 - Ingresso Explorer"/>
    <s v="evento-ia-ed1a26_explorer"/>
    <s v="Tatiana Lira"/>
    <m/>
    <s v="06.665.129/0001-03"/>
    <s v="SERVICO DE APOIO AS MICRO E PEQ EMP DO PIAUI"/>
    <s v="tatiana.lira@pi.sebrae.com.br"/>
    <s v="8694347715"/>
    <s v="8699404040"/>
    <s v="64000300"/>
    <s v="CAMPOS SALES"/>
    <s v="1046"/>
    <m/>
    <s v="CENTRO"/>
    <s v="Teresina"/>
    <s v="PI"/>
    <s v="Filial(São Paulo)"/>
    <s v="AI Festival"/>
    <m/>
    <m/>
    <m/>
    <s v="893ae516aa37ac22ff5a9f2d2c41ceab"/>
    <m/>
    <s v="Nao"/>
    <x v="2"/>
    <m/>
    <s v="13/05/2026"/>
    <m/>
    <m/>
    <m/>
    <m/>
    <s v="KAM"/>
    <s v="15/10/2018"/>
    <s v="ID-06665129000103"/>
    <m/>
    <m/>
    <x v="1"/>
  </r>
  <r>
    <s v="COM69E66376AD23D"/>
    <n v="247662"/>
    <s v="20/04/2026 14:33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Guilherme Queiroz"/>
    <s v="27842218811"/>
    <m/>
    <m/>
    <s v="guilherme.queiroz@medtronic.com"/>
    <s v="5511999718574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8af81e125d6d8031b86985a2d15eeae5"/>
    <m/>
    <s v="Nao"/>
    <x v="5"/>
    <m/>
    <s v="23/04/2026"/>
    <m/>
    <m/>
    <m/>
    <s v="Brasil"/>
    <s v="KAM"/>
    <s v="05/03/2024"/>
    <s v="ID-27842218811"/>
    <m/>
    <m/>
    <x v="1"/>
  </r>
  <r>
    <s v="COM69E662A545B04"/>
    <n v="247661"/>
    <s v="20/04/2026 14:30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Rafael Tobara"/>
    <s v="31451396813"/>
    <m/>
    <m/>
    <s v="rafael.tobara@gmail.com"/>
    <s v="5511976696334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ee4fa16ec86951618d79a3e873b713a7"/>
    <m/>
    <s v="Nao"/>
    <x v="5"/>
    <m/>
    <s v="23/04/2026"/>
    <m/>
    <m/>
    <m/>
    <s v="Brasil"/>
    <s v="KAM"/>
    <m/>
    <s v="ID-31451396813"/>
    <m/>
    <m/>
    <x v="1"/>
  </r>
  <r>
    <s v="ORDZ2YAYRDE6RY4L"/>
    <n v="247659"/>
    <s v="20/04/2026 14:00"/>
    <x v="1"/>
    <m/>
    <s v="24/04/2026"/>
    <s v="Aprovado"/>
    <n v="6"/>
    <n v="1"/>
    <n v="19201.259999999998"/>
    <s v="Boleto Bradesco"/>
    <n v="18020.38"/>
    <m/>
    <s v="Boleto"/>
    <s v="boleto"/>
    <s v="AI Festival 2026 - Ingresso Interactive"/>
    <s v="evento-ia-ed1a26_interactive"/>
    <s v="Ana Paula Nascimento Linhares"/>
    <s v="68271557220"/>
    <s v="04.902.979/0001-44"/>
    <s v="BANCO DA AMAZONIA SA"/>
    <s v="anapaula.nascimento@basa.com.br"/>
    <s v="91982320533"/>
    <m/>
    <s v="66017000"/>
    <s v="PRESIDENTE VARGAS"/>
    <s v="800"/>
    <s v="10º andar - Bloco B"/>
    <s v="CENTRO"/>
    <s v="Belém"/>
    <s v="PA"/>
    <s v="Filial(São Paulo)"/>
    <m/>
    <m/>
    <m/>
    <m/>
    <s v="2009db58015d5166d535b855bf08ca0a"/>
    <s v="AI-FESTIVAL26-INTERACTIVE-1"/>
    <s v="Nao"/>
    <x v="4"/>
    <m/>
    <s v="13/05/2026"/>
    <m/>
    <m/>
    <m/>
    <m/>
    <s v="KAM"/>
    <s v="16/02/2023"/>
    <s v="ID-04902979000144"/>
    <m/>
    <m/>
    <x v="3"/>
  </r>
  <r>
    <s v="COM69E6489899CAA"/>
    <n v="247654"/>
    <s v="20/04/2026 12:39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Diego Neufert"/>
    <s v="03072316902"/>
    <m/>
    <m/>
    <s v="neufert@gmail.com"/>
    <s v="5511976696334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242adfcc01ea8262169c657cb3a5559f"/>
    <m/>
    <s v="Nao"/>
    <x v="0"/>
    <m/>
    <s v="23/04/2026"/>
    <m/>
    <m/>
    <m/>
    <s v="Brasil"/>
    <s v="KAM"/>
    <m/>
    <s v="ID-03072316902"/>
    <m/>
    <m/>
    <x v="1"/>
  </r>
  <r>
    <s v="COM69E636F2D3B15"/>
    <n v="247650"/>
    <s v="20/04/2026 11:23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Daniel Camarotto Mota"/>
    <s v="30404520880"/>
    <m/>
    <m/>
    <s v="daniel.mota@itau-unibanco.com.br"/>
    <s v="5511975788659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2d1af93643766ed61a13b2fc4d79d10"/>
    <m/>
    <s v="Nao"/>
    <x v="7"/>
    <m/>
    <s v="23/04/2026"/>
    <m/>
    <m/>
    <m/>
    <s v="Brasil"/>
    <s v="KAM"/>
    <s v="16/10/2024"/>
    <s v="ID-30404520880"/>
    <m/>
    <m/>
    <x v="1"/>
  </r>
  <r>
    <s v="COM69E63624A2273"/>
    <n v="247648"/>
    <s v="20/04/2026 11:20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Paula Montoni Fontes"/>
    <s v="12297566719"/>
    <m/>
    <m/>
    <s v="paula.montoni@elo.com.br"/>
    <s v="5521971523772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0c545dc677495f6515904a067179ea63"/>
    <m/>
    <s v="Nao"/>
    <x v="4"/>
    <m/>
    <s v="23/04/2026"/>
    <m/>
    <m/>
    <m/>
    <s v="Brasil"/>
    <s v="KAM"/>
    <m/>
    <s v="ID-12297566719"/>
    <m/>
    <m/>
    <x v="1"/>
  </r>
  <r>
    <s v="COM69E6349517772"/>
    <n v="247647"/>
    <s v="20/04/2026 11:13"/>
    <x v="1"/>
    <m/>
    <s v="20/04/2026"/>
    <s v="Aprovado"/>
    <n v="1"/>
    <n v="1"/>
    <n v="0"/>
    <m/>
    <n v="0"/>
    <s v=""/>
    <s v="Cortesia"/>
    <s v="cortesia"/>
    <s v="AI Strategy - 23 de abril de 2026"/>
    <s v="imersao-presencial-strategy-ai-ed1a26"/>
    <s v="Augusto Cesar Felippe Borges"/>
    <s v="09393253730"/>
    <m/>
    <m/>
    <s v="augusto.borges@grupobrasanitas.com.br"/>
    <s v="5511945051139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b70967a2a175c69cd690f39a4c768d02"/>
    <m/>
    <s v="Nao"/>
    <x v="14"/>
    <m/>
    <s v="23/04/2026"/>
    <m/>
    <m/>
    <m/>
    <s v="Brasil"/>
    <m/>
    <m/>
    <s v="ID-09393253730"/>
    <m/>
    <m/>
    <x v="1"/>
  </r>
  <r>
    <s v="ORDZDIE6JGSTZF2J"/>
    <n v="247636"/>
    <s v="20/04/2026 08:29"/>
    <x v="1"/>
    <m/>
    <s v="20/04/2026"/>
    <s v="Aprovado"/>
    <n v="1"/>
    <n v="12"/>
    <n v="26877"/>
    <s v="Braintree"/>
    <n v="26877"/>
    <s v="28987210985HQPOD1BBC"/>
    <s v="Crédito Parcelado"/>
    <s v="mastercard"/>
    <s v="Silicon Valley Xperience - 31 de Agosto a 4 de Setembro de 2026"/>
    <s v="silicon-valley-xperience-ed6a26"/>
    <s v="Júlio César David Silva"/>
    <s v="16996249848"/>
    <m/>
    <m/>
    <s v="julio_cesar.silva@daimlertruck.com"/>
    <s v="11956574889"/>
    <m/>
    <s v="13333534"/>
    <s v="Rua Durval Sombini"/>
    <s v="345"/>
    <s v="Lote 17 - QuadraA"/>
    <s v="Residencial Duas Marias"/>
    <s v="Indaiatuba"/>
    <s v="SP"/>
    <s v="Turismo - 50%"/>
    <m/>
    <m/>
    <m/>
    <m/>
    <s v="e71c4eb1924690571046c8ba3d2c5fa0"/>
    <s v="OFFVALE-GC-MERCEDES-JULIOCESAR"/>
    <s v="Nao"/>
    <x v="0"/>
    <m/>
    <s v="31/08/2026"/>
    <m/>
    <m/>
    <s v="https://loja.startse.com.br//processamento/fatura/e71c4eb1924690571046c8ba3d2c5fa0"/>
    <s v="Vale do Silício"/>
    <s v="KAM"/>
    <s v="17/04/2024"/>
    <s v="ID-16996249848"/>
    <m/>
    <m/>
    <x v="0"/>
  </r>
  <r>
    <s v="COM69E5831451D7F"/>
    <n v="247635"/>
    <s v="19/04/2026 22:36"/>
    <x v="1"/>
    <m/>
    <m/>
    <s v="Aprovado"/>
    <n v="2"/>
    <n v="1"/>
    <n v="0"/>
    <m/>
    <n v="0"/>
    <s v=""/>
    <s v="Cortesia"/>
    <s v="cortesia"/>
    <s v="AI Festival 2026 - Ingresso Platinum"/>
    <s v="evento-ia-ed1a26_platinum"/>
    <s v="Paulo Máximo"/>
    <m/>
    <s v="01.844.555/0001-82"/>
    <s v="CNH INDUSTRIAL BRASIL LTDA."/>
    <s v="paulo.maximo@cnh.com"/>
    <s v="4196100110"/>
    <s v="3121043392"/>
    <s v="34006049"/>
    <s v="OSCAR NIEMEYER"/>
    <s v="132"/>
    <s v="SALA 801"/>
    <s v="VALE DO SERENO"/>
    <s v="Nova Lima"/>
    <s v="MG"/>
    <s v="Filial(São Paulo)"/>
    <s v="CNH"/>
    <m/>
    <m/>
    <m/>
    <s v="183fadb4d9b30dbd5740b9e4d0318a1a"/>
    <m/>
    <s v="Nao"/>
    <x v="10"/>
    <m/>
    <s v="13/05/2026"/>
    <m/>
    <m/>
    <m/>
    <m/>
    <s v="KAM"/>
    <s v="28/06/2024"/>
    <s v="ID-01844555000182"/>
    <m/>
    <m/>
    <x v="1"/>
  </r>
  <r>
    <s v="ORDMSK0LMPNC04BX"/>
    <n v="247522"/>
    <s v="17/04/2026 15:29"/>
    <x v="1"/>
    <m/>
    <s v="17/04/2026"/>
    <s v="Aprovado"/>
    <n v="1"/>
    <n v="3"/>
    <n v="2849.84"/>
    <s v="Braintree"/>
    <n v="2674.57"/>
    <s v="28974115835HO4EJSTDE"/>
    <s v="Crédito Parcelado"/>
    <s v="mastercard"/>
    <s v="AI Festival 2026 - Ingresso Interactive"/>
    <s v="evento-ia-ed1a26_interactive"/>
    <s v="Daniel Aleixo"/>
    <s v="41298200873"/>
    <s v="41.068.341/0001-86"/>
    <s v="LBA CONSULTORIA E ASSESSORIA LTDA"/>
    <s v="daniel@lbac.com.br"/>
    <s v="16993374959"/>
    <m/>
    <s v="14024260"/>
    <s v="PROFESSOR JOAO FIUSA"/>
    <s v="1148"/>
    <s v="LBA"/>
    <s v="JARDIM CANADA"/>
    <s v="Ribeirão Preto"/>
    <s v="SP"/>
    <s v="Filial(São Paulo)"/>
    <m/>
    <m/>
    <m/>
    <m/>
    <s v="273c3f5295ab083526dd2142475feaa3"/>
    <s v="ESPECIAL_FERBITT_INTERACTIVE"/>
    <s v="Nao"/>
    <x v="7"/>
    <m/>
    <s v="13/05/2026"/>
    <m/>
    <m/>
    <m/>
    <m/>
    <s v="KAM"/>
    <s v="17/04/2026"/>
    <s v="ID-41068341000186"/>
    <m/>
    <m/>
    <x v="0"/>
  </r>
  <r>
    <s v="ORDS7EQU0JVI1NRQ"/>
    <n v="247521"/>
    <s v="17/04/2026 15:27"/>
    <x v="1"/>
    <m/>
    <s v="17/04/2026"/>
    <s v="Aprovado"/>
    <n v="1"/>
    <n v="4"/>
    <n v="2849.84"/>
    <s v="Braintree"/>
    <n v="2674.57"/>
    <s v="28974115835HO4EIV82E"/>
    <s v="Crédito Parcelado"/>
    <s v="visa"/>
    <s v="AI Festival 2026 - Ingresso Interactive"/>
    <s v="evento-ia-ed1a26_interactive"/>
    <s v="Caio Menezes"/>
    <s v="10524295646"/>
    <s v="41.068.341/0001-86"/>
    <s v="LBA CONSULTORIA E ASSESSORIA LTDA"/>
    <s v="caio.menezes@lbac.com.br"/>
    <s v="35992449586"/>
    <m/>
    <s v="14024260"/>
    <s v="PROFESSOR JOAO FIUSA"/>
    <s v="1148"/>
    <s v="LBA"/>
    <s v="JARDIM CANADA"/>
    <s v="Ribeirão Preto"/>
    <s v="SP"/>
    <s v="Filial(São Paulo)"/>
    <m/>
    <m/>
    <m/>
    <m/>
    <s v="7ca6937d7dd830b1e5d030aa9b210cb5"/>
    <s v="ESPECIAL_FERBITT_INTERACTIVE"/>
    <s v="Nao"/>
    <x v="7"/>
    <m/>
    <s v="13/05/2026"/>
    <m/>
    <m/>
    <m/>
    <m/>
    <s v="KAM"/>
    <s v="17/04/2026"/>
    <s v="ID-41068341000186"/>
    <m/>
    <m/>
    <x v="0"/>
  </r>
  <r>
    <s v="COM69E2649F941CD"/>
    <n v="247501"/>
    <s v="17/04/2026 13:49"/>
    <x v="1"/>
    <m/>
    <s v="17/04/2026"/>
    <s v="Aprovado"/>
    <n v="1"/>
    <n v="1"/>
    <n v="0"/>
    <m/>
    <n v="0"/>
    <s v=""/>
    <s v="Cortesia"/>
    <s v="cortesia"/>
    <s v="AI Strategy - 23 de abril de 2026"/>
    <s v="imersao-presencial-strategy-ai-ed1a26"/>
    <s v="Renan Fonteles Albuquerque"/>
    <s v="04838770340"/>
    <m/>
    <m/>
    <s v="renanfa@bnb.gov.br"/>
    <s v="5585987683898"/>
    <m/>
    <s v="60810-670"/>
    <s v="Rua B"/>
    <s v="5700"/>
    <m/>
    <s v="Engenheiro Luciano Cavalcante"/>
    <s v="Fortaleza"/>
    <s v="CE"/>
    <s v="Filial(São Paulo)"/>
    <s v="Strategy AI"/>
    <m/>
    <m/>
    <m/>
    <s v="8aab4034e61bd09ac179e8a8b21f1b34"/>
    <m/>
    <s v="Nao"/>
    <x v="2"/>
    <m/>
    <s v="23/04/2026"/>
    <m/>
    <m/>
    <m/>
    <s v="Brasil"/>
    <s v="KAM"/>
    <m/>
    <s v="ID-04838770340"/>
    <m/>
    <m/>
    <x v="1"/>
  </r>
  <r>
    <s v="COM69E25FD8DA1E4"/>
    <n v="247500"/>
    <s v="17/04/2026 13:29"/>
    <x v="1"/>
    <m/>
    <s v="17/04/2026"/>
    <s v="Aprovado"/>
    <n v="1"/>
    <n v="1"/>
    <n v="0"/>
    <m/>
    <n v="0"/>
    <s v=""/>
    <s v="Cortesia"/>
    <s v="cortesia"/>
    <s v="AI Strategy - 23 de abril de 2026"/>
    <s v="imersao-presencial-strategy-ai-ed1a26"/>
    <s v="Jorge Américo Marfim Stakowiak"/>
    <s v="27418129858"/>
    <m/>
    <m/>
    <s v="jorge.stakowiak@gruposc.com.br"/>
    <s v="5511995136191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32484e205f80ee07ec3f1b3813ca98ab"/>
    <m/>
    <s v="Nao"/>
    <x v="0"/>
    <m/>
    <s v="23/04/2026"/>
    <m/>
    <m/>
    <m/>
    <s v="Brasil"/>
    <s v="KAM"/>
    <m/>
    <s v="ID-27418129858"/>
    <m/>
    <m/>
    <x v="1"/>
  </r>
  <r>
    <s v="COM69E2462473985"/>
    <n v="247494"/>
    <s v="17/04/2026 11:39"/>
    <x v="1"/>
    <m/>
    <s v="17/04/2026"/>
    <s v="Aprovado"/>
    <n v="1"/>
    <n v="1"/>
    <n v="0"/>
    <m/>
    <n v="0"/>
    <s v=""/>
    <s v="Cortesia"/>
    <s v="cortesia"/>
    <s v="AI Strategy - 23 de abril de 2026"/>
    <s v="imersao-presencial-strategy-ai-ed1a26"/>
    <s v="Victor Antônio Costa"/>
    <s v="69535795104"/>
    <m/>
    <m/>
    <s v="victor.costa@sebraego.com.br"/>
    <s v="5562982021229"/>
    <m/>
    <s v="74215-095"/>
    <s v="Avenida T 3"/>
    <s v="s/n"/>
    <m/>
    <s v="Setor Bueno"/>
    <s v="Goiânia"/>
    <s v="GO"/>
    <s v="Filial(São Paulo)"/>
    <s v="Strategy.AI"/>
    <m/>
    <m/>
    <m/>
    <s v="27ebb2f941162ab514e75bf62dd0bd84"/>
    <m/>
    <s v="Nao"/>
    <x v="2"/>
    <m/>
    <s v="23/04/2026"/>
    <m/>
    <m/>
    <m/>
    <s v="Brasil"/>
    <s v="KAM"/>
    <m/>
    <s v="ID-69535795104"/>
    <m/>
    <m/>
    <x v="1"/>
  </r>
  <r>
    <s v="COM69E241F6E08D9"/>
    <n v="247493"/>
    <s v="17/04/2026 11:21"/>
    <x v="1"/>
    <m/>
    <s v="17/04/2026"/>
    <s v="Aprovado"/>
    <n v="1"/>
    <n v="1"/>
    <n v="2100"/>
    <s v="Boleto Bradesco"/>
    <n v="1970.85"/>
    <s v=""/>
    <s v="Boleto"/>
    <s v="boleto"/>
    <s v="HR Powerup"/>
    <s v="hr-powerup-ed1a26"/>
    <s v="Danielle Matos da Cunha Lima"/>
    <m/>
    <s v="07.625.772/0001-68"/>
    <s v="SPACE EMPREENDIMENTOS E PARTICIPACOES LTDA"/>
    <s v="danielle.matos@algarempreendimentos.com.br"/>
    <s v="34999920251"/>
    <s v="3432911400"/>
    <s v="38406642"/>
    <s v="FLORIANO PEIXOTO"/>
    <s v="5525"/>
    <s v="STAND 2 SALA 2"/>
    <s v="MARILEUSA"/>
    <s v="Uberlândia"/>
    <s v="MG"/>
    <s v="Filial(São Paulo)"/>
    <s v="HR Powerup"/>
    <m/>
    <m/>
    <m/>
    <s v="c41ecffa1852faa59c27e333ea9ddd1b"/>
    <m/>
    <s v="Nao"/>
    <x v="6"/>
    <m/>
    <s v="23/03/2026"/>
    <m/>
    <m/>
    <m/>
    <s v="Brasil"/>
    <s v="KAM"/>
    <s v="09/04/2025"/>
    <s v="ID-07625772000168"/>
    <s v="Aguardando recebimento"/>
    <m/>
    <x v="2"/>
  </r>
  <r>
    <s v="COM69E23A09CA1A0"/>
    <n v="247490"/>
    <s v="17/04/2026 10:47"/>
    <x v="1"/>
    <m/>
    <s v="17/04/2026"/>
    <s v="Aprovado"/>
    <n v="18"/>
    <n v="1"/>
    <n v="37800"/>
    <s v="Boleto Bradesco"/>
    <n v="35475.300000000003"/>
    <s v=""/>
    <s v="Boleto"/>
    <s v="boleto"/>
    <s v="HR Powerup"/>
    <s v="hr-powerup-ed1a26"/>
    <s v="Mariane Oliveira Machado"/>
    <m/>
    <s v="71.208.516/0001-74"/>
    <s v="ALGAR TELECOM S/A"/>
    <s v="mariane.oliveira@algar.com.br"/>
    <s v="34998883650"/>
    <s v="3432562963"/>
    <s v="38400668"/>
    <s v="JOSE ALVES GARCIA"/>
    <s v="415"/>
    <m/>
    <s v="BRASIL"/>
    <s v="Uberlândia"/>
    <s v="MG"/>
    <s v="Filial(São Paulo)"/>
    <s v="HR Powerup | Pedido de compras: 4500474908"/>
    <m/>
    <m/>
    <m/>
    <s v="0d11cff1bf3d9877e844440066d6b10a"/>
    <m/>
    <s v="Nao"/>
    <x v="6"/>
    <m/>
    <s v="23/03/2026"/>
    <m/>
    <m/>
    <m/>
    <s v="Brasil"/>
    <s v="KAM"/>
    <s v="16/03/2018"/>
    <s v="ID-71208516000174"/>
    <s v="Aguardando recebimento"/>
    <m/>
    <x v="2"/>
  </r>
  <r>
    <s v="COM69E177695B361"/>
    <n v="247468"/>
    <s v="16/04/2026 20:57"/>
    <x v="1"/>
    <m/>
    <s v="29/04/2026"/>
    <s v="Aprovado"/>
    <n v="1"/>
    <n v="1"/>
    <n v="27200"/>
    <s v="Boleto Bradesco"/>
    <n v="27200"/>
    <s v=""/>
    <s v="Boleto"/>
    <s v="boleto"/>
    <s v="China Xperience - 14 a 18 de Setembro de 2026"/>
    <s v="china-xperience-ed7a26"/>
    <s v="Fiorella Peroni"/>
    <s v="05201859860"/>
    <m/>
    <m/>
    <s v="fiorella.peroni@oracle.com"/>
    <s v="11999999999"/>
    <m/>
    <s v="04578-910"/>
    <s v="Avenida das Nações Unidas"/>
    <s v="12901"/>
    <m/>
    <s v="Brooklin Paulista"/>
    <s v="São Paulo"/>
    <s v="SP"/>
    <s v="Turismo - 50%"/>
    <s v="Fiorella Peroni l Oracle l China"/>
    <m/>
    <m/>
    <m/>
    <s v="32ad60b873e0de1a5c9c52ef14b820ec"/>
    <m/>
    <s v="Nao"/>
    <x v="10"/>
    <m/>
    <s v="14/09/2026"/>
    <m/>
    <m/>
    <s v="https://loja.startse.com.br//processamento/fatura/32ad60b873e0de1a5c9c52ef14b820ec"/>
    <s v="China"/>
    <s v="KAM"/>
    <s v="16/04/2026"/>
    <s v="ID-05201859860"/>
    <s v="Aguardando recebimento"/>
    <m/>
    <x v="2"/>
  </r>
  <r>
    <s v="COM69E149A006B2D"/>
    <n v="247453"/>
    <s v="16/04/2026 17:42"/>
    <x v="1"/>
    <m/>
    <s v="17/04/2026"/>
    <s v="Aprovado"/>
    <n v="5"/>
    <n v="1"/>
    <n v="9900"/>
    <m/>
    <n v="9291.15"/>
    <s v=""/>
    <s v="TED"/>
    <s v="ted"/>
    <s v="HR Powerup"/>
    <s v="hr-powerup-ed1a26"/>
    <s v="Cecilia Ines Weber"/>
    <m/>
    <s v="89.086.144/0011-98"/>
    <s v="RANDONCORP S.A."/>
    <s v="cecilia.ines@randoncorp.com"/>
    <s v="5432394177"/>
    <s v="5432392000"/>
    <s v="95055010"/>
    <s v="ABRAMO RANDON"/>
    <s v="770"/>
    <s v="ANDAR: PRIMEIRO"/>
    <s v="INTERLAGOS"/>
    <s v="Caxias do Sul"/>
    <s v="RS"/>
    <s v="Filial(São Paulo)"/>
    <s v="HR Powerup | Número do Pedido:4504114908"/>
    <m/>
    <m/>
    <m/>
    <s v="5c4f7136d617be9424de501de63ea233"/>
    <m/>
    <s v="Nao"/>
    <x v="0"/>
    <m/>
    <s v="23/03/2026"/>
    <m/>
    <m/>
    <m/>
    <s v="Brasil"/>
    <s v="KAM"/>
    <s v="20/11/2017"/>
    <s v="ID-89086144001198"/>
    <s v="Pago"/>
    <m/>
    <x v="0"/>
  </r>
  <r>
    <s v="COM69E11D0CE0E71"/>
    <n v="247433"/>
    <s v="16/04/2026 14:31"/>
    <x v="1"/>
    <m/>
    <s v="16/04/2026"/>
    <s v="Aprovado"/>
    <n v="1"/>
    <n v="1"/>
    <n v="0"/>
    <m/>
    <n v="0"/>
    <s v=""/>
    <s v="Cortesia"/>
    <s v="cortesia"/>
    <s v="Executive Program - 25 a 27 de Maio de 2026"/>
    <s v="executive-program-ed5a26"/>
    <s v="Jana Morais"/>
    <s v="01288069588"/>
    <m/>
    <m/>
    <s v="Jana.morais@pmi.com"/>
    <s v="5511953108658"/>
    <m/>
    <s v="04578-910"/>
    <s v="Avenida das Nações Unidas 12901"/>
    <s v="12901"/>
    <m/>
    <s v="Brooklin Paulista"/>
    <s v="São Paulo"/>
    <s v="SP"/>
    <s v="Filial(São Paulo)"/>
    <s v="Executive Program - 25 a 27 de Maio de 2026"/>
    <m/>
    <m/>
    <m/>
    <s v="bdbf37e4332bc5e72de4dbf3eb56aad6"/>
    <m/>
    <s v="Nao"/>
    <x v="8"/>
    <m/>
    <s v="25/05/2026"/>
    <m/>
    <m/>
    <m/>
    <m/>
    <s v="KAM"/>
    <m/>
    <s v="ID-01288069588"/>
    <m/>
    <m/>
    <x v="1"/>
  </r>
  <r>
    <s v="COM69E0F8E304413"/>
    <n v="247415"/>
    <s v="16/04/2026 11:57"/>
    <x v="1"/>
    <m/>
    <s v="16/04/2026"/>
    <s v="Aprovado"/>
    <n v="1"/>
    <n v="1"/>
    <n v="0"/>
    <m/>
    <n v="0"/>
    <s v=""/>
    <s v="Cortesia"/>
    <s v="cortesia"/>
    <s v="Executive Program - 25 a 27 de Maio de 2026"/>
    <s v="executive-program-ed5a26"/>
    <s v="Eduardo de Mello Rollo"/>
    <s v="27926279803"/>
    <m/>
    <m/>
    <s v="eduardo.rollo@assai.com.br"/>
    <s v="559999999888"/>
    <m/>
    <s v="04578-910"/>
    <s v="Avenida das Nações Unidas 12901"/>
    <s v="12901"/>
    <m/>
    <s v="Brooklin Paulista"/>
    <s v="São Paulo"/>
    <s v="SP"/>
    <s v="Filial(São Paulo)"/>
    <s v="Executive Program - 25 a 27 de Maio de 2026"/>
    <m/>
    <m/>
    <m/>
    <s v="8bb2d1719afaa5c66f6b1e176b456524"/>
    <m/>
    <s v="Nao"/>
    <x v="0"/>
    <m/>
    <s v="25/05/2026"/>
    <m/>
    <m/>
    <m/>
    <m/>
    <s v="KAM"/>
    <m/>
    <s v="ID-27926279803"/>
    <m/>
    <m/>
    <x v="1"/>
  </r>
  <r>
    <s v="COM69E0F6C9AB80F"/>
    <n v="247414"/>
    <s v="16/04/2026 11:48"/>
    <x v="1"/>
    <m/>
    <s v="16/04/2026"/>
    <s v="Aprovado"/>
    <n v="1"/>
    <n v="1"/>
    <n v="0"/>
    <m/>
    <n v="0"/>
    <s v=""/>
    <s v="Cortesia"/>
    <s v="cortesia"/>
    <s v="Executive Program - 25 a 27 de Maio de 2026"/>
    <s v="executive-program-ed5a26"/>
    <s v="Damian Préve"/>
    <s v="00712660976"/>
    <m/>
    <m/>
    <s v="preve@bb.com.br"/>
    <s v="5561995189911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f2e3ffc8fc73fb6c01068f2f398109f8"/>
    <m/>
    <s v="Nao"/>
    <x v="2"/>
    <m/>
    <s v="25/05/2026"/>
    <m/>
    <m/>
    <m/>
    <m/>
    <s v="KAM"/>
    <m/>
    <s v="ID-00712660976"/>
    <m/>
    <m/>
    <x v="1"/>
  </r>
  <r>
    <s v="COM69E0F6374313B"/>
    <n v="247413"/>
    <s v="16/04/2026 11:46"/>
    <x v="1"/>
    <m/>
    <s v="16/04/2026"/>
    <s v="Aprovado"/>
    <n v="1"/>
    <n v="1"/>
    <n v="0"/>
    <m/>
    <n v="0"/>
    <s v=""/>
    <s v="Cortesia"/>
    <s v="cortesia"/>
    <s v="Executive Program - 25 a 27 de Maio de 2026"/>
    <s v="executive-program-ed5a26"/>
    <s v="Ana Paula Santos de Oliveira"/>
    <s v="04699547958"/>
    <m/>
    <m/>
    <s v="anaoliveiraa@bb.com.br"/>
    <s v="5561999708188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0176b4379ef61a7b9d11b72174c25ff1"/>
    <m/>
    <s v="Nao"/>
    <x v="2"/>
    <m/>
    <s v="25/05/2026"/>
    <m/>
    <m/>
    <m/>
    <m/>
    <s v="KAM"/>
    <m/>
    <s v="ID-04699547958"/>
    <m/>
    <m/>
    <x v="1"/>
  </r>
  <r>
    <s v="COM69E0F569E00A3"/>
    <n v="247412"/>
    <s v="16/04/2026 11:42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Gustavo Blattner"/>
    <s v="28563072803"/>
    <m/>
    <m/>
    <s v="gustavo.blattner@ipiranga.ipiranga"/>
    <s v="5511975873530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97e6940736ad6a72a769838707797dfe"/>
    <m/>
    <s v="Nao"/>
    <x v="4"/>
    <m/>
    <s v="23/04/2026"/>
    <m/>
    <m/>
    <m/>
    <s v="Brasil"/>
    <s v="KAM"/>
    <m/>
    <s v="ID-28563072803"/>
    <m/>
    <m/>
    <x v="1"/>
  </r>
  <r>
    <s v="COM69E0F5307C2DD"/>
    <n v="247411"/>
    <s v="16/04/2026 11:41"/>
    <x v="1"/>
    <m/>
    <s v="16/04/2026"/>
    <s v="Aprovado"/>
    <n v="1"/>
    <n v="1"/>
    <n v="0"/>
    <m/>
    <n v="0"/>
    <s v=""/>
    <s v="Cortesia"/>
    <s v="cortesia"/>
    <s v="Executive Program - 25 a 27 de Maio de 2026"/>
    <s v="executive-program-ed5a26"/>
    <s v="Suyane Kanitz Ricci"/>
    <s v="86224735115"/>
    <m/>
    <m/>
    <s v="sricci@senaicni.com.br"/>
    <s v="5506133171222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6def6fba3bb8787fa82a2d20822ad049"/>
    <m/>
    <s v="Nao"/>
    <x v="2"/>
    <m/>
    <s v="25/05/2026"/>
    <m/>
    <m/>
    <m/>
    <m/>
    <s v="KAM"/>
    <m/>
    <s v="ID-86224735115"/>
    <m/>
    <m/>
    <x v="1"/>
  </r>
  <r>
    <s v="COM69E0F173AD9AF"/>
    <n v="247409"/>
    <s v="16/04/2026 11:25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Ana Carolina Cassinelli"/>
    <s v="30962890855"/>
    <m/>
    <m/>
    <s v="ana.cassinelli@simpar.com.br"/>
    <s v="5511982078104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7520a731d643da454609b12b0a063ab8"/>
    <m/>
    <s v="Nao"/>
    <x v="5"/>
    <m/>
    <s v="23/04/2026"/>
    <m/>
    <m/>
    <m/>
    <s v="Brasil"/>
    <s v="KAM"/>
    <m/>
    <s v="ID-30962890855"/>
    <m/>
    <m/>
    <x v="1"/>
  </r>
  <r>
    <s v="COM69E0EFD3632EB"/>
    <n v="247407"/>
    <s v="16/04/2026 11:18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Marco Antonio Costa Guimaraes"/>
    <s v="07986199881"/>
    <m/>
    <m/>
    <s v="marco.guimaraes@br.nestle.com"/>
    <s v="5511976976020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1f68b5e6be1f0a5d53681201e0e7d291"/>
    <m/>
    <s v="Nao"/>
    <x v="7"/>
    <m/>
    <s v="23/04/2026"/>
    <m/>
    <m/>
    <m/>
    <s v="Brasil"/>
    <s v="KAM"/>
    <m/>
    <s v="ID-07986199881"/>
    <m/>
    <m/>
    <x v="1"/>
  </r>
  <r>
    <s v="COM69E0EAF9172D2"/>
    <n v="247404"/>
    <s v="16/04/2026 10:58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Elayne Cristina Rodrigues Drumond"/>
    <s v="02847082670"/>
    <m/>
    <m/>
    <s v="Elayne.drumond@segurosunimed.com.br"/>
    <s v="5531998237432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f179d656f7500b8a8452919c7821317c"/>
    <m/>
    <s v="Nao"/>
    <x v="6"/>
    <m/>
    <s v="23/04/2026"/>
    <m/>
    <m/>
    <m/>
    <s v="Brasil"/>
    <s v="KAM"/>
    <m/>
    <s v="ID-02847082670"/>
    <m/>
    <m/>
    <x v="1"/>
  </r>
  <r>
    <s v="COM69E0E9E089802"/>
    <n v="247403"/>
    <s v="16/04/2026 10:53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Eduardo Vasconcelos Antônio"/>
    <s v="14672228878"/>
    <m/>
    <m/>
    <s v="Vasco@bancobmg.com.br"/>
    <s v="5511998238713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4cf80292496c90821c277257e5fbaa4a"/>
    <m/>
    <s v="Nao"/>
    <x v="7"/>
    <m/>
    <s v="23/04/2026"/>
    <m/>
    <m/>
    <m/>
    <s v="Brasil"/>
    <s v="KAM"/>
    <s v="30/04/2026"/>
    <s v="ID-14672228878"/>
    <m/>
    <m/>
    <x v="1"/>
  </r>
  <r>
    <s v="COM69E0E94A496AB"/>
    <n v="247402"/>
    <s v="16/04/2026 10:51"/>
    <x v="1"/>
    <m/>
    <s v="16/04/2026"/>
    <s v="Aprovado"/>
    <n v="1"/>
    <n v="1"/>
    <n v="0"/>
    <m/>
    <n v="0"/>
    <s v=""/>
    <s v="Cortesia"/>
    <s v="cortesia"/>
    <s v="AI Strategy - 23 de abril de 2026"/>
    <s v="imersao-presencial-strategy-ai-ed1a26"/>
    <s v="Claudio Gregori"/>
    <s v="22389374808"/>
    <m/>
    <m/>
    <s v="claudio.gregori@chubb.com"/>
    <s v="5511993644112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eaf06cb3da8c11e72a43cd8ba5980dea"/>
    <m/>
    <s v="Nao"/>
    <x v="8"/>
    <m/>
    <s v="23/04/2026"/>
    <m/>
    <m/>
    <m/>
    <s v="Brasil"/>
    <s v="KAM"/>
    <m/>
    <s v="ID-22389374808"/>
    <m/>
    <m/>
    <x v="1"/>
  </r>
  <r>
    <s v="COM69DFED48E6D4C"/>
    <n v="247362"/>
    <s v="15/04/2026 16:55"/>
    <x v="1"/>
    <m/>
    <s v="15/04/2026"/>
    <s v="Aprovado"/>
    <n v="1"/>
    <n v="1"/>
    <n v="0"/>
    <m/>
    <n v="0"/>
    <s v=""/>
    <s v="Cortesia"/>
    <s v="cortesia"/>
    <s v="AI Strategy - 23 de abril de 2026"/>
    <s v="imersao-presencial-strategy-ai-ed1a26"/>
    <s v="Bruno Alves do Nascimento"/>
    <s v="08383498705"/>
    <m/>
    <m/>
    <s v="brunoalves@bb.com.br"/>
    <s v="5561991003021"/>
    <m/>
    <s v="70040-912"/>
    <s v="SAUN Quadra 5 Lote B Torres I, II e III"/>
    <s v="s/n"/>
    <m/>
    <s v="Asa Norte"/>
    <s v="Brasília"/>
    <s v="DF"/>
    <s v="Filial(São Paulo)"/>
    <s v="Strategy.AI"/>
    <m/>
    <m/>
    <m/>
    <s v="78bb5822ca82fe2eb8f68cf558718031"/>
    <m/>
    <s v="Nao"/>
    <x v="2"/>
    <m/>
    <s v="23/04/2026"/>
    <m/>
    <m/>
    <m/>
    <s v="Brasil"/>
    <s v="KAM"/>
    <s v="27/08/2021"/>
    <s v="ID-08383498705"/>
    <m/>
    <m/>
    <x v="1"/>
  </r>
  <r>
    <s v="COM69DFDCCD935D2"/>
    <n v="247360"/>
    <s v="15/04/2026 15:45"/>
    <x v="1"/>
    <m/>
    <s v="15/04/2026"/>
    <s v="Aprovado"/>
    <n v="1"/>
    <n v="1"/>
    <n v="0"/>
    <m/>
    <n v="0"/>
    <s v=""/>
    <s v="Cortesia"/>
    <s v="cortesia"/>
    <s v="AI Strategy - 23 de abril de 2026"/>
    <s v="imersao-presencial-strategy-ai-ed1a26"/>
    <s v="Andréa Castejon"/>
    <s v="20541137867"/>
    <m/>
    <m/>
    <s v="andrea.castejon@pmi.com"/>
    <s v="5511975673071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3ddaa1e5088a8a210a2f1f3b72b4e47f"/>
    <m/>
    <s v="Nao"/>
    <x v="8"/>
    <m/>
    <s v="23/04/2026"/>
    <m/>
    <m/>
    <m/>
    <s v="Brasil"/>
    <s v="KAM"/>
    <m/>
    <s v="ID-20541137867"/>
    <m/>
    <m/>
    <x v="1"/>
  </r>
  <r>
    <s v="COM69DE2F4A3DC90"/>
    <n v="247232"/>
    <s v="14/04/2026 09:12"/>
    <x v="1"/>
    <m/>
    <s v="14/04/2026"/>
    <s v="Aprovado"/>
    <n v="1"/>
    <n v="1"/>
    <n v="0"/>
    <m/>
    <n v="0"/>
    <s v=""/>
    <s v="Cortesia"/>
    <s v="cortesia"/>
    <s v="AI Strategy - 23 de abril de 2026"/>
    <s v="imersao-presencial-strategy-ai-ed1a26"/>
    <s v="Aline Ferreira Carvalho"/>
    <s v="33658278897"/>
    <m/>
    <m/>
    <s v="aline.a.ferreira-carvalho@itau-unibanco.com.br"/>
    <s v="5511985432482"/>
    <m/>
    <s v="04578-910"/>
    <s v="Avenida das Nações Unidas, 12901"/>
    <s v="12901"/>
    <m/>
    <s v="Brooklin Paulista"/>
    <s v="São Paulo"/>
    <s v="SP"/>
    <s v="Filial(São Paulo)"/>
    <s v="AI Strategy - 23 de abril de 2026"/>
    <m/>
    <m/>
    <m/>
    <s v="bdcba4329d5f5fb340b6f3cffa516e26"/>
    <m/>
    <s v="Nao"/>
    <x v="7"/>
    <m/>
    <s v="23/04/2026"/>
    <m/>
    <m/>
    <m/>
    <s v="Brasil"/>
    <s v="KAM"/>
    <s v="09/03/2023"/>
    <s v="ID-33658278897"/>
    <m/>
    <m/>
    <x v="1"/>
  </r>
  <r>
    <s v="COM69DD566966DFF"/>
    <n v="247224"/>
    <s v="13/04/2026 17:47"/>
    <x v="1"/>
    <m/>
    <s v="13/04/2026"/>
    <s v="Aprovado"/>
    <n v="1"/>
    <n v="1"/>
    <n v="0"/>
    <m/>
    <n v="0"/>
    <s v=""/>
    <s v="Cortesia"/>
    <s v="cortesia"/>
    <s v="AI Strategy - 23 de abril de 2026"/>
    <s v="imersao-presencial-strategy-ai-ed1a26"/>
    <s v="Mateus De Melo Araujo"/>
    <s v="05028879664"/>
    <m/>
    <m/>
    <s v="mateus.melo@sebraemg.com.br"/>
    <s v="5531971237834"/>
    <m/>
    <s v="30431-285"/>
    <s v="Avenida Barão Homem de Melo"/>
    <s v="329"/>
    <m/>
    <s v="Nova Granada"/>
    <s v="Belo Horizonte"/>
    <s v="MG"/>
    <s v="Filial(São Paulo)"/>
    <s v="Strategy AI"/>
    <m/>
    <m/>
    <m/>
    <s v="feb9de288df54c31b8d5ed271840fe25"/>
    <m/>
    <s v="Nao"/>
    <x v="2"/>
    <m/>
    <s v="23/04/2026"/>
    <m/>
    <m/>
    <m/>
    <s v="Brasil"/>
    <s v="KAM"/>
    <m/>
    <s v="ID-05028879664"/>
    <m/>
    <m/>
    <x v="1"/>
  </r>
  <r>
    <s v="COM69DD46D6BFE1A"/>
    <n v="247217"/>
    <s v="13/04/2026 16:41"/>
    <x v="1"/>
    <m/>
    <s v="13/04/2026"/>
    <s v="Aprovado"/>
    <n v="1"/>
    <n v="1"/>
    <n v="0"/>
    <m/>
    <n v="0"/>
    <s v=""/>
    <s v="Cortesia"/>
    <s v="cortesia"/>
    <s v="Executive Program - 25 a 27 de Maio de 2026"/>
    <s v="executive-program-ed5a26"/>
    <s v="Michel Antonio Martinelli"/>
    <s v="00232014019"/>
    <m/>
    <m/>
    <s v="michel.martinelli@unimedsc.coop.br"/>
    <s v="47992188393"/>
    <m/>
    <s v="04578-910"/>
    <s v="Avenida das Nações Unidas"/>
    <s v="12901"/>
    <m/>
    <s v="Brooklin Paulista"/>
    <s v="São Paulo"/>
    <s v="SP"/>
    <s v="Filial(São Paulo)"/>
    <s v="Executive Program - 25 a 27 de Maio de 2026"/>
    <m/>
    <m/>
    <m/>
    <s v="7d87cd447a8c8ad957536c635ae92335"/>
    <m/>
    <s v="Nao"/>
    <x v="6"/>
    <m/>
    <s v="25/05/2026"/>
    <m/>
    <m/>
    <m/>
    <m/>
    <s v="KAM"/>
    <m/>
    <s v="ID-00232014019"/>
    <m/>
    <m/>
    <x v="1"/>
  </r>
  <r>
    <s v="COM69DD39963C64A"/>
    <n v="247209"/>
    <s v="13/04/2026 15:44"/>
    <x v="1"/>
    <m/>
    <s v="13/04/2026"/>
    <s v="Aprovado"/>
    <n v="1"/>
    <n v="1"/>
    <n v="0"/>
    <m/>
    <n v="0"/>
    <s v=""/>
    <s v="Cortesia"/>
    <s v="cortesia"/>
    <s v="AI Strategy - 23 de abril de 2026"/>
    <s v="imersao-presencial-strategy-ai-ed1a26"/>
    <s v="Ana Tumolin"/>
    <s v="32739970870"/>
    <m/>
    <m/>
    <s v="ana.tumolin@ifood.com.br"/>
    <s v="5519997208919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05c868ceb5b3cec92218419ba18c8b0d"/>
    <m/>
    <s v="Nao"/>
    <x v="8"/>
    <m/>
    <s v="23/04/2026"/>
    <m/>
    <m/>
    <m/>
    <s v="Brasil"/>
    <s v="KAM"/>
    <m/>
    <s v="ID-32739970870"/>
    <m/>
    <m/>
    <x v="1"/>
  </r>
  <r>
    <s v="COM69DD390C65C21"/>
    <n v="247208"/>
    <s v="13/04/2026 15:42"/>
    <x v="1"/>
    <m/>
    <s v="13/04/2026"/>
    <s v="Aprovado"/>
    <n v="1"/>
    <n v="1"/>
    <n v="0"/>
    <m/>
    <n v="0"/>
    <s v=""/>
    <s v="Cortesia"/>
    <s v="cortesia"/>
    <s v="AI Strategy - 23 de abril de 2026"/>
    <s v="imersao-presencial-strategy-ai-ed1a26"/>
    <s v="Marcelo Wendling"/>
    <s v="81531443087"/>
    <m/>
    <m/>
    <s v="Marcelo.wendling@olxbr.com"/>
    <s v="5551997063840"/>
    <m/>
    <s v="04578-910"/>
    <s v="Avenida das Nações Unidas, 12901"/>
    <s v="12901"/>
    <m/>
    <s v="Brooklin Paulista"/>
    <s v="São Paulo"/>
    <s v="SP"/>
    <s v="Filial(São Paulo)"/>
    <s v="AI Strategy - 23 de abril de 2026"/>
    <m/>
    <m/>
    <m/>
    <s v="e11ebdfdc5289c778b1fef2be332dd61"/>
    <m/>
    <s v="Nao"/>
    <x v="8"/>
    <m/>
    <s v="23/04/2026"/>
    <m/>
    <m/>
    <m/>
    <s v="Brasil"/>
    <s v="KAM"/>
    <s v="14/12/2016"/>
    <s v="ID-81531443087"/>
    <m/>
    <m/>
    <x v="1"/>
  </r>
  <r>
    <s v="COM69DD0455D7835"/>
    <n v="247180"/>
    <s v="13/04/2026 11:57"/>
    <x v="1"/>
    <m/>
    <s v="13/04/2026"/>
    <s v="Aprovado"/>
    <n v="1"/>
    <n v="1"/>
    <n v="52000"/>
    <s v="Boleto Bradesco"/>
    <n v="122005"/>
    <s v=""/>
    <s v="Boleto"/>
    <s v="boleto"/>
    <s v="Workshop Learning AI - CHUBB - Pagamento 01"/>
    <s v="corporate-workshop-ed32a26_pagamento01"/>
    <s v="Camila Souza"/>
    <m/>
    <s v="03.502.099/0001-18"/>
    <s v="CHUBB SEGUROS BRASIL S.A."/>
    <s v="camila.souza@chubb.com"/>
    <s v="11991957409"/>
    <s v="1145044400"/>
    <s v="04794000"/>
    <s v="DAS NACOES UNIDAS"/>
    <s v="14401"/>
    <s v="EDIF PQ CIDADE TB3 JATOBAANDAR 1 E 2"/>
    <s v="VILA GERTRUDES"/>
    <s v="São Paulo"/>
    <s v="SP"/>
    <s v="Filial(São Paulo)"/>
    <s v="Workshop Learning AI - CHUBB"/>
    <m/>
    <m/>
    <m/>
    <s v="22661a0004cab4a4ed27e03ee000546d"/>
    <m/>
    <s v="Nao"/>
    <x v="8"/>
    <m/>
    <s v="22/05/2026"/>
    <m/>
    <m/>
    <m/>
    <m/>
    <s v="KAM"/>
    <s v="25/07/2019"/>
    <s v="ID-03502099000118"/>
    <s v="Aguardando recebimento"/>
    <m/>
    <x v="2"/>
  </r>
  <r>
    <s v="COM69DD0455D7835"/>
    <n v="247180"/>
    <s v="13/04/2026 11:57"/>
    <x v="1"/>
    <m/>
    <s v="13/04/2026"/>
    <s v="Aprovado"/>
    <n v="1"/>
    <n v="1"/>
    <n v="78000"/>
    <s v="Boleto Bradesco"/>
    <n v="122005"/>
    <s v=""/>
    <s v="Boleto"/>
    <s v="boleto"/>
    <s v="Workshop Learning AI - CHUBB - Pagamento 02"/>
    <s v="corporate-workshop-ed32a26_pagamento02"/>
    <s v="Camila Souza"/>
    <m/>
    <s v="03.502.099/0001-18"/>
    <s v="CHUBB SEGUROS BRASIL S.A."/>
    <s v="camila.souza@chubb.com"/>
    <s v="11991957409"/>
    <s v="1145044400"/>
    <s v="04794000"/>
    <s v="DAS NACOES UNIDAS"/>
    <s v="14401"/>
    <s v="EDIF PQ CIDADE TB3 JATOBAANDAR 1 E 2"/>
    <s v="VILA GERTRUDES"/>
    <s v="São Paulo"/>
    <s v="SP"/>
    <s v="Filial(São Paulo)"/>
    <s v="Workshop Learning AI - CHUBB"/>
    <m/>
    <m/>
    <m/>
    <s v="22661a0004cab4a4ed27e03ee000546d"/>
    <m/>
    <s v="Nao"/>
    <x v="8"/>
    <m/>
    <s v="22/05/2026"/>
    <m/>
    <m/>
    <m/>
    <m/>
    <s v="KAM"/>
    <s v="25/07/2019"/>
    <s v="ID-03502099000118"/>
    <s v="Aguardando recebimento"/>
    <m/>
    <x v="2"/>
  </r>
  <r>
    <s v="COM69DCFB9EA7486"/>
    <n v="247178"/>
    <s v="13/04/2026 11:20"/>
    <x v="1"/>
    <m/>
    <s v="13/04/2026"/>
    <s v="Aprovado"/>
    <n v="1"/>
    <n v="1"/>
    <n v="3200"/>
    <s v="Boleto Bradesco"/>
    <n v="3003.2"/>
    <s v=""/>
    <s v="Boleto"/>
    <s v="boleto"/>
    <s v="Imersão Multiagentes - Presencial - 15 de Abril de 2026"/>
    <s v="imersao-multiagentes-ed4a26"/>
    <s v="Mariana Geisel"/>
    <m/>
    <s v="61.186.680/0001-74"/>
    <s v="BANCO BMG S.A"/>
    <s v="mariana.geisel@bancobmg.com.br"/>
    <s v="31988930880"/>
    <s v="1128477486"/>
    <s v="04543900"/>
    <s v="PRES JUSCELINO KUBITSCHEK"/>
    <s v="1830"/>
    <s v="ANDAR 9 10 14 SALA 94 BLOCO 01"/>
    <s v="VILA NOVA CONCEICAO"/>
    <s v="São Paulo"/>
    <s v="SP"/>
    <s v="Filial(São Paulo)"/>
    <s v="1 Vaga Multiagentes: Kelly Cristina Ferreira Cruz"/>
    <m/>
    <m/>
    <m/>
    <s v="7463993735a5d5e5294cab5409f506ad"/>
    <m/>
    <s v="Nao"/>
    <x v="7"/>
    <m/>
    <s v="15/04/2026"/>
    <m/>
    <m/>
    <m/>
    <m/>
    <s v="KAM"/>
    <s v="07/08/2017"/>
    <s v="ID-61186680000174"/>
    <s v="Pago"/>
    <m/>
    <x v="0"/>
  </r>
  <r>
    <s v="COM69DCEF374DB48"/>
    <n v="247169"/>
    <s v="13/04/2026 10:27"/>
    <x v="1"/>
    <m/>
    <s v="13/04/2026"/>
    <s v="Aprovado"/>
    <n v="1"/>
    <n v="1"/>
    <n v="0"/>
    <m/>
    <n v="0"/>
    <s v=""/>
    <s v="Cortesia"/>
    <s v="cortesia"/>
    <s v="Imersão Multiagentes - Presencial - 15 de Abril de 2026"/>
    <s v="imersao-multiagentes-ed4a26"/>
    <s v="Rogério Souza Bulhões"/>
    <s v="28528950808"/>
    <m/>
    <m/>
    <s v="rogerio.bulhoes@bancobmg.com.br"/>
    <s v="5511975575449"/>
    <m/>
    <s v="04578-910"/>
    <s v="Avenida das Nações Unidas"/>
    <s v="12901"/>
    <m/>
    <s v="Brooklin Paulista"/>
    <s v="São Paulo"/>
    <s v="SP"/>
    <s v="Filial(São Paulo)"/>
    <s v="Imersão Multiagentes - Presencial - 15 de Abril de 2026"/>
    <m/>
    <m/>
    <m/>
    <s v="5a04fde80b1d0c96a05190a519f6deae"/>
    <m/>
    <s v="Nao"/>
    <x v="7"/>
    <m/>
    <s v="15/04/2026"/>
    <m/>
    <m/>
    <m/>
    <m/>
    <s v="KAM"/>
    <m/>
    <s v="ID-28528950808"/>
    <m/>
    <m/>
    <x v="1"/>
  </r>
  <r>
    <s v="COM69DCEC391D586"/>
    <n v="247166"/>
    <s v="13/04/2026 10:14"/>
    <x v="1"/>
    <m/>
    <s v="13/04/2026"/>
    <s v="Aprovado"/>
    <n v="1"/>
    <n v="1"/>
    <n v="0"/>
    <m/>
    <n v="0"/>
    <s v=""/>
    <s v="Cortesia"/>
    <s v="cortesia"/>
    <s v="Executive Program - 25 a 27 de Maio de 2026"/>
    <s v="executive-program-ed5a26"/>
    <s v="Daniela Zylberkan"/>
    <s v="35866426870"/>
    <m/>
    <m/>
    <s v="daniela.zylberkan@ifood.com.br"/>
    <s v="5527999848361"/>
    <m/>
    <s v="04578-910"/>
    <s v="Avenida das Nações Unidas 12901"/>
    <s v="12901"/>
    <m/>
    <s v="Brooklin Paulista"/>
    <s v="São Paulo"/>
    <s v="SP"/>
    <s v="Filial(São Paulo)"/>
    <s v="Executive Program - 25 a 27 de Maio de 2026"/>
    <m/>
    <m/>
    <m/>
    <s v="76ec78445d1cffdb336bb323a117b47a"/>
    <m/>
    <s v="Nao"/>
    <x v="8"/>
    <m/>
    <s v="25/05/2026"/>
    <m/>
    <m/>
    <m/>
    <m/>
    <s v="KAM"/>
    <m/>
    <s v="ID-35866426870"/>
    <m/>
    <m/>
    <x v="1"/>
  </r>
  <r>
    <s v="COM69D940C241893"/>
    <n v="247052"/>
    <s v="10/04/2026 15:26"/>
    <x v="1"/>
    <m/>
    <s v="10/04/2026"/>
    <s v="Aprovado"/>
    <n v="1"/>
    <n v="1"/>
    <n v="0"/>
    <m/>
    <n v="0"/>
    <s v=""/>
    <s v="Cortesia"/>
    <s v="cortesia"/>
    <s v="AI Strategy - 23 de abril de 2026"/>
    <s v="imersao-presencial-strategy-ai-ed1a26"/>
    <s v="Akira Nakamori"/>
    <s v="13274984809"/>
    <m/>
    <m/>
    <s v="akira.nakamori@ishidabrasil.com.br"/>
    <s v="5511991276670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8d9dfa389b4f2961c614d207a906eddd"/>
    <m/>
    <s v="Nao"/>
    <x v="4"/>
    <m/>
    <s v="23/04/2026"/>
    <m/>
    <m/>
    <m/>
    <s v="Brasil"/>
    <s v="KAM"/>
    <m/>
    <s v="ID-13274984809"/>
    <m/>
    <m/>
    <x v="1"/>
  </r>
  <r>
    <s v="ORDD2XG781MQ9U0M"/>
    <n v="247048"/>
    <s v="10/04/2026 14:31"/>
    <x v="1"/>
    <m/>
    <s v="10/04/2026"/>
    <s v="Aprovado"/>
    <n v="1"/>
    <n v="12"/>
    <n v="2700"/>
    <s v="Braintree"/>
    <n v="2700"/>
    <s v="28974115835HHJCPD9LE"/>
    <s v="Crédito Parcelado"/>
    <s v="visa"/>
    <s v="AI para Negócios - Imersão Presencial - 13 e 14 de Abril de 2026"/>
    <s v="imersao-presencial-de-ai-ed6a26"/>
    <s v="Juliana Escarabelin Martins"/>
    <s v="34235552899"/>
    <m/>
    <m/>
    <s v="escarabelin@gmail.com"/>
    <s v="11981427703"/>
    <m/>
    <s v="13206610"/>
    <s v="Rua João Leme do Prado"/>
    <s v="226"/>
    <m/>
    <s v="Vila Jundiainópolis"/>
    <s v="Jundiaí"/>
    <s v="SP"/>
    <s v="Filial(São Paulo)"/>
    <m/>
    <m/>
    <m/>
    <m/>
    <s v="06a45047538c8b718713d4b68d0ee61e"/>
    <s v="Juliana10"/>
    <s v="Nao"/>
    <x v="5"/>
    <m/>
    <s v="13/04/2026"/>
    <m/>
    <m/>
    <m/>
    <m/>
    <s v="KAM"/>
    <s v="25/03/2026"/>
    <s v="ID-34235552899"/>
    <m/>
    <m/>
    <x v="0"/>
  </r>
  <r>
    <s v="COM69D9328845AB9"/>
    <n v="247047"/>
    <s v="10/04/2026 14:25"/>
    <x v="1"/>
    <m/>
    <s v="10/04/2026"/>
    <s v="Aprovado"/>
    <n v="1"/>
    <n v="1"/>
    <n v="0"/>
    <m/>
    <n v="0"/>
    <s v=""/>
    <s v="Cortesia"/>
    <s v="cortesia"/>
    <s v="AI Strategy - 23 de abril de 2026"/>
    <s v="imersao-presencial-strategy-ai-ed1a26"/>
    <s v="João Luiz Dellu Siqueira"/>
    <s v="22084735823"/>
    <m/>
    <m/>
    <s v="jlsiqueira@iguatemi.com.br"/>
    <s v="5511957687759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8ed0f697142bd7e8811db0c6745a539"/>
    <m/>
    <s v="Nao"/>
    <x v="5"/>
    <m/>
    <s v="23/04/2026"/>
    <m/>
    <m/>
    <m/>
    <s v="Brasil"/>
    <s v="KAM"/>
    <s v="05/11/2017"/>
    <s v="ID-22084735823"/>
    <m/>
    <m/>
    <x v="1"/>
  </r>
  <r>
    <s v="COM69D931F91A9AA"/>
    <n v="247046"/>
    <s v="10/04/2026 14:23"/>
    <x v="1"/>
    <m/>
    <s v="10/04/2026"/>
    <s v="Aprovado"/>
    <n v="1"/>
    <n v="1"/>
    <n v="0"/>
    <m/>
    <n v="0"/>
    <s v=""/>
    <s v="Cortesia"/>
    <s v="cortesia"/>
    <s v="AI Strategy - 23 de abril de 2026"/>
    <s v="imersao-presencial-strategy-ai-ed1a26"/>
    <s v="Rodrigo Sampaio"/>
    <s v="26516725802"/>
    <m/>
    <m/>
    <s v="Rodrigo.sampaio@allcare.com.br"/>
    <s v="5521982817766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7ef136ba94299bb65f207cf75b821b3b"/>
    <m/>
    <s v="Nao"/>
    <x v="3"/>
    <m/>
    <s v="23/04/2026"/>
    <m/>
    <m/>
    <m/>
    <s v="Brasil"/>
    <s v="KAM"/>
    <m/>
    <s v="ID-26516725802"/>
    <m/>
    <m/>
    <x v="1"/>
  </r>
  <r>
    <s v="COM69D9309B3FE0A"/>
    <n v="247045"/>
    <s v="10/04/2026 14:17"/>
    <x v="1"/>
    <m/>
    <s v="10/04/2026"/>
    <s v="Aprovado"/>
    <n v="1"/>
    <n v="1"/>
    <n v="0"/>
    <m/>
    <n v="0"/>
    <s v=""/>
    <s v="Cortesia"/>
    <s v="cortesia"/>
    <s v="AI Strategy - 23 de abril de 2026"/>
    <s v="imersao-presencial-strategy-ai-ed1a26"/>
    <s v="Cintia Maria Silva Guberovic"/>
    <s v="18491752846"/>
    <m/>
    <m/>
    <s v="cguberovic@pagbank.com"/>
    <s v="5511986447058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ecebf30548327731ce04f976c59f1192"/>
    <m/>
    <s v="Nao"/>
    <x v="6"/>
    <m/>
    <s v="23/04/2026"/>
    <m/>
    <m/>
    <m/>
    <s v="Brasil"/>
    <s v="KAM"/>
    <m/>
    <s v="ID-18491752846"/>
    <m/>
    <m/>
    <x v="1"/>
  </r>
  <r>
    <s v="COM69D92FF5D3523"/>
    <n v="247044"/>
    <s v="10/04/2026 14:14"/>
    <x v="1"/>
    <m/>
    <s v="10/04/2026"/>
    <s v="Aprovado"/>
    <n v="1"/>
    <n v="1"/>
    <n v="0"/>
    <m/>
    <n v="0"/>
    <s v=""/>
    <s v="Cortesia"/>
    <s v="cortesia"/>
    <s v="AI Strategy - 23 de abril de 2026"/>
    <s v="imersao-presencial-strategy-ai-ed1a26"/>
    <s v="Cesar Augusto Felix Leite"/>
    <s v="25227163871"/>
    <m/>
    <m/>
    <s v="cleite@pagbank.com"/>
    <s v="5515991356609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6c6fe0b084649c8c1519c153f5b90800"/>
    <m/>
    <s v="Nao"/>
    <x v="6"/>
    <m/>
    <s v="23/04/2026"/>
    <m/>
    <m/>
    <m/>
    <s v="Brasil"/>
    <s v="KAM"/>
    <m/>
    <s v="ID-25227163871"/>
    <m/>
    <m/>
    <x v="1"/>
  </r>
  <r>
    <s v="COM69D92D00A90C5"/>
    <n v="247041"/>
    <s v="10/04/2026 14:01"/>
    <x v="1"/>
    <m/>
    <s v="13/04/2026"/>
    <s v="Aprovado"/>
    <n v="1"/>
    <n v="1"/>
    <n v="20000"/>
    <s v="Boleto Bradesco"/>
    <n v="18770"/>
    <s v=""/>
    <s v="Boleto"/>
    <s v="boleto"/>
    <s v="AI Strategy - 23 de abril de 2026"/>
    <s v="imersao-presencial-strategy-ai-ed1a26"/>
    <s v="Carlos Akira Kato"/>
    <m/>
    <s v="62.603.055/0001-43"/>
    <s v="ISHIDA DO BRASIL LTDA"/>
    <s v="carlos.kato@ishidabrasil.com.br"/>
    <s v="1128991853"/>
    <s v="1126455000"/>
    <s v="06210108"/>
    <s v="HENRY FORD"/>
    <s v="803"/>
    <s v="GALPAO04 E 05"/>
    <s v="PRESIDENTE ALTINO"/>
    <s v="Osasco"/>
    <s v="SP"/>
    <s v="Filial(São Paulo)"/>
    <s v="AI Strategy - 23 de abril de 2026 | PC 32774"/>
    <m/>
    <m/>
    <m/>
    <s v="d7ffad63cfde786cc18523f26c1efc01"/>
    <m/>
    <s v="Nao"/>
    <x v="4"/>
    <m/>
    <s v="23/04/2026"/>
    <m/>
    <m/>
    <m/>
    <s v="Brasil"/>
    <s v="KAM"/>
    <s v="14/03/2024"/>
    <s v="ID-62603055000143"/>
    <s v="Pago"/>
    <m/>
    <x v="0"/>
  </r>
  <r>
    <s v="COM69D7AB9F97F3C"/>
    <n v="246960"/>
    <s v="09/04/2026 10:37"/>
    <x v="1"/>
    <m/>
    <m/>
    <s v="Aprovado"/>
    <n v="1"/>
    <n v="1"/>
    <n v="0"/>
    <m/>
    <n v="0"/>
    <s v=""/>
    <s v="Cortesia"/>
    <s v="cortesia"/>
    <s v="AI para Negócios - Imersão Presencial - 13 e 14 de Abril de 2026"/>
    <s v="imersao-presencial-de-ai-ed6a26"/>
    <s v="RUANITA ANICETO DE OLIVEIRA"/>
    <s v="41934963844"/>
    <m/>
    <m/>
    <s v="ruanita.oliveira@digio.com.br"/>
    <s v="5511970883627"/>
    <m/>
    <s v="04578-910"/>
    <s v="Avenida das Nações Unidas"/>
    <s v="12901"/>
    <m/>
    <s v="Brooklin Paulista"/>
    <s v="São Paulo"/>
    <s v="SP"/>
    <s v="Filial(São Paulo)"/>
    <s v="AI para Negócios - Imersão Presencial - 13 e 14 de Abril de 2026"/>
    <m/>
    <m/>
    <m/>
    <s v="51cd3eaebe4bc50c871d0aff9e249be9"/>
    <m/>
    <s v="Nao"/>
    <x v="3"/>
    <m/>
    <s v="13/04/2026"/>
    <m/>
    <m/>
    <m/>
    <m/>
    <s v="KAM"/>
    <m/>
    <s v="ID-41934963844"/>
    <m/>
    <m/>
    <x v="1"/>
  </r>
  <r>
    <s v="COM69D7AB1479DBF"/>
    <n v="246959"/>
    <s v="09/04/2026 10:35"/>
    <x v="1"/>
    <m/>
    <m/>
    <s v="Aprovado"/>
    <n v="1"/>
    <n v="1"/>
    <n v="0"/>
    <m/>
    <n v="0"/>
    <s v=""/>
    <s v="Cortesia"/>
    <s v="cortesia"/>
    <s v="AI para Negócios - Imersão Presencial - 13 e 14 de Abril de 2026"/>
    <s v="imersao-presencial-de-ai-ed6a26"/>
    <s v="FERNANDA DE OLIVEIRA"/>
    <s v="36307417897"/>
    <m/>
    <m/>
    <s v="fernanda.oliveira@digio.com.br"/>
    <s v="5511991940048"/>
    <m/>
    <s v="04578-910"/>
    <s v="Avenida das Nações Unidas"/>
    <s v="12901"/>
    <m/>
    <s v="Brooklin Paulista"/>
    <s v="São Paulo"/>
    <s v="SP"/>
    <s v="Filial(São Paulo)"/>
    <s v="AI para Negócios - Imersão Presencial - 13 e 14 de Abril de 2026"/>
    <m/>
    <m/>
    <m/>
    <s v="860da4eb5426c6dcaa1c1f7e3e9d61d8"/>
    <m/>
    <s v="Nao"/>
    <x v="3"/>
    <m/>
    <s v="13/04/2026"/>
    <m/>
    <m/>
    <m/>
    <m/>
    <s v="KAM"/>
    <s v="10/03/2021"/>
    <s v="ID-36307417897"/>
    <m/>
    <m/>
    <x v="1"/>
  </r>
  <r>
    <s v="COM69D7A9A6EC056"/>
    <n v="246958"/>
    <s v="09/04/2026 10:29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Daniela Cabral"/>
    <s v="29104792858"/>
    <m/>
    <m/>
    <s v="Daniela.cabral@elo.com.br"/>
    <s v="5511981417714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7fc0415b7a1631f42a0ed720791a832"/>
    <m/>
    <s v="Nao"/>
    <x v="4"/>
    <m/>
    <s v="23/04/2026"/>
    <m/>
    <m/>
    <m/>
    <s v="Brasil"/>
    <s v="KAM"/>
    <m/>
    <s v="ID-29104792858"/>
    <m/>
    <m/>
    <x v="1"/>
  </r>
  <r>
    <s v="COM69D7A911DB9BA"/>
    <n v="246957"/>
    <s v="09/04/2026 10:26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Danielle Arraes"/>
    <s v="05407825724"/>
    <m/>
    <m/>
    <s v="danielle.arraes@jdecoffee.com"/>
    <s v="5511996708172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252b865c32b115f9dd1fb9c40523ea56"/>
    <m/>
    <s v="Nao"/>
    <x v="4"/>
    <m/>
    <s v="23/04/2026"/>
    <m/>
    <m/>
    <m/>
    <s v="Brasil"/>
    <s v="KAM"/>
    <m/>
    <s v="ID-05407825724"/>
    <m/>
    <m/>
    <x v="1"/>
  </r>
  <r>
    <s v="COM69D7A89B211D6"/>
    <n v="246956"/>
    <s v="09/04/2026 10:24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Rafaella Carvalho"/>
    <s v="09101021710"/>
    <m/>
    <m/>
    <s v="rafaella.carvalho@cyrela.com.br"/>
    <s v="5521973661254"/>
    <m/>
    <s v="04578-910"/>
    <s v="Avenida das Nações Unidas"/>
    <s v="12901"/>
    <m/>
    <s v="Brooklin Paulista"/>
    <s v="São Paulo"/>
    <s v="SP"/>
    <s v="Filial(São Paulo)"/>
    <s v="AI Strategy - 23 de abril de 2026_x000a_Empresa: Cyrela"/>
    <m/>
    <m/>
    <m/>
    <s v="87c24f92ffe1728b1e1a95aec652dd47"/>
    <m/>
    <s v="Nao"/>
    <x v="3"/>
    <m/>
    <s v="23/04/2026"/>
    <m/>
    <m/>
    <m/>
    <s v="Brasil"/>
    <s v="KAM"/>
    <m/>
    <s v="ID-09101021710"/>
    <m/>
    <m/>
    <x v="1"/>
  </r>
  <r>
    <s v="COM69D7A7207D171"/>
    <n v="246954"/>
    <s v="09/04/2026 10:18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Rodrigo Leandro de Souza"/>
    <s v="01945618957"/>
    <m/>
    <m/>
    <s v="rodrigo.souza@gruposc.com.br"/>
    <s v="5511981556507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ad7c04dd2d9e319ec50b4cf1c9d91d39"/>
    <m/>
    <s v="Nao"/>
    <x v="0"/>
    <m/>
    <s v="23/04/2026"/>
    <m/>
    <m/>
    <m/>
    <s v="Brasil"/>
    <s v="KAM"/>
    <m/>
    <s v="ID-01945618957"/>
    <m/>
    <m/>
    <x v="1"/>
  </r>
  <r>
    <s v="COM69D7A600A7A79"/>
    <n v="246952"/>
    <s v="09/04/2026 10:13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Joseane Quinto"/>
    <s v="69506795134"/>
    <m/>
    <m/>
    <s v="joseanequinto@hotmail.com"/>
    <s v="5565996949009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db2c1cc3dc67b73c6c44255f23354234"/>
    <m/>
    <s v="Nao"/>
    <x v="2"/>
    <m/>
    <s v="23/04/2026"/>
    <m/>
    <m/>
    <m/>
    <s v="Brasil"/>
    <s v="KAM"/>
    <s v="18/11/2019"/>
    <s v="ID-69506795134"/>
    <m/>
    <m/>
    <x v="1"/>
  </r>
  <r>
    <s v="COM69D7A5344CED9"/>
    <n v="246951"/>
    <s v="09/04/2026 10:10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Leonardo Sotocorno"/>
    <s v="32503062822"/>
    <m/>
    <m/>
    <s v="leonardo.sotocorno@danone.com"/>
    <s v="5511973421410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d30c1ba17e68b4a9b94a1ea061ac3f81"/>
    <m/>
    <s v="Nao"/>
    <x v="0"/>
    <m/>
    <s v="23/04/2026"/>
    <m/>
    <m/>
    <m/>
    <s v="Brasil"/>
    <s v="KAM"/>
    <m/>
    <s v="ID-32503062822"/>
    <m/>
    <m/>
    <x v="1"/>
  </r>
  <r>
    <s v="COM69D7A4A4BCA9B"/>
    <n v="246949"/>
    <s v="09/04/2026 10:07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Carlos Eduardo Murrer Gomes"/>
    <s v="04522143940"/>
    <m/>
    <m/>
    <s v="carlos@protrade.com.br"/>
    <s v="5519981616125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8eec0b04febf40591f8fe9f0e770ee3"/>
    <m/>
    <s v="Nao"/>
    <x v="0"/>
    <m/>
    <s v="23/04/2026"/>
    <m/>
    <m/>
    <m/>
    <s v="Brasil"/>
    <s v="KAM"/>
    <m/>
    <s v="ID-04522143940"/>
    <m/>
    <m/>
    <x v="1"/>
  </r>
  <r>
    <s v="COM69D7A3BEBA02D"/>
    <n v="246948"/>
    <s v="09/04/2026 10:03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Leonardo Miethke"/>
    <s v="19703631851"/>
    <m/>
    <m/>
    <s v="Leonardo.miethke@zeiss.com"/>
    <s v="5511991610088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3d5a172ddd1c1d893d03004dd113cba2"/>
    <m/>
    <s v="Nao"/>
    <x v="8"/>
    <m/>
    <s v="23/04/2026"/>
    <m/>
    <m/>
    <m/>
    <s v="Brasil"/>
    <s v="KAM"/>
    <m/>
    <s v="ID-19703631851"/>
    <m/>
    <m/>
    <x v="1"/>
  </r>
  <r>
    <s v="COM69D7A31A9EE19"/>
    <n v="246947"/>
    <s v="09/04/2026 10:01"/>
    <x v="1"/>
    <m/>
    <s v="09/04/2026"/>
    <s v="Aprovado"/>
    <n v="1"/>
    <n v="1"/>
    <n v="0"/>
    <m/>
    <n v="0"/>
    <s v=""/>
    <s v="Cortesia"/>
    <s v="cortesia"/>
    <s v="AI Strategy - 23 de abril de 2026"/>
    <s v="imersao-presencial-strategy-ai-ed1a26"/>
    <s v="Carlos Eduardo Teixeira Maia"/>
    <s v="28104302841"/>
    <m/>
    <m/>
    <s v="Carlos.Maia@tivit.com"/>
    <s v="5511976210780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c15febc02b184f9cad21aceea5dc9607"/>
    <m/>
    <s v="Nao"/>
    <x v="8"/>
    <m/>
    <s v="23/04/2026"/>
    <m/>
    <m/>
    <m/>
    <s v="Brasil"/>
    <s v="KAM"/>
    <m/>
    <s v="ID-28104302841"/>
    <m/>
    <m/>
    <x v="1"/>
  </r>
  <r>
    <s v="ORDQ0KO416EBNEVO"/>
    <n v="246934"/>
    <s v="09/04/2026 08:07"/>
    <x v="1"/>
    <m/>
    <s v="09/04/2026"/>
    <s v="Aprovado"/>
    <n v="1"/>
    <n v="12"/>
    <n v="2100"/>
    <s v="Braintree"/>
    <n v="2100"/>
    <s v="28974115835HGLFCPIIE"/>
    <s v="Crédito Parcelado"/>
    <s v="mastercard"/>
    <s v="HR Powerup"/>
    <s v="hr-powerup-ed1a26"/>
    <s v="Juliana Silva Lombardo"/>
    <s v="28064826829"/>
    <m/>
    <m/>
    <s v="juliana.lombardo@institutounibanco.org.br"/>
    <s v="11995402370"/>
    <m/>
    <s v="05639090"/>
    <s v="Rua Francisco Marcondes Vieira"/>
    <s v="3"/>
    <s v="91 bloco 3"/>
    <s v="Lar São Paulo"/>
    <s v="São Paulo"/>
    <s v="SP"/>
    <s v="Filial(São Paulo)"/>
    <m/>
    <m/>
    <m/>
    <m/>
    <s v="e3e4a561e951493470cf021fc65b6153"/>
    <s v="Exc_InstitutoUnibanco"/>
    <s v="Nao"/>
    <x v="7"/>
    <m/>
    <s v="23/03/2026"/>
    <m/>
    <m/>
    <m/>
    <s v="Brasil"/>
    <s v="KAM"/>
    <s v="09/04/2026"/>
    <s v="ID-28064826829"/>
    <m/>
    <m/>
    <x v="0"/>
  </r>
  <r>
    <s v="COM69D54BA96325F"/>
    <n v="246826"/>
    <s v="07/04/2026 15:23"/>
    <x v="1"/>
    <m/>
    <s v="09/04/2026"/>
    <s v="Aprovado"/>
    <n v="6"/>
    <n v="1"/>
    <n v="108129"/>
    <m/>
    <n v="101479.07"/>
    <s v=""/>
    <s v="TED"/>
    <s v="ted"/>
    <s v="AI Festival 2026 - Patrocínio de Ativações"/>
    <s v="evento-ia-ed1a26_patrocinio-ativacao"/>
    <s v="Janaina Tobita"/>
    <m/>
    <s v="59.456.277/0001-76"/>
    <s v="ORACLE DO BRASIL SISTEMAS LTDA"/>
    <s v="janaina.tobita@oracle.com"/>
    <s v="11997543233"/>
    <s v="1133331817"/>
    <s v="04710090"/>
    <s v="DR JOSE AUREO BUSTAMANTE"/>
    <s v="455"/>
    <s v="ANEXO MORUMBI BUSINESS CEN"/>
    <s v="SANTO AMARO"/>
    <s v="São Paulo"/>
    <s v="SP"/>
    <s v="Filial(São Paulo)"/>
    <s v="Patrocínio AI Festival 2026_x000a_Patrocínio AI Festival 2026_x000a_Pagamento 30 dias após o evento"/>
    <m/>
    <m/>
    <m/>
    <s v="ce7a16428906b1a285d874c274f58094"/>
    <m/>
    <s v="Nao"/>
    <x v="10"/>
    <m/>
    <s v="13/05/2026"/>
    <m/>
    <m/>
    <m/>
    <m/>
    <s v="KAM"/>
    <s v="19/03/2021"/>
    <s v="ID-59456277000176"/>
    <s v="Aguardando recebimento"/>
    <m/>
    <x v="2"/>
  </r>
  <r>
    <s v="COM69D3C48B010E5"/>
    <n v="246723"/>
    <s v="06/04/2026 11:34"/>
    <x v="1"/>
    <m/>
    <s v="06/04/2026"/>
    <s v="Aprovado"/>
    <n v="1"/>
    <n v="1"/>
    <n v="0"/>
    <m/>
    <n v="0"/>
    <s v=""/>
    <s v="Cortesia"/>
    <s v="cortesia"/>
    <s v="Imersão Multiagentes - Presencial - 15 de Abril de 2026"/>
    <s v="imersao-multiagentes-ed4a26"/>
    <s v="Douglas Marinho Martins"/>
    <s v="09292355171"/>
    <m/>
    <m/>
    <s v="douglas.marinho@sebraeprev.com.br"/>
    <s v="5561995878906"/>
    <m/>
    <s v="04578-910"/>
    <s v="Avenida das Nações Unidas"/>
    <s v="12901"/>
    <m/>
    <s v="Brooklin Paulista"/>
    <s v="São Paulo"/>
    <s v="SP"/>
    <s v="Filial(São Paulo)"/>
    <s v="Imersão Multiagentes - Presencial - 15 de Abril de 2026"/>
    <m/>
    <m/>
    <m/>
    <s v="c4c91572b6d6d06142ca27d6580746da"/>
    <m/>
    <s v="Nao"/>
    <x v="2"/>
    <m/>
    <s v="15/04/2026"/>
    <m/>
    <m/>
    <m/>
    <m/>
    <s v="KAM"/>
    <m/>
    <s v="ID-09292355171"/>
    <m/>
    <m/>
    <x v="1"/>
  </r>
  <r>
    <s v="COM69D3C2F422106"/>
    <n v="246722"/>
    <s v="06/04/2026 11:28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Kleber Coelho Paz"/>
    <s v="45900973468"/>
    <m/>
    <m/>
    <s v="kleberpaz@compesa.com.br"/>
    <s v="5581992321616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7c85188460f9b94d49d5d3dbeadad1e"/>
    <m/>
    <s v="Nao"/>
    <x v="2"/>
    <m/>
    <s v="23/04/2026"/>
    <m/>
    <m/>
    <m/>
    <s v="Brasil"/>
    <s v="KAM"/>
    <m/>
    <s v="ID-45900973468"/>
    <m/>
    <m/>
    <x v="1"/>
  </r>
  <r>
    <s v="COM69D3C1F1BF4DF"/>
    <n v="246720"/>
    <s v="06/04/2026 11:23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Ivo Bernard Schotten"/>
    <s v="04522143940"/>
    <m/>
    <m/>
    <s v="ivobernard.schotten@galderma.com"/>
    <s v="5511916395992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568c2bf9fefd973d785a1eb51f495fb4"/>
    <m/>
    <s v="Nao"/>
    <x v="0"/>
    <m/>
    <s v="23/04/2026"/>
    <m/>
    <m/>
    <m/>
    <s v="Brasil"/>
    <s v="KAM"/>
    <m/>
    <s v="ID-04522143940"/>
    <m/>
    <m/>
    <x v="1"/>
  </r>
  <r>
    <s v="COM69D3BCFE63EC1"/>
    <n v="246714"/>
    <s v="06/04/2026 11:02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Cibele Cardin"/>
    <s v="10136154840"/>
    <m/>
    <m/>
    <s v="ccardin@careplus.com.br"/>
    <s v="5511981365211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37b677345e3a28b24c87a726d262ea79"/>
    <m/>
    <s v="Nao"/>
    <x v="0"/>
    <m/>
    <s v="23/04/2026"/>
    <m/>
    <m/>
    <m/>
    <s v="Brasil"/>
    <s v="KAM"/>
    <m/>
    <s v="ID-10136154840"/>
    <m/>
    <m/>
    <x v="1"/>
  </r>
  <r>
    <s v="COM69D3BB7BA25D6"/>
    <n v="246712"/>
    <s v="06/04/2026 10:56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Luiz Camargo"/>
    <s v="05379222889"/>
    <m/>
    <m/>
    <s v="lcamargo@careplus.com.br"/>
    <s v="5511982776297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79ecfc69f9b20118c8645163e559a1c7"/>
    <m/>
    <s v="Nao"/>
    <x v="0"/>
    <m/>
    <s v="23/04/2026"/>
    <m/>
    <m/>
    <m/>
    <s v="Brasil"/>
    <s v="KAM"/>
    <m/>
    <s v="ID-05379222889"/>
    <m/>
    <m/>
    <x v="1"/>
  </r>
  <r>
    <s v="COM69D3BAE0B9AAF"/>
    <n v="246711"/>
    <s v="06/04/2026 10:53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César Augusto Ferreira"/>
    <s v="25246155889"/>
    <m/>
    <m/>
    <s v="cesar.ferreira@randoncorp.com"/>
    <s v="555491624374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8742b250fc3d19460929c36abd1b1f9b"/>
    <m/>
    <s v="Nao"/>
    <x v="0"/>
    <m/>
    <s v="23/04/2026"/>
    <m/>
    <m/>
    <m/>
    <s v="Brasil"/>
    <s v="KAM"/>
    <s v="31/01/2018"/>
    <s v="ID-25246155889"/>
    <m/>
    <m/>
    <x v="1"/>
  </r>
  <r>
    <s v="COM69D3B309DD6E0"/>
    <n v="246704"/>
    <s v="06/04/2026 10:20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Ana Paula Antunes Tarcia"/>
    <s v="25808446864"/>
    <m/>
    <m/>
    <s v="ana.tarcia@bv.com.br"/>
    <s v="5511999112782"/>
    <m/>
    <s v="04578-910"/>
    <s v="Avenida das Nações Unidas"/>
    <s v="12901"/>
    <m/>
    <s v="Brooklin Paulista"/>
    <s v="São Paulo"/>
    <s v="SP"/>
    <s v="Filial(São Paulo)"/>
    <s v="AI Strategy - 23 de abril de 2026_x000a_VP de Pessoas, MKT e ESG"/>
    <m/>
    <m/>
    <m/>
    <s v="b7c6f1ad5df7fb3eee5bb32115112238"/>
    <m/>
    <s v="Nao"/>
    <x v="0"/>
    <m/>
    <s v="23/04/2026"/>
    <m/>
    <m/>
    <m/>
    <s v="Brasil"/>
    <s v="KAM"/>
    <m/>
    <s v="ID-25808446864"/>
    <m/>
    <m/>
    <x v="1"/>
  </r>
  <r>
    <s v="COM69D3B278407DD"/>
    <n v="246703"/>
    <s v="06/04/2026 10:17"/>
    <x v="1"/>
    <m/>
    <s v="06/04/2026"/>
    <s v="Aprovado"/>
    <n v="1"/>
    <n v="1"/>
    <n v="0"/>
    <m/>
    <n v="0"/>
    <s v=""/>
    <s v="Cortesia"/>
    <s v="cortesia"/>
    <s v="AI Strategy - 23 de abril de 2026"/>
    <s v="imersao-presencial-strategy-ai-ed1a26"/>
    <s v="Arethusa Rodrigues Pontes"/>
    <s v="15530577830"/>
    <m/>
    <m/>
    <s v="arethusa.pontes@bv.com.br"/>
    <s v="5511987195696"/>
    <m/>
    <s v="04578-910"/>
    <s v="Avenida das Nações Unidas 12901"/>
    <s v="12901"/>
    <m/>
    <s v="Brooklin Paulista"/>
    <s v="São Paulo"/>
    <s v="SP"/>
    <s v="Filial(São Paulo)"/>
    <s v="AI Strategy - 23 de abril de 2026"/>
    <m/>
    <m/>
    <m/>
    <s v="0837a74bbc368c583b0e709f58ed5934"/>
    <m/>
    <s v="Nao"/>
    <x v="0"/>
    <m/>
    <s v="23/04/2026"/>
    <m/>
    <m/>
    <m/>
    <s v="Brasil"/>
    <s v="KAM"/>
    <m/>
    <s v="ID-15530577830"/>
    <m/>
    <m/>
    <x v="1"/>
  </r>
  <r>
    <s v="COM69CD44F595590"/>
    <n v="246560"/>
    <s v="01/04/2026 13:16"/>
    <x v="1"/>
    <m/>
    <s v="02/04/2026"/>
    <s v="Aprovado"/>
    <n v="7"/>
    <n v="1"/>
    <n v="19950.009999999998"/>
    <m/>
    <n v="18723.080000000002"/>
    <s v=""/>
    <s v="TED"/>
    <s v="ted"/>
    <s v="AI Festival 2026 - Ingresso Interactive"/>
    <s v="evento-ia-ed1a26_interactive"/>
    <s v="Pedro Sávio Gama dos Santos Santos"/>
    <m/>
    <s v="00.315.457/0001-95"/>
    <s v="AGROPECUARIA MAGGI LTDA"/>
    <s v="pedro.santos@amaggi.com.br"/>
    <s v="6599273257"/>
    <s v="6536455000"/>
    <s v="78049080"/>
    <s v="ANDRE ANTONIO MAGGI"/>
    <s v="303"/>
    <s v="ANDAR 3"/>
    <s v="ALVORADA"/>
    <s v="Cuiabá"/>
    <s v="MT"/>
    <s v="Filial(São Paulo)"/>
    <s v="AI Festival 2026 - Ingresso Interactive"/>
    <m/>
    <m/>
    <m/>
    <s v="d6b25cc1c09198e54406f88ba4b96c87"/>
    <m/>
    <s v="Nao"/>
    <x v="5"/>
    <m/>
    <s v="13/05/2026"/>
    <m/>
    <m/>
    <m/>
    <m/>
    <s v="KAM"/>
    <s v="16/05/2018"/>
    <s v="ID-00315457000195"/>
    <s v="Pago"/>
    <m/>
    <x v="0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1"/>
    <s v="consulting-strategy-deliver-ed2a26_pagamento1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5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2"/>
    <s v="consulting-strategy-deliver-ed2a26_pagamento2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6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3"/>
    <s v="consulting-strategy-deliver-ed2a26_pagamento3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7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4"/>
    <s v="consulting-strategy-deliver-ed2a26_pagamento4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8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5"/>
    <s v="consulting-strategy-deliver-ed2a26_pagamento5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9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6"/>
    <s v="consulting-strategy-deliver-ed2a26_pagamento6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10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7"/>
    <s v="consulting-strategy-deliver-ed2a26_pagamento7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11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8"/>
    <s v="consulting-strategy-deliver-ed2a26_pagamento8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12/2026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50000"/>
    <m/>
    <n v="991056"/>
    <s v=""/>
    <s v="TED"/>
    <s v="ted"/>
    <s v="SEBRAE MG | Cliente em foco e Desburocratização - pagamento9"/>
    <s v="consulting-strategy-deliver-ed2a26_pagamento9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13/01/2027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55000"/>
    <m/>
    <n v="991056"/>
    <s v=""/>
    <s v="TED"/>
    <s v="ted"/>
    <s v="SEBRAE MG | Cliente em foco e Desburocratização"/>
    <s v="corporate-workshop-ed28a26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1"/>
    <s v="consulting-ai-sprint-ed5a26_pagamento1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2"/>
    <s v="consulting-ai-sprint-ed5a26_pagamento2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3"/>
    <s v="consulting-ai-sprint-ed5a26_pagamento3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4"/>
    <s v="consulting-ai-sprint-ed5a26_pagamento4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5"/>
    <s v="consulting-ai-sprint-ed5a26_pagamento5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27000"/>
    <m/>
    <n v="991056"/>
    <s v=""/>
    <s v="TED"/>
    <s v="ted"/>
    <s v="SEBRAE MG | Cliente em foco e Desburocratização - pagamento6"/>
    <s v="consulting-ai-sprint-ed5a26_pagamento6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63000"/>
    <m/>
    <n v="991056"/>
    <s v=""/>
    <s v="TED"/>
    <s v="ted"/>
    <s v="SEBRAE MG | Cliente em foco e Desburocratização - pagamento7"/>
    <s v="consulting-ai-sprint-ed5a26_pagamento7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63000"/>
    <m/>
    <n v="991056"/>
    <s v=""/>
    <s v="TED"/>
    <s v="ted"/>
    <s v="- pagamento8SEBRAE MG | Cliente em foco e Desburocratização"/>
    <s v="consulting-ai-sprint-ed5a26_pagamento8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C0AB1F57"/>
    <n v="246486"/>
    <s v="31/03/2026 18:26"/>
    <x v="2"/>
    <m/>
    <s v="31/03/2026"/>
    <s v="Aprovado"/>
    <n v="1"/>
    <n v="1"/>
    <n v="63000"/>
    <m/>
    <n v="991056"/>
    <s v=""/>
    <s v="TED"/>
    <s v="ted"/>
    <s v="SEBRAE MG | Cliente em foco e Desburocratização - pagamento9"/>
    <s v="consulting-ai-sprint-ed5a26_pagamento9"/>
    <s v="Mateus de Melo Araújo"/>
    <m/>
    <s v="16.589.137/0001-63"/>
    <s v="SERVICO DE APOIO AS MICRO E PEQUENAS EMPRESAS DE MINAS GERAIS - SEBRAE/MG"/>
    <s v="mateus.melo@sebraemg.com.br"/>
    <s v="3133799382"/>
    <s v="3133799563"/>
    <s v="30431285"/>
    <s v="BARAO HOMEM DE MELO"/>
    <s v="329"/>
    <m/>
    <s v="NOVA GRANADA"/>
    <s v="Belo Horizonte"/>
    <s v="MG"/>
    <s v="Filial(São Paulo)"/>
    <s v="SEBRAE MG | Cliente em foco e Desburocratização"/>
    <m/>
    <m/>
    <m/>
    <s v="514850850d95121e961af8919b19b315"/>
    <m/>
    <s v="Nao"/>
    <x v="2"/>
    <m/>
    <s v="31/03/2099"/>
    <m/>
    <m/>
    <m/>
    <s v="StartSe Consulting,StartSe Consulting,StartSe Consulting,StartSe Consulting,StartSe Consulting,StartSe Consulting,StartSe Consulting,StartSe Consulting,StartSe Consulting"/>
    <s v="KAM"/>
    <s v="11/04/2018"/>
    <s v="ID-16589137000163"/>
    <s v="Aguardando recebimento"/>
    <m/>
    <x v="2"/>
  </r>
  <r>
    <s v="COM69CC34C62E633"/>
    <n v="246482"/>
    <s v="31/03/2026 17:55"/>
    <x v="2"/>
    <m/>
    <s v="31/03/2026"/>
    <s v="Aprovado"/>
    <n v="1"/>
    <n v="1"/>
    <n v="110000"/>
    <s v="Boleto Bradesco"/>
    <n v="103235"/>
    <s v=""/>
    <s v="Boleto"/>
    <s v="boleto"/>
    <s v="Workshop | Scania Serviços Financeiros"/>
    <s v="corporate-workshop-ed29a26"/>
    <s v="Gilberto Rocha"/>
    <m/>
    <s v="11.417.016/0001-10"/>
    <s v="SCANIA BANCO S.A."/>
    <s v="gilberto.rocha@scania.com"/>
    <s v="11991414182"/>
    <s v="11991414182"/>
    <s v="09810000"/>
    <s v="JOSE ODORIZZI"/>
    <s v="151"/>
    <m/>
    <s v="VILA EURO"/>
    <s v="São Bernardo do Campo"/>
    <s v="SP"/>
    <s v="Filial(São Paulo)"/>
    <s v="Workshop | Scania Serviços Financeiros"/>
    <m/>
    <m/>
    <m/>
    <s v="cb3f06e955b4ec677d580e09df949ffa"/>
    <m/>
    <s v="Nao"/>
    <x v="6"/>
    <m/>
    <s v="15/04/2026"/>
    <m/>
    <m/>
    <m/>
    <m/>
    <s v="KAM"/>
    <s v="28/03/2024"/>
    <s v="ID-11417016000110"/>
    <s v="Aguardando recebimento"/>
    <m/>
    <x v="2"/>
  </r>
  <r>
    <s v="COM69CC31414B0EC"/>
    <n v="246479"/>
    <s v="31/03/2026 17:40"/>
    <x v="2"/>
    <m/>
    <s v="31/03/2026"/>
    <s v="Aprovado"/>
    <n v="1"/>
    <n v="1"/>
    <n v="120000"/>
    <s v="Boleto Bradesco"/>
    <n v="281550"/>
    <s v=""/>
    <s v="Boleto"/>
    <s v="boleto"/>
    <s v="Mulheres Líderes - Fundação Sicredi | pagamento 01"/>
    <s v="corporate-workshop-ed30a26_pagamento-01"/>
    <s v="Carla Diana Oteiro Borre"/>
    <m/>
    <s v="07.430.210/0001-69"/>
    <s v="FUNDACAO DE DESENVOLVIMENTO EDUCACIONAL E CULTURAL DO SISTEMA DE CREDITO COOPERATIVO - FUNDACAO SICREDI"/>
    <s v="carla_borre@sicredi.com.br"/>
    <s v="62996501493"/>
    <s v="5133584862"/>
    <s v="91060900"/>
    <s v="ASSIS BRASIL"/>
    <s v="3940"/>
    <s v="ANDAR 8"/>
    <s v="SAO SEBASTIAO"/>
    <s v="Porto Alegre"/>
    <s v="RS"/>
    <s v="Filial(São Paulo)"/>
    <s v="Mulheres Líderes - Sister Society (GWLN) | Fundação Sicredi"/>
    <m/>
    <m/>
    <m/>
    <s v="3a21b485277000dece2bf51baf30c0ed"/>
    <m/>
    <s v="Nao"/>
    <x v="7"/>
    <m/>
    <s v="31/03/2026"/>
    <m/>
    <m/>
    <m/>
    <m/>
    <s v="KAM"/>
    <s v="31/03/2026"/>
    <s v="ID-07430210000169"/>
    <s v="Aguardando recebimento"/>
    <m/>
    <x v="2"/>
  </r>
  <r>
    <s v="COM69CC31414B0EC"/>
    <n v="246479"/>
    <s v="31/03/2026 17:40"/>
    <x v="2"/>
    <m/>
    <s v="31/03/2026"/>
    <s v="Aprovado"/>
    <n v="1"/>
    <n v="1"/>
    <n v="180000"/>
    <s v="Boleto Bradesco"/>
    <n v="281550"/>
    <s v=""/>
    <s v="Boleto"/>
    <s v="boleto"/>
    <s v="Mulheres Líderes - Fundação Sicredi | pagamento 02"/>
    <s v="corporate-workshop-ed30a26_pagamento-02"/>
    <s v="Carla Diana Oteiro Borre"/>
    <m/>
    <s v="07.430.210/0001-69"/>
    <s v="FUNDACAO DE DESENVOLVIMENTO EDUCACIONAL E CULTURAL DO SISTEMA DE CREDITO COOPERATIVO - FUNDACAO SICREDI"/>
    <s v="carla_borre@sicredi.com.br"/>
    <s v="62996501493"/>
    <s v="5133584862"/>
    <s v="91060900"/>
    <s v="ASSIS BRASIL"/>
    <s v="3940"/>
    <s v="ANDAR 8"/>
    <s v="SAO SEBASTIAO"/>
    <s v="Porto Alegre"/>
    <s v="RS"/>
    <s v="Filial(São Paulo)"/>
    <s v="Mulheres Líderes - Sister Society (GWLN) | Fundação Sicredi"/>
    <m/>
    <m/>
    <m/>
    <s v="3a21b485277000dece2bf51baf30c0ed"/>
    <m/>
    <s v="Nao"/>
    <x v="7"/>
    <m/>
    <s v="31/12/2099"/>
    <m/>
    <m/>
    <m/>
    <m/>
    <s v="KAM"/>
    <s v="31/03/2026"/>
    <s v="ID-07430210000169"/>
    <s v="Aguardando recebimento"/>
    <m/>
    <x v="2"/>
  </r>
  <r>
    <s v="COM69CC2ED446194"/>
    <n v="246477"/>
    <s v="31/03/2026 17:30"/>
    <x v="2"/>
    <m/>
    <s v="31/03/2026"/>
    <s v="Aprovado"/>
    <n v="1"/>
    <n v="1"/>
    <n v="100000"/>
    <m/>
    <n v="93850"/>
    <s v=""/>
    <s v="TED"/>
    <s v="ted"/>
    <s v="Workshop de AI - Santander"/>
    <s v="corporate-workshop-ed31a26"/>
    <s v="Daniela Chagas Santos"/>
    <m/>
    <s v="90.400.888/0001-42"/>
    <s v="BANCO SANTANDER (BRASIL) S.A."/>
    <s v="daniela.chagas.santos@santander.com.br"/>
    <s v="11952621984"/>
    <s v="1140043535"/>
    <s v="04543011"/>
    <s v="PRES JUSCELINO KUBITSCHEK"/>
    <s v="2041"/>
    <s v="CONJ 281 BLOCO A COND WTORRE JK"/>
    <s v="VILA NOVA CONCEICAO"/>
    <s v="São Paulo"/>
    <s v="SP"/>
    <s v="Filial(São Paulo)"/>
    <s v="Workshop de AI - Santander"/>
    <m/>
    <m/>
    <m/>
    <s v="ea990cb4babe125e2acfb2d2e4fd0944"/>
    <m/>
    <s v="Nao"/>
    <x v="4"/>
    <m/>
    <s v="08/05/2026"/>
    <m/>
    <m/>
    <m/>
    <m/>
    <s v="KAM"/>
    <s v="08/11/2016"/>
    <s v="ID-90400888000142"/>
    <s v="Aguardando recebimento"/>
    <m/>
    <x v="2"/>
  </r>
  <r>
    <s v="COM69CC2B5628E30"/>
    <n v="246474"/>
    <s v="31/03/2026 17:15"/>
    <x v="2"/>
    <m/>
    <s v="31/03/2026"/>
    <s v="Aprovado"/>
    <n v="1"/>
    <n v="1"/>
    <n v="1179033"/>
    <m/>
    <n v="1086783"/>
    <s v=""/>
    <s v="TED"/>
    <s v="ted"/>
    <s v="Contrato Guarda-Chuva | Mercedes Daimler Truck"/>
    <s v="corporate-melhor-escolha-ed10a26"/>
    <s v="Vinicius Moura"/>
    <m/>
    <s v="59.104.273/0001-29"/>
    <s v="MERCEDES-BENZ DO BRASIL LTDA."/>
    <s v="vinicius.moura@daimlertruck.com"/>
    <s v="11985997265"/>
    <s v="1141736060"/>
    <s v="09680900"/>
    <s v="ALFRED JURZYKOWSKI"/>
    <s v="562"/>
    <m/>
    <s v="PAULICEIA"/>
    <s v="São Bernardo do Campo"/>
    <s v="SP"/>
    <s v="Filial(São Paulo)"/>
    <s v="Contrato Guarda-Chuva | Mercedes Daimler Truck"/>
    <m/>
    <m/>
    <m/>
    <s v="797bef7dae88eca35d448cd55c0ef685"/>
    <m/>
    <s v="Nao"/>
    <x v="0"/>
    <m/>
    <s v="31/12/2099"/>
    <m/>
    <m/>
    <m/>
    <m/>
    <s v="KAM"/>
    <s v="24/09/2018"/>
    <s v="ID-59104273000129"/>
    <s v="Aguardando recebimento"/>
    <m/>
    <x v="2"/>
  </r>
  <r>
    <s v="COM69F268F3624C8"/>
    <n v="248312"/>
    <s v="31/03/2026 17:15"/>
    <x v="2"/>
    <m/>
    <s v="30/04/2026"/>
    <s v="Aprovado"/>
    <n v="1"/>
    <n v="1"/>
    <n v="342000"/>
    <m/>
    <n v="320967"/>
    <s v=""/>
    <s v="TED"/>
    <s v="ted"/>
    <s v="Business Academy | Mercedes Daimler Truck"/>
    <s v="corporate-jornada-ed25a26"/>
    <s v="Vinicius Moura"/>
    <m/>
    <s v="59.104.273/0001-29"/>
    <s v="MERCEDES-BENZ DO BRASIL LTDA."/>
    <s v="alyne.ramaldes@daimlertruck.com"/>
    <s v="11995790150"/>
    <s v="1141736060"/>
    <s v="09680900"/>
    <s v="ALFRED JURZYKOWSKI"/>
    <s v="562"/>
    <m/>
    <s v="PAULICEIA"/>
    <s v="São Bernardo do Campo"/>
    <s v="SP"/>
    <s v="Filial(São Paulo)"/>
    <s v="Business Academy | Mercedes Daimler Truck"/>
    <m/>
    <m/>
    <m/>
    <s v="62adb4828b2cc35fada730f2b47aa52a"/>
    <m/>
    <s v="Nao"/>
    <x v="0"/>
    <m/>
    <s v="06/08/2026"/>
    <m/>
    <m/>
    <m/>
    <m/>
    <s v="KAM"/>
    <s v="24/09/2018"/>
    <s v="ID-59104273000129"/>
    <s v="Aguardando recebimento"/>
    <m/>
    <x v="2"/>
  </r>
  <r>
    <s v="COM69CC25F72FDEB"/>
    <n v="246468"/>
    <s v="31/03/2026 16:52"/>
    <x v="2"/>
    <m/>
    <s v="31/03/2026"/>
    <s v="Aprovado"/>
    <n v="1"/>
    <n v="1"/>
    <n v="104000"/>
    <m/>
    <n v="244010"/>
    <s v=""/>
    <s v="TED"/>
    <s v="ted"/>
    <s v="Letramento C-Level - Marcopolo - Caxias do Sul / RS - Pagamento 01"/>
    <s v="corporate-jornada-ed22a26_pagamento01"/>
    <s v="João Paulo Pohl Ledur"/>
    <m/>
    <s v="88.611.835/0001-29"/>
    <s v="MARCOPOLO SA"/>
    <s v="joao.ledur@marcopolo.com.br"/>
    <s v="5491061685"/>
    <s v="5421014000"/>
    <s v="95086200"/>
    <s v="MARCOPOLO"/>
    <s v="280"/>
    <m/>
    <s v="PLANALTO"/>
    <s v="Caxias do Sul"/>
    <s v="RS"/>
    <s v="Filial(São Paulo)"/>
    <s v="Letramento C-Level - Marcopolo - Caxias do Sul / RS"/>
    <m/>
    <m/>
    <m/>
    <s v="5761ad1bf7c88ae47ce2a62c4b3b2c58"/>
    <m/>
    <s v="Nao"/>
    <x v="4"/>
    <m/>
    <s v="15/05/2026"/>
    <m/>
    <m/>
    <m/>
    <m/>
    <s v="KAM"/>
    <s v="31/03/2026"/>
    <s v="ID-88611835000129"/>
    <s v="Aguardando recebimento"/>
    <m/>
    <x v="2"/>
  </r>
  <r>
    <s v="COM69CC25F72FDEB"/>
    <n v="246468"/>
    <s v="31/03/2026 16:52"/>
    <x v="2"/>
    <m/>
    <s v="31/03/2026"/>
    <s v="Aprovado"/>
    <n v="1"/>
    <n v="1"/>
    <n v="156000"/>
    <m/>
    <n v="244010"/>
    <s v=""/>
    <s v="TED"/>
    <s v="ted"/>
    <s v="Letramento C-Level - Marcopolo - Caxias do Sul / RS - Pagamento 02"/>
    <s v="corporate-jornada-ed22a26_pagamento02"/>
    <s v="João Paulo Pohl Ledur"/>
    <m/>
    <s v="88.611.835/0001-29"/>
    <s v="MARCOPOLO SA"/>
    <s v="joao.ledur@marcopolo.com.br"/>
    <s v="5491061685"/>
    <s v="5421014000"/>
    <s v="95086200"/>
    <s v="MARCOPOLO"/>
    <s v="280"/>
    <m/>
    <s v="PLANALTO"/>
    <s v="Caxias do Sul"/>
    <s v="RS"/>
    <s v="Filial(São Paulo)"/>
    <s v="Letramento C-Level - Marcopolo - Caxias do Sul / RS"/>
    <m/>
    <m/>
    <m/>
    <s v="5761ad1bf7c88ae47ce2a62c4b3b2c58"/>
    <m/>
    <s v="Nao"/>
    <x v="4"/>
    <m/>
    <s v="24/05/2026"/>
    <m/>
    <m/>
    <m/>
    <m/>
    <s v="KAM"/>
    <s v="31/03/2026"/>
    <s v="ID-88611835000129"/>
    <s v="Aguardando recebimento"/>
    <m/>
    <x v="2"/>
  </r>
  <r>
    <s v="COM69CC23030C4F0"/>
    <n v="246467"/>
    <s v="31/03/2026 16:39"/>
    <x v="2"/>
    <m/>
    <s v="31/03/2026"/>
    <s v="Aprovado"/>
    <n v="1"/>
    <n v="1"/>
    <n v="400000"/>
    <s v="Boleto Bradesco"/>
    <n v="400000"/>
    <s v=""/>
    <s v="Boleto"/>
    <s v="boleto"/>
    <s v="Imersão Vale do Silício - Nextgen | Scania"/>
    <s v="corporate-vale-xperience-ed3a26"/>
    <s v="Gilberto Rocha"/>
    <m/>
    <s v="96.479.258/0001-91"/>
    <s v="SCANIA ADMINISTRADORA DE CONSORCIOS LTDA"/>
    <s v="gilberto.rocha@scania.com"/>
    <s v="11991414182"/>
    <s v="1141026160"/>
    <s v="09810902"/>
    <s v="JOSE ODORIZZI"/>
    <s v="151"/>
    <m/>
    <s v="ASSUNCAO"/>
    <s v="São Bernardo do Campo"/>
    <s v="SP"/>
    <s v="Turismo - 50%"/>
    <s v="Imersão Vale do Silício - Nextgen | Scania"/>
    <m/>
    <m/>
    <m/>
    <s v="f303ee0f62391d299dfc4830cf53c351"/>
    <m/>
    <s v="Nao"/>
    <x v="6"/>
    <m/>
    <s v="22/08/2026"/>
    <m/>
    <m/>
    <s v="https://loja.startse.com.br//processamento/fatura/f303ee0f62391d299dfc4830cf53c351"/>
    <s v="Vale do Silício"/>
    <s v="KAM"/>
    <s v="29/10/2024"/>
    <s v="ID-96479258000191"/>
    <s v="Aguardando recebimento"/>
    <m/>
    <x v="2"/>
  </r>
  <r>
    <s v="COM69CD48F101836"/>
    <n v="246561"/>
    <s v="31/03/2026 13:33"/>
    <x v="2"/>
    <m/>
    <s v="02/04/2026"/>
    <s v="Aprovado"/>
    <n v="7"/>
    <n v="2"/>
    <n v="180000"/>
    <m/>
    <n v="168930"/>
    <s v=""/>
    <s v="TED"/>
    <s v="ted"/>
    <s v="AI Festival 2026 - Patrocínio de Ativações"/>
    <s v="evento-ia-ed1a26_patrocinio-ativacao"/>
    <s v="Caroline Shiine Gravinez Calado"/>
    <m/>
    <s v="19.093.204/0001-42"/>
    <s v="SKY.ONE TECNOLOGIA EM SOFTWARE S.A."/>
    <s v="caroline.shiine@skyone.solutions"/>
    <s v="11985421929"/>
    <s v="1121931961"/>
    <s v="04578000"/>
    <s v="DAS NACOES UNIDAS"/>
    <s v="12399"/>
    <s v="SALA 142A E 142B ANDAR 14"/>
    <s v="BROOKLIN PAULISTA"/>
    <s v="São Paulo"/>
    <s v="SP"/>
    <s v="Filial(São Paulo)"/>
    <s v="AI Festival 2026 - Patrocínio de Ativações_x000a_50% do valor pago em TED até dia 15/04 e o retante dos 50% até dia 11/05"/>
    <m/>
    <m/>
    <m/>
    <s v="fcca7c878083f71cdc2de1fd2da6913b"/>
    <m/>
    <s v="Nao"/>
    <x v="0"/>
    <m/>
    <s v="13/05/2026"/>
    <m/>
    <m/>
    <m/>
    <m/>
    <s v="KAM"/>
    <s v="10/09/2018"/>
    <s v="ID-19093204000142"/>
    <s v="Aguardando recebimento"/>
    <m/>
    <x v="3"/>
  </r>
  <r>
    <s v="COM69CBE993D2674"/>
    <n v="246429"/>
    <s v="31/03/2026 12:34"/>
    <x v="2"/>
    <m/>
    <s v="31/03/2026"/>
    <s v="Aprovado"/>
    <n v="6"/>
    <n v="1"/>
    <n v="196200"/>
    <s v="Boleto Bradesco"/>
    <n v="196200"/>
    <s v=""/>
    <s v="Boleto"/>
    <s v="boleto"/>
    <s v="China Xperience Health Edition"/>
    <s v="china-xperience-ed11a26"/>
    <s v="Rachel Sarti"/>
    <m/>
    <s v="61.486.650/0842-63"/>
    <s v="DIAGNOSTICOS DA AMERICA S.A ."/>
    <s v="rachel.sarti@dasa.com.br"/>
    <s v="11972027013"/>
    <s v="1126302498"/>
    <s v="05425020"/>
    <s v="GILBERTO SABINO"/>
    <s v="215"/>
    <s v="EDIF GRAND STATION ANDAR 1 E 2"/>
    <s v="PINHEIROS"/>
    <s v="São Paulo"/>
    <s v="SP"/>
    <s v="Turismo - 50%"/>
    <s v="China Xperience Health Edition"/>
    <m/>
    <m/>
    <m/>
    <s v="71e39be917b3b702571e33ec9cc32905"/>
    <m/>
    <s v="Nao"/>
    <x v="0"/>
    <m/>
    <s v="01/06/2026"/>
    <m/>
    <m/>
    <s v="https://loja.startse.com.br//processamento/fatura/71e39be917b3b702571e33ec9cc32905"/>
    <s v="China"/>
    <s v="KAM"/>
    <s v="03/06/2022"/>
    <s v="ID-61486650084263"/>
    <s v="Aguardando recebimento"/>
    <m/>
    <x v="2"/>
  </r>
  <r>
    <s v="COM69CD3663EF88C"/>
    <n v="246557"/>
    <s v="31/03/2026 12:14"/>
    <x v="2"/>
    <m/>
    <s v="01/04/2026"/>
    <s v="Aprovado"/>
    <n v="1"/>
    <n v="1"/>
    <n v="60000"/>
    <s v="Boleto Bradesco"/>
    <n v="56310"/>
    <s v=""/>
    <s v="Boleto"/>
    <s v="boleto"/>
    <s v="DL Comunicação e Eventos - Palestra IA - Isabelly Veadrigo"/>
    <s v="corporate-palestra-ed21a26"/>
    <s v="Rogério Aver Pizzolatto"/>
    <m/>
    <s v="88.619.747/0001-73"/>
    <s v="CAMARA DE INDUSTRIA, COMERCIO E SERVICOS DE CAXIAS DO SUL"/>
    <s v="comunicacao2@cic-caxias.com.br"/>
    <s v="54991325211"/>
    <s v="54991325211"/>
    <s v="95050520"/>
    <s v="ITALO VICTOR BERSANI"/>
    <s v="1134"/>
    <m/>
    <s v="JARDIM AMERICA"/>
    <s v="Caxias do Sul"/>
    <s v="RS"/>
    <s v="Filial(São Paulo)"/>
    <s v="DL Comunicação e Eventos - Palestra IA"/>
    <m/>
    <m/>
    <m/>
    <s v="1cf423bed05031520b2aa407c8606f6f"/>
    <m/>
    <s v="Nao"/>
    <x v="3"/>
    <m/>
    <s v="18/06/2026"/>
    <m/>
    <m/>
    <m/>
    <m/>
    <s v="KAM"/>
    <s v="30/04/2024"/>
    <s v="ID-88619747000173"/>
    <s v="Aguardando recebimento"/>
    <m/>
    <x v="3"/>
  </r>
  <r>
    <s v="COM69CB19DE49D1F"/>
    <n v="246387"/>
    <s v="30/03/2026 21:48"/>
    <x v="2"/>
    <m/>
    <s v="30/03/2026"/>
    <s v="Aprovado"/>
    <n v="1"/>
    <n v="1"/>
    <n v="0"/>
    <m/>
    <n v="0"/>
    <s v=""/>
    <s v="Cortesia"/>
    <s v="cortesia"/>
    <s v="AI for Leaders - 2026"/>
    <s v="ai-for-leaders-ed1a26"/>
    <s v="André Felipe Hirano"/>
    <s v="22126438880"/>
    <m/>
    <m/>
    <s v="andre.hirano@Hyundai-Brasil.com"/>
    <s v="5519996270162"/>
    <m/>
    <s v="13346-400"/>
    <s v="Avenida Ario Barnabé"/>
    <s v="202"/>
    <m/>
    <s v="Jardim Morada do Sol"/>
    <s v="Indaiatuba"/>
    <s v="SP"/>
    <s v="Filial(São Paulo)"/>
    <s v="AI for Leaders - 2026"/>
    <m/>
    <m/>
    <m/>
    <s v="cc95eae437f5b592c6a23d760ec70904"/>
    <m/>
    <s v="Nao"/>
    <x v="6"/>
    <m/>
    <s v="13/01/2026"/>
    <m/>
    <m/>
    <m/>
    <s v="Brasil"/>
    <s v="KAM"/>
    <m/>
    <s v="ID-22126438880"/>
    <m/>
    <m/>
    <x v="1"/>
  </r>
  <r>
    <s v="COM69CB195F03F1B"/>
    <n v="246386"/>
    <s v="30/03/2026 21:46"/>
    <x v="2"/>
    <m/>
    <s v="30/03/2026"/>
    <s v="Aprovado"/>
    <n v="1"/>
    <n v="1"/>
    <n v="0"/>
    <m/>
    <n v="0"/>
    <s v=""/>
    <s v="Cortesia"/>
    <s v="cortesia"/>
    <s v="Data for Leaders - 2026"/>
    <s v="data-for-leaders-ed1a26"/>
    <s v="Marcelo Cunha"/>
    <s v="36278283808"/>
    <m/>
    <m/>
    <s v="marcelo.cunha@Hyundai-Brasil.com"/>
    <s v="5512981193385"/>
    <m/>
    <s v="13346-400"/>
    <s v="Avenida Ario Barnabé"/>
    <s v="202"/>
    <m/>
    <s v="Jardim Morada do Sol"/>
    <s v="Indaiatuba"/>
    <s v="SP"/>
    <s v="Filial(São Paulo)"/>
    <s v="Data for Leaders - 2026"/>
    <m/>
    <m/>
    <m/>
    <s v="c43a6eb355ce4a74560a55882ec535a6"/>
    <m/>
    <s v="Nao"/>
    <x v="6"/>
    <m/>
    <s v="13/01/2026"/>
    <m/>
    <m/>
    <m/>
    <s v="Brasil"/>
    <s v="KAM"/>
    <m/>
    <s v="ID-36278283808"/>
    <m/>
    <m/>
    <x v="1"/>
  </r>
  <r>
    <s v="COM69C44B3AB1D9C"/>
    <n v="245880"/>
    <s v="30/03/2026 14:07"/>
    <x v="2"/>
    <m/>
    <s v="30/03/2026"/>
    <s v="Aprovado"/>
    <n v="1"/>
    <n v="1"/>
    <n v="34999.99"/>
    <s v="PIX"/>
    <n v="34999.99"/>
    <m/>
    <s v="PIX"/>
    <s v="pix"/>
    <s v="Imersão China Exclusiva | Franqueados MC Donalds"/>
    <s v="corporate-china-xperience-ed2a26"/>
    <s v="Andre Edouard Stauffer"/>
    <s v="10042529786"/>
    <s v="36.095.461/0001-32"/>
    <s v="ANDO COMERCIO DE ALIMENTOS LTDA"/>
    <s v="andrestauffer@hotmail.com"/>
    <s v="21995326125"/>
    <s v="2125535597"/>
    <s v="22250040"/>
    <s v="Praia DE BOTAFOGO"/>
    <s v="400"/>
    <s v="LOJA 701 PARTE"/>
    <s v="BOTAFOGO"/>
    <s v="Rio de Janeiro"/>
    <s v="RJ"/>
    <s v="Turismo - 50%"/>
    <s v="Imersão China Exclusiva | Franqueados MC Donalds"/>
    <m/>
    <m/>
    <m/>
    <s v="c23392cf7f0deec2b5a377503de7a8ae"/>
    <s v="OFFMCFRANQUEADOS"/>
    <s v="Nao"/>
    <x v="0"/>
    <m/>
    <s v="07/09/2026"/>
    <m/>
    <m/>
    <s v="https://loja.startse.com.br//processamento/fatura/c23392cf7f0deec2b5a377503de7a8ae"/>
    <s v="China"/>
    <s v="KAM"/>
    <s v="30/03/2026"/>
    <s v="ID-36095461000132"/>
    <s v="Pago"/>
    <m/>
    <x v="0"/>
  </r>
  <r>
    <s v="COM69CA73720CB10"/>
    <n v="246310"/>
    <s v="30/03/2026 09:58"/>
    <x v="2"/>
    <m/>
    <s v="31/03/2026"/>
    <s v="Aprovado"/>
    <n v="1"/>
    <n v="1"/>
    <n v="241000"/>
    <m/>
    <n v="237385"/>
    <s v=""/>
    <s v="TED"/>
    <s v="ted"/>
    <s v="SEBRAE PA | Workshop AI - In company"/>
    <s v="corporate-workshop-ed27a26"/>
    <s v="Gérson Almeida da Costa"/>
    <m/>
    <s v="05.081.187/0001-19"/>
    <s v="SERVICO DE APOIO AS MICRO E PEQ EMPRESAS DO PARA"/>
    <s v="gerson@pa.sebrae.com.br"/>
    <s v="91984155562"/>
    <s v="91984155562"/>
    <s v="66050350"/>
    <s v="MUNICIPALIDADE"/>
    <s v="1461"/>
    <m/>
    <s v="UMARIZAL"/>
    <s v="Belém"/>
    <s v="PA"/>
    <s v="Filial(São Paulo)"/>
    <s v="SEBRAE PA | Workshop AI - In company"/>
    <m/>
    <m/>
    <m/>
    <s v="ec588c321f419369ba2ae3a772808bd6"/>
    <m/>
    <s v="Nao"/>
    <x v="2"/>
    <m/>
    <s v="07/05/2026"/>
    <m/>
    <m/>
    <m/>
    <m/>
    <s v="KAM"/>
    <s v="10/03/2026"/>
    <s v="ID-05081187000119"/>
    <s v="Aguardando recebimento"/>
    <m/>
    <x v="2"/>
  </r>
  <r>
    <s v="COM69C6E259D4496"/>
    <n v="246252"/>
    <s v="27/03/2026 17:02"/>
    <x v="2"/>
    <m/>
    <s v="31/03/2026"/>
    <s v="Aprovado"/>
    <n v="1"/>
    <n v="1"/>
    <n v="3000"/>
    <m/>
    <n v="2815.5"/>
    <s v=""/>
    <s v="TED"/>
    <s v="ted"/>
    <s v="SEBRAE PA | Multiagentes turmas abertas - Vaga 03"/>
    <s v="corporate-melhor-escolha-ed9a26_vaga03"/>
    <s v="Gérson Almeida da Costa"/>
    <m/>
    <s v="05.081.187/0001-19"/>
    <s v="SERVICO DE APOIO AS MICRO E PEQ EMPRESAS DO PARA"/>
    <s v="gerson@pa.sebrae.com.br"/>
    <s v="91984155562"/>
    <s v="91984155562"/>
    <s v="66050350"/>
    <s v="MUNICIPALIDADE"/>
    <s v="1461"/>
    <m/>
    <s v="UMARIZAL"/>
    <s v="Belém"/>
    <s v="PA"/>
    <s v="Filial(São Paulo)"/>
    <s v="SEBRAE PA | Multiagentes turmas abertas - Vaga 03"/>
    <m/>
    <m/>
    <m/>
    <s v="13f55a316bd31bb929fcf1649dfcecd4"/>
    <m/>
    <s v="Nao"/>
    <x v="2"/>
    <m/>
    <s v="31/12/2099"/>
    <m/>
    <m/>
    <m/>
    <m/>
    <s v="KAM"/>
    <s v="10/03/2026"/>
    <s v="ID-05081187000119"/>
    <s v="Aguardando recebimento"/>
    <m/>
    <x v="2"/>
  </r>
  <r>
    <s v="COM69C6E1C6980BE"/>
    <n v="246251"/>
    <s v="27/03/2026 17:00"/>
    <x v="2"/>
    <m/>
    <s v="31/03/2026"/>
    <s v="Aprovado"/>
    <n v="1"/>
    <n v="1"/>
    <n v="3000"/>
    <m/>
    <n v="2815.5"/>
    <s v=""/>
    <s v="TED"/>
    <s v="ted"/>
    <s v="SEBRAE PA | Multiagentes turmas abertas - Vaga 02"/>
    <s v="corporate-melhor-escolha-ed9a26_vaga02"/>
    <s v="Gérson Almeida da Costa"/>
    <m/>
    <s v="05.081.187/0001-19"/>
    <s v="SERVICO DE APOIO AS MICRO E PEQ EMPRESAS DO PARA"/>
    <s v="gerson@pa.sebrae.com.br"/>
    <s v="91984155562"/>
    <s v="91984155562"/>
    <s v="66050350"/>
    <s v="MUNICIPALIDADE"/>
    <s v="1461"/>
    <m/>
    <s v="UMARIZAL"/>
    <s v="Belém"/>
    <s v="PA"/>
    <s v="Filial(São Paulo)"/>
    <s v="SEBRAE PA | Multiagentes turmas abertas - Vaga 02"/>
    <m/>
    <m/>
    <m/>
    <s v="b88ca6bd10525b136813327192fce007"/>
    <m/>
    <s v="Nao"/>
    <x v="2"/>
    <m/>
    <s v="31/12/2099"/>
    <m/>
    <m/>
    <m/>
    <m/>
    <s v="KAM"/>
    <s v="10/03/2026"/>
    <s v="ID-05081187000119"/>
    <s v="Aguardando recebimento"/>
    <m/>
    <x v="2"/>
  </r>
  <r>
    <s v="COM69C6E04F0690B"/>
    <n v="246248"/>
    <s v="27/03/2026 16:53"/>
    <x v="2"/>
    <m/>
    <s v="31/03/2026"/>
    <s v="Aprovado"/>
    <n v="1"/>
    <n v="1"/>
    <n v="3000"/>
    <m/>
    <n v="2815.5"/>
    <s v=""/>
    <s v="TED"/>
    <s v="ted"/>
    <s v="SEBRAE PA | Multiagentes turmas abertas - Vaga 01"/>
    <s v="corporate-melhor-escolha-ed9a26_vaga01"/>
    <s v="Gérson Almeida da Costa"/>
    <m/>
    <s v="05.081.187/0001-19"/>
    <s v="SERVICO DE APOIO AS MICRO E PEQ EMPRESAS DO PARA"/>
    <s v="gerson@pa.sebrae.com.br"/>
    <s v="91984155562"/>
    <s v="91984155562"/>
    <s v="66050350"/>
    <s v="MUNICIPALIDADE"/>
    <s v="1461"/>
    <m/>
    <s v="UMARIZAL"/>
    <s v="Belém"/>
    <s v="PA"/>
    <s v="Filial(São Paulo)"/>
    <s v="SEBRAE PA | Multiagentes turmas abertas - Vaga 01"/>
    <m/>
    <m/>
    <m/>
    <s v="6b93509c117f5e95b60a2da934fdfe9e"/>
    <m/>
    <s v="Nao"/>
    <x v="2"/>
    <m/>
    <s v="31/12/2099"/>
    <m/>
    <m/>
    <m/>
    <m/>
    <s v="KAM"/>
    <s v="10/03/2026"/>
    <s v="ID-05081187000119"/>
    <s v="Aguardando recebimento"/>
    <m/>
    <x v="2"/>
  </r>
  <r>
    <s v="COM69C6DC8ABFC16"/>
    <n v="246243"/>
    <s v="27/03/2026 16:37"/>
    <x v="2"/>
    <m/>
    <s v="31/03/2026"/>
    <s v="Aprovado"/>
    <n v="3"/>
    <n v="1"/>
    <n v="83700"/>
    <m/>
    <n v="83700"/>
    <s v=""/>
    <s v="TED"/>
    <s v="ted"/>
    <s v="Silicon Valley Xperience - 18 a 22 de Maio de 2026"/>
    <s v="silicon-valley-xperience-ed4a26"/>
    <s v="Marina Braga de Melo"/>
    <m/>
    <s v="07.121.494/0001-01"/>
    <s v="SERVICO DE AP AS MIC E PE EMP DO EST DO CEARA SEBRAE CE"/>
    <s v="marina.braga@ce.sebrae.com.br"/>
    <s v="85982282780"/>
    <s v="85982282780"/>
    <s v="60110370"/>
    <s v="MONSENHOR TABOSA"/>
    <s v="777"/>
    <m/>
    <s v="MEIRELES"/>
    <s v="Fortaleza"/>
    <s v="CE"/>
    <s v="Turismo - 50%"/>
    <s v="Silicon Valley Xperience - 18 a 22 de Maio de 2026"/>
    <m/>
    <m/>
    <m/>
    <s v="8648df7f8fa55d7230861ae0330317a4"/>
    <m/>
    <s v="Nao"/>
    <x v="2"/>
    <m/>
    <s v="18/05/2026"/>
    <m/>
    <m/>
    <s v="https://loja.startse.com.br//processamento/fatura/8648df7f8fa55d7230861ae0330317a4"/>
    <s v="Vale do Silício"/>
    <s v="KAM"/>
    <s v="17/08/2018"/>
    <s v="ID-07121494000101"/>
    <s v="Aguardando recebimento"/>
    <m/>
    <x v="2"/>
  </r>
  <r>
    <s v="COM69C5AB57DC12D"/>
    <n v="246114"/>
    <s v="26/03/2026 18:55"/>
    <x v="2"/>
    <m/>
    <s v="31/03/2026"/>
    <s v="Aprovado"/>
    <n v="1"/>
    <n v="3"/>
    <n v="4267500"/>
    <m/>
    <n v="4005048.75"/>
    <s v=""/>
    <s v="TED"/>
    <s v="ted"/>
    <s v="Oracle l Patrocínio StartSe Tower"/>
    <s v="patrocinio-ed2a26"/>
    <s v="Janaina Tobita"/>
    <m/>
    <s v="59.456.277/0001-76"/>
    <s v="ORACLE DO BRASIL SISTEMAS LTDA"/>
    <s v="janaina.tobita@oracle.com"/>
    <s v="11997543233"/>
    <s v="1133331817"/>
    <s v="04710090"/>
    <s v="DR JOSE AUREO BUSTAMANTE"/>
    <s v="455"/>
    <s v="ANEXO MORUMBI BUSINESS CEN"/>
    <s v="SANTO AMARO"/>
    <s v="São Paulo"/>
    <s v="SP"/>
    <s v="Filial(São Paulo)"/>
    <s v="Naming rights StartSe Tower [Oracle]"/>
    <m/>
    <m/>
    <m/>
    <s v="83ee99347ae070eef5d570641f9d0973"/>
    <m/>
    <s v="Nao"/>
    <x v="10"/>
    <m/>
    <s v="01/05/2026"/>
    <m/>
    <m/>
    <m/>
    <m/>
    <s v="KAM"/>
    <s v="19/03/2021"/>
    <s v="ID-59456277000176"/>
    <s v="Aguardando recebimento"/>
    <m/>
    <x v="2"/>
  </r>
  <r>
    <s v="COM69C56C7F08115"/>
    <n v="246014"/>
    <s v="26/03/2026 14:27"/>
    <x v="2"/>
    <m/>
    <s v="26/03/2026"/>
    <s v="Aprovado"/>
    <n v="1"/>
    <n v="1"/>
    <n v="1999.99"/>
    <s v="Boleto Bradesco"/>
    <n v="1999.99"/>
    <s v=""/>
    <s v="Boleto"/>
    <s v="boleto"/>
    <s v="AI para Negócios - Imersão Presencial - 13 e 14 de Abril de 2026"/>
    <s v="imersao-presencial-de-ai-ed6a26"/>
    <s v="Felipe Burgatti"/>
    <s v="32437590803"/>
    <m/>
    <m/>
    <s v="felipe.burgatti@oracle.com"/>
    <s v="5511943052308"/>
    <m/>
    <s v="06030-500"/>
    <s v="Rua Júlia Fernandes Lyria"/>
    <s v="13"/>
    <s v="A"/>
    <s v="Adalgisa"/>
    <s v="Osasco"/>
    <s v="SP"/>
    <s v="Filial(São Paulo)"/>
    <s v="AI para Negócios - Imersão Presencial - 13 e 14 de Abril de 2026"/>
    <m/>
    <m/>
    <m/>
    <s v="2eb99740da0b3844f83a8dbf4c7faa47"/>
    <m/>
    <s v="Nao"/>
    <x v="10"/>
    <m/>
    <s v="13/04/2026"/>
    <m/>
    <m/>
    <m/>
    <m/>
    <s v="KAM"/>
    <s v="26/03/2026"/>
    <s v="ID-32437590803"/>
    <s v="Pago"/>
    <m/>
    <x v="0"/>
  </r>
  <r>
    <s v="COM69C56A716157B"/>
    <n v="246010"/>
    <s v="26/03/2026 14:18"/>
    <x v="2"/>
    <m/>
    <s v="26/03/2026"/>
    <s v="Aprovado"/>
    <n v="1"/>
    <n v="1"/>
    <n v="1999.99"/>
    <s v="Boleto Bradesco"/>
    <n v="1999.99"/>
    <s v=""/>
    <s v="Boleto"/>
    <s v="boleto"/>
    <s v="AI para Negócios - Imersão Presencial - 13 e 14 de Abril de 2026"/>
    <s v="imersao-presencial-de-ai-ed6a26"/>
    <s v="Bruna Nascimento Osti"/>
    <s v="41640787828"/>
    <m/>
    <m/>
    <s v="bruna.osti@oracle.com"/>
    <s v="5511941533588"/>
    <m/>
    <s v="04733-200"/>
    <s v="Avenida Adolfo Pinheiro"/>
    <s v="1303"/>
    <m/>
    <s v="Santo Amaro"/>
    <s v="São Paulo"/>
    <s v="SP"/>
    <s v="Filial(São Paulo)"/>
    <s v="AI para Negócios - Imersão Presencial - 13 e 14 de Abril de 2026"/>
    <m/>
    <m/>
    <m/>
    <s v="800fdaef1271784d5be57fc9c053987b"/>
    <m/>
    <s v="Nao"/>
    <x v="10"/>
    <m/>
    <s v="13/04/2026"/>
    <m/>
    <m/>
    <m/>
    <m/>
    <s v="KAM"/>
    <s v="26/03/2026"/>
    <s v="ID-41640787828"/>
    <s v="Pago"/>
    <m/>
    <x v="0"/>
  </r>
  <r>
    <s v="COM69DEA7A2C151A"/>
    <n v="247300"/>
    <s v="25/03/2026 17:46"/>
    <x v="2"/>
    <m/>
    <s v="15/04/2026"/>
    <s v="Aprovado"/>
    <n v="1"/>
    <n v="1"/>
    <n v="72000"/>
    <m/>
    <n v="67572"/>
    <s v=""/>
    <s v="TED"/>
    <s v="ted"/>
    <s v="Palestra RUSSELL REYNOLDS"/>
    <s v="corporate-palestra-ed19a26"/>
    <s v="Vanessa Silva Delgado"/>
    <m/>
    <s v="01.731.177/0001-20"/>
    <s v="RUSSELL REYNOLDS ASSOCIATES LTDA"/>
    <s v="vanessa.silva@russellreynolds.com"/>
    <s v="11970838859"/>
    <s v="1135662400"/>
    <s v="04543011"/>
    <s v="PRES JUSCELINO KUBITSCHEK"/>
    <s v="2041"/>
    <s v="ANDAR 10 COND WTORREJK TORRE D"/>
    <s v="VILA NOVA CONCEICAO"/>
    <s v="São Paulo"/>
    <s v="SP"/>
    <s v="Filial(São Paulo)"/>
    <s v="Palestra RUSSELL REYNOLDS"/>
    <m/>
    <m/>
    <m/>
    <s v="f4d5153298f543130f3c8cbe313ddbde"/>
    <m/>
    <s v="Nao"/>
    <x v="7"/>
    <m/>
    <s v="13/04/2026"/>
    <m/>
    <m/>
    <m/>
    <m/>
    <s v="KAM"/>
    <s v="26/12/2023"/>
    <s v="ID-01731177000120"/>
    <s v="Pago"/>
    <m/>
    <x v="0"/>
  </r>
  <r>
    <s v="COM69C3DB0E880A6"/>
    <n v="245767"/>
    <s v="25/03/2026 09:54"/>
    <x v="2"/>
    <m/>
    <s v="25/03/2026"/>
    <s v="Aprovado"/>
    <n v="1"/>
    <n v="1"/>
    <n v="45000"/>
    <s v="Boleto Bradesco"/>
    <n v="42232.5"/>
    <s v=""/>
    <s v="Boleto"/>
    <s v="boleto"/>
    <s v="Palestra Gustavo Bodra | Assobrasc"/>
    <s v="corporate-palestra-ed20a26"/>
    <s v="Maristela Didone"/>
    <m/>
    <s v="50.591.692/0001-68"/>
    <s v="ASSOCIACAO BRASILEIRA DOS CONCESSIONARIOS SCANIA"/>
    <s v="maristela@assobrasc.com.br"/>
    <s v="11983729764"/>
    <s v="11983729764"/>
    <s v="01046000"/>
    <s v="SAO LUIS"/>
    <s v="50"/>
    <s v="19 A CJ 191A B E C"/>
    <s v="VL BUARQUE"/>
    <s v="São Paulo"/>
    <s v="SP"/>
    <s v="Filial(São Paulo)"/>
    <s v="Palestra Gustavo Bodra | Assobrasc"/>
    <m/>
    <m/>
    <m/>
    <s v="2812293fd53561f6cd5d67b4bcdc01dc"/>
    <m/>
    <s v="Nao"/>
    <x v="6"/>
    <m/>
    <s v="23/04/2026"/>
    <m/>
    <m/>
    <m/>
    <m/>
    <s v="KAM"/>
    <s v="25/03/2026"/>
    <s v="ID-50591692000168"/>
    <s v="Aguardando recebimento"/>
    <m/>
    <x v="2"/>
  </r>
  <r>
    <s v="COM69C3D9E1F035F"/>
    <n v="245766"/>
    <s v="25/03/2026 09:49"/>
    <x v="2"/>
    <m/>
    <s v="30/03/2026"/>
    <s v="Aprovado"/>
    <n v="1"/>
    <n v="1"/>
    <n v="480000"/>
    <m/>
    <n v="1501600"/>
    <s v=""/>
    <s v="TED"/>
    <s v="ted"/>
    <s v="Jornada Distribuidores | Sumitomo Chemical"/>
    <s v="corporate-jornada-ed20a26_pagamento-01-"/>
    <s v="Luiz Serafim"/>
    <m/>
    <s v="07.467.822/0002-07"/>
    <s v="SUMITOMO CHEMICAL BRASIL INDUSTRIA QUIMICA S.A."/>
    <s v="luis.serafim@sumitomochemical.com"/>
    <s v="55119445628"/>
    <s v="1121650966"/>
    <s v="01310914"/>
    <s v="PAULISTA"/>
    <s v="1106"/>
    <s v="EDIF ELIJASS GLIKS-MANIS ANDAR 8 E 9"/>
    <s v="BELA VISTA"/>
    <s v="São Paulo"/>
    <s v="SP"/>
    <s v="Filial(São Paulo)"/>
    <s v="Jornada Distribuidores | Sumitomo Chemical"/>
    <m/>
    <m/>
    <m/>
    <s v="70b2f89b9b8a5f58ba2c1c3de4e1a54e"/>
    <m/>
    <s v="Nao"/>
    <x v="5"/>
    <m/>
    <s v="01/03/2099"/>
    <m/>
    <m/>
    <m/>
    <m/>
    <s v="KAM"/>
    <s v="26/08/2019"/>
    <s v="ID-07467822000207"/>
    <s v="Aguardando recebimento"/>
    <m/>
    <x v="2"/>
  </r>
  <r>
    <s v="COM69C3D9E1F035F"/>
    <n v="245766"/>
    <s v="25/03/2026 09:49"/>
    <x v="2"/>
    <m/>
    <s v="30/03/2026"/>
    <s v="Aprovado"/>
    <n v="1"/>
    <n v="1"/>
    <n v="560000"/>
    <m/>
    <n v="1501600"/>
    <s v=""/>
    <s v="TED"/>
    <s v="ted"/>
    <s v="Jornada Distribuidores | Sumitomo Chemical"/>
    <s v="corporate-jornada-ed20a26_pagamento-02"/>
    <s v="Luiz Serafim"/>
    <m/>
    <s v="07.467.822/0002-07"/>
    <s v="SUMITOMO CHEMICAL BRASIL INDUSTRIA QUIMICA S.A."/>
    <s v="luis.serafim@sumitomochemical.com"/>
    <s v="55119445628"/>
    <s v="1121650966"/>
    <s v="01310914"/>
    <s v="PAULISTA"/>
    <s v="1106"/>
    <s v="EDIF ELIJASS GLIKS-MANIS ANDAR 8 E 9"/>
    <s v="BELA VISTA"/>
    <s v="São Paulo"/>
    <s v="SP"/>
    <s v="Filial(São Paulo)"/>
    <s v="Jornada Distribuidores | Sumitomo Chemical"/>
    <m/>
    <m/>
    <m/>
    <s v="70b2f89b9b8a5f58ba2c1c3de4e1a54e"/>
    <m/>
    <s v="Nao"/>
    <x v="5"/>
    <m/>
    <s v="01/06/2026"/>
    <m/>
    <m/>
    <m/>
    <m/>
    <s v="KAM"/>
    <s v="26/08/2019"/>
    <s v="ID-07467822000207"/>
    <s v="Aguardando recebimento"/>
    <m/>
    <x v="2"/>
  </r>
  <r>
    <s v="COM69C3D9E1F035F"/>
    <n v="245766"/>
    <s v="25/03/2026 09:49"/>
    <x v="2"/>
    <m/>
    <s v="30/03/2026"/>
    <s v="Aprovado"/>
    <n v="1"/>
    <n v="1"/>
    <n v="560000"/>
    <m/>
    <n v="1501600"/>
    <s v=""/>
    <s v="TED"/>
    <s v="ted"/>
    <s v="Jornada Distribuidores | Sumitomo Chemical"/>
    <s v="corporate-jornada-ed20a26_pagamento-03"/>
    <s v="Luiz Serafim"/>
    <m/>
    <s v="07.467.822/0002-07"/>
    <s v="SUMITOMO CHEMICAL BRASIL INDUSTRIA QUIMICA S.A."/>
    <s v="luis.serafim@sumitomochemical.com"/>
    <s v="55119445628"/>
    <s v="1121650966"/>
    <s v="01310914"/>
    <s v="PAULISTA"/>
    <s v="1106"/>
    <s v="EDIF ELIJASS GLIKS-MANIS ANDAR 8 E 9"/>
    <s v="BELA VISTA"/>
    <s v="São Paulo"/>
    <s v="SP"/>
    <s v="Filial(São Paulo)"/>
    <s v="Jornada Distribuidores | Sumitomo Chemical"/>
    <m/>
    <m/>
    <m/>
    <s v="70b2f89b9b8a5f58ba2c1c3de4e1a54e"/>
    <m/>
    <s v="Nao"/>
    <x v="5"/>
    <m/>
    <s v="01/10/2026"/>
    <m/>
    <m/>
    <m/>
    <m/>
    <s v="KAM"/>
    <s v="26/08/2019"/>
    <s v="ID-07467822000207"/>
    <s v="Aguardando recebimento"/>
    <m/>
    <x v="2"/>
  </r>
  <r>
    <s v="ORDKH1VOCC5TQO5K"/>
    <n v="245721"/>
    <s v="24/03/2026 18:10"/>
    <x v="2"/>
    <m/>
    <s v="24/03/2026"/>
    <s v="Aprovado"/>
    <n v="1"/>
    <n v="0"/>
    <n v="0"/>
    <m/>
    <n v="0"/>
    <m/>
    <s v="Cortesia"/>
    <s v="cortesia"/>
    <s v="AI for Leaders - 2ª edição - 2025"/>
    <s v="ai-for-leaders-ed2a25"/>
    <s v="Karla Rosa Aguiar"/>
    <s v="03636215639"/>
    <m/>
    <m/>
    <s v="karlaa@tribanco.com.br"/>
    <s v="62996325040"/>
    <m/>
    <s v="73105909"/>
    <s v="Rodovia DF-150 Km 2,5"/>
    <s v="15"/>
    <m/>
    <s v="Grande Colorado (Sobradinho)"/>
    <s v="Brasília"/>
    <s v="DF"/>
    <s v="Filial(São Paulo)"/>
    <m/>
    <m/>
    <m/>
    <m/>
    <s v="7c4d79291253cd5cf9e4938a0518baf1"/>
    <s v="OFFTRIBANCO"/>
    <s v="Nao"/>
    <x v="0"/>
    <m/>
    <s v="15/05/2025"/>
    <m/>
    <m/>
    <m/>
    <s v="Brasil"/>
    <s v="KAM"/>
    <m/>
    <s v="ID-03636215639"/>
    <m/>
    <m/>
    <x v="1"/>
  </r>
  <r>
    <s v="COM69C2C24265135"/>
    <n v="245619"/>
    <s v="24/03/2026 13:56"/>
    <x v="2"/>
    <m/>
    <s v="24/03/2026"/>
    <s v="Aprovado"/>
    <n v="6"/>
    <n v="1"/>
    <n v="7194"/>
    <s v="Boleto Bradesco"/>
    <n v="6751.57"/>
    <s v=""/>
    <s v="Boleto"/>
    <s v="boleto"/>
    <s v="RH Leadership Xperience 2026 - Ingresso Explorer"/>
    <s v="evento-rh-ed1a26_explorer"/>
    <s v="Juliana Santos"/>
    <m/>
    <s v="61.198.164/0001-60"/>
    <s v="PORTO SEGURO COMPANHIA DE SEGUROS GERAIS"/>
    <s v="juliana.santos@portoseguro.com.br"/>
    <s v="1123936762"/>
    <s v="1123936762"/>
    <s v="01205001"/>
    <s v="RIO BRANCO"/>
    <s v="1489"/>
    <s v="RUA GUAIANASES, 1238"/>
    <s v="CAMPOS ELISEOS"/>
    <s v="São Paulo"/>
    <s v="SP"/>
    <s v="Filial(São Paulo)"/>
    <s v="RH Leadership Xperience 2026 - Ingresso Explorer"/>
    <m/>
    <m/>
    <m/>
    <s v="64d3d97c71b9c412b79b8f8ccdfa8431"/>
    <m/>
    <s v="Nao"/>
    <x v="6"/>
    <m/>
    <s v="26/03/2026"/>
    <m/>
    <m/>
    <m/>
    <m/>
    <s v="KAM"/>
    <s v="19/06/2017"/>
    <s v="ID-61198164000160"/>
    <s v="Pago"/>
    <m/>
    <x v="0"/>
  </r>
  <r>
    <s v="COM69C2BD1E2F4D3"/>
    <n v="245616"/>
    <s v="24/03/2026 13:34"/>
    <x v="2"/>
    <m/>
    <s v="24/03/2026"/>
    <s v="Aprovado"/>
    <n v="1"/>
    <n v="1"/>
    <n v="1019.15"/>
    <s v="Boleto Bradesco"/>
    <n v="956.47"/>
    <s v=""/>
    <s v="Boleto"/>
    <s v="boleto"/>
    <s v="RH Leadership Xperience 2026 - Ingresso Explorer"/>
    <s v="evento-rh-ed1a26_explorer"/>
    <s v="CARLOS ALEXANDRE FERREIRA SIMOES"/>
    <m/>
    <s v="06.057.223/0305-93"/>
    <s v="SENDAS DISTRIBUIDORA S/A"/>
    <s v="carlos.simoes@assai.com.br"/>
    <s v="11953246833"/>
    <s v="1134115200"/>
    <s v="03527000"/>
    <s v="ARICANDUVA"/>
    <s v="5555"/>
    <s v="ANCORA E PARTE 1"/>
    <s v="VILA ARICANDUVA"/>
    <s v="São Paulo"/>
    <s v="SP"/>
    <s v="Filial(São Paulo)"/>
    <s v="RH Leadership Xperience 2026 - Ingresso Explorer"/>
    <m/>
    <m/>
    <m/>
    <s v="33ac6e80ce6deea354bd4126c3958d5d"/>
    <m/>
    <s v="Nao"/>
    <x v="0"/>
    <m/>
    <s v="26/03/2026"/>
    <m/>
    <m/>
    <m/>
    <m/>
    <s v="KAM"/>
    <s v="23/10/2018"/>
    <s v="ID-06057223030593"/>
    <s v="Aguardando recebimento"/>
    <m/>
    <x v="3"/>
  </r>
  <r>
    <s v="COM6984E4AD8C492"/>
    <n v="242058"/>
    <s v="24/03/2026 12:09"/>
    <x v="2"/>
    <m/>
    <s v="24/03/2026"/>
    <s v="Aprovado"/>
    <n v="2"/>
    <n v="12"/>
    <n v="69999.98"/>
    <s v="Braintree"/>
    <n v="69999.98"/>
    <s v="28987210985H1E8K2V6C"/>
    <s v="Crédito Parcelado"/>
    <s v="visa"/>
    <s v="Imersão China Exclusiva | Franqueados MC Donalds"/>
    <s v="corporate-china-xperience-ed2a26"/>
    <s v="KCR COMÉRCIO DE ALIMENTOS LTDA"/>
    <s v="08865604204"/>
    <s v="02.637.777/0008-63"/>
    <s v="KCR COMERCIO DE ALIMENTOS LTDA"/>
    <s v="kfkalif@uol.com.br"/>
    <s v="91981286804"/>
    <s v="9132836141"/>
    <s v="66055050"/>
    <s v="ANTONIO BARRETO"/>
    <s v="166"/>
    <m/>
    <s v="UMARIZAL"/>
    <s v="Belém"/>
    <s v="PA"/>
    <s v="Turismo - 50%"/>
    <s v="Imersão China Exclusiva | Franqueados MC Donalds"/>
    <m/>
    <m/>
    <m/>
    <s v="abf97fbd525f25b4147450ae418507fd"/>
    <s v="OFFMCFRANQUEADOS"/>
    <s v="Nao"/>
    <x v="0"/>
    <m/>
    <s v="07/09/2026"/>
    <m/>
    <m/>
    <s v="https://loja.startse.com.br//processamento/fatura/abf97fbd525f25b4147450ae418507fd"/>
    <s v="China"/>
    <s v="KAM"/>
    <s v="24/03/2026"/>
    <s v="ID-02637777000863"/>
    <s v="A pagar"/>
    <m/>
    <x v="0"/>
  </r>
  <r>
    <s v="COM69C13CF6C7006"/>
    <n v="245419"/>
    <s v="23/03/2026 10:15"/>
    <x v="2"/>
    <m/>
    <s v="24/03/2026"/>
    <s v="Aprovado"/>
    <n v="2"/>
    <n v="1"/>
    <n v="53800"/>
    <s v="Boleto Bradesco"/>
    <n v="53800"/>
    <s v=""/>
    <s v="Boleto"/>
    <s v="boleto"/>
    <s v="China Xperience - 17 a 21 de Agosto de 2026"/>
    <s v="china-xperience-ed3a26"/>
    <s v="Fernanda Caroline Lopes Silva"/>
    <m/>
    <s v="05.036.532/0001-00"/>
    <s v="CENTRAL DAS COOPERATIVAS DE CREDITO UNICOOB"/>
    <s v="fernanda.silva@sicoob.com.br"/>
    <s v="44999072085"/>
    <s v="44999072085"/>
    <s v="04543900"/>
    <s v="PRES JUSCELINO KUBITSCHEK"/>
    <s v="1830"/>
    <s v="ANDAR 9"/>
    <s v="VILA NOVA CONCEICAO"/>
    <s v="São Paulo"/>
    <s v="SP"/>
    <s v="Turismo - 50%"/>
    <s v="China Xperience - 25 a 29 de Maio de 2026"/>
    <m/>
    <m/>
    <m/>
    <s v="059c61f6ca8ebcb4575a9090c3919300"/>
    <m/>
    <s v="Nao"/>
    <x v="10"/>
    <m/>
    <s v="17/08/2026"/>
    <m/>
    <m/>
    <s v="https://loja.startse.com.br//processamento/fatura/059c61f6ca8ebcb4575a9090c3919300"/>
    <s v="China"/>
    <s v="KAM"/>
    <s v="10/01/2018"/>
    <s v="ID-05036532000100"/>
    <s v="Aguardando recebimento"/>
    <m/>
    <x v="2"/>
  </r>
  <r>
    <s v="COM69BDBB66B7287"/>
    <n v="245349"/>
    <s v="20/03/2026 18:25"/>
    <x v="2"/>
    <m/>
    <s v="20/03/2026"/>
    <s v="Aprovado"/>
    <n v="3"/>
    <n v="1"/>
    <n v="0"/>
    <m/>
    <n v="0"/>
    <s v=""/>
    <s v="Cortesia"/>
    <s v="cortesia"/>
    <s v="RH Leadership Xperience 2026 - Ingresso Explorer"/>
    <s v="evento-rh-ed1a26_explorer"/>
    <s v="Ricardo Alves Almeida"/>
    <s v="89925513120"/>
    <m/>
    <m/>
    <s v="ricardo.a.almeida@caixa.gov.br"/>
    <s v="5561981311862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5baa510c4e4657673edb6bb8498f5ecc"/>
    <m/>
    <s v="Nao"/>
    <x v="7"/>
    <m/>
    <s v="26/03/2026"/>
    <m/>
    <m/>
    <m/>
    <m/>
    <s v="KAM"/>
    <m/>
    <s v="ID-89925513120"/>
    <m/>
    <m/>
    <x v="1"/>
  </r>
  <r>
    <s v="COM69BC6A98D816C"/>
    <n v="245181"/>
    <s v="19/03/2026 18:28"/>
    <x v="2"/>
    <m/>
    <s v="20/03/2026"/>
    <s v="Aprovado"/>
    <n v="1"/>
    <n v="1"/>
    <n v="29000"/>
    <s v="Boleto Bradesco"/>
    <n v="27216.5"/>
    <s v=""/>
    <s v="Boleto"/>
    <s v="boleto"/>
    <s v="StartSe Board Program - Turma 16 - 2026"/>
    <s v="board-program-ed4a26"/>
    <s v="Fernanda Caroline Lopes Silva"/>
    <m/>
    <s v="05.036.532/0001-00"/>
    <s v="CENTRAL DAS COOPERATIVAS DE CREDITO UNICOOB"/>
    <s v="fernanda.silva@sicoob.com.br"/>
    <s v="44999072085"/>
    <s v="44999072085"/>
    <s v="04543900"/>
    <s v="PRES JUSCELINO KUBITSCHEK"/>
    <s v="1830"/>
    <s v="ANDAR 9"/>
    <s v="VILA NOVA CONCEICAO"/>
    <s v="São Paulo"/>
    <s v="SP"/>
    <s v="Filial(São Paulo)"/>
    <s v="StartSe Board Program - Turma 16 - 2026"/>
    <m/>
    <m/>
    <m/>
    <s v="66b4c174e3853912d1237d48305beffd"/>
    <m/>
    <s v="Nao"/>
    <x v="10"/>
    <m/>
    <s v="26/10/2026"/>
    <m/>
    <m/>
    <m/>
    <s v="Brasil"/>
    <s v="KAM"/>
    <s v="10/01/2018"/>
    <s v="ID-05036532000100"/>
    <s v="Aguardando recebimento"/>
    <m/>
    <x v="2"/>
  </r>
  <r>
    <s v="COM69BC69DBB34E6"/>
    <n v="245179"/>
    <s v="19/03/2026 18:25"/>
    <x v="2"/>
    <m/>
    <s v="20/03/2026"/>
    <s v="Aprovado"/>
    <n v="1"/>
    <n v="1"/>
    <n v="29000"/>
    <s v="Boleto Bradesco"/>
    <n v="27216.5"/>
    <s v=""/>
    <s v="Boleto"/>
    <s v="boleto"/>
    <s v="StartSe Board Program - Turma 15 - 2026"/>
    <s v="board-program-ed3a26"/>
    <s v="Fernanda Caroline Lopes Silva"/>
    <m/>
    <s v="05.036.532/0001-00"/>
    <s v="CENTRAL DAS COOPERATIVAS DE CREDITO UNICOOB"/>
    <s v="fernanda.silva@sicoob.com.br"/>
    <s v="44999072085"/>
    <s v="44999072085"/>
    <s v="04543900"/>
    <s v="PRES JUSCELINO KUBITSCHEK"/>
    <s v="1830"/>
    <s v="ANDAR 9"/>
    <s v="VILA NOVA CONCEICAO"/>
    <s v="São Paulo"/>
    <s v="SP"/>
    <s v="Filial(São Paulo)"/>
    <s v="StartSe Board Program - Turma 15 - 2026"/>
    <m/>
    <m/>
    <m/>
    <s v="2f6a722488e97a8caa401db275f8e370"/>
    <m/>
    <s v="Nao"/>
    <x v="10"/>
    <m/>
    <s v="03/08/2026"/>
    <m/>
    <m/>
    <m/>
    <s v="Brasil"/>
    <s v="KAM"/>
    <s v="10/01/2018"/>
    <s v="ID-05036532000100"/>
    <s v="Aguardando recebimento"/>
    <m/>
    <x v="2"/>
  </r>
  <r>
    <s v="COM69BC6878DF3C6"/>
    <n v="245177"/>
    <s v="19/03/2026 18:19"/>
    <x v="2"/>
    <m/>
    <s v="20/03/2026"/>
    <s v="Aprovado"/>
    <n v="1"/>
    <n v="1"/>
    <n v="29000"/>
    <s v="Boleto Bradesco"/>
    <n v="27216.5"/>
    <s v=""/>
    <s v="Boleto"/>
    <s v="boleto"/>
    <s v="StartSe Board Program - Turma 14 - 2026"/>
    <s v="board-program-ed2a26"/>
    <s v="Fernanda Caroline Lopes Silva"/>
    <m/>
    <s v="05.036.532/0001-00"/>
    <s v="CENTRAL DAS COOPERATIVAS DE CREDITO UNICOOB"/>
    <s v="fernanda.silva@sicoob.com.br"/>
    <s v="44999072085"/>
    <s v="44999072085"/>
    <s v="04543900"/>
    <s v="PRES JUSCELINO KUBITSCHEK"/>
    <s v="1830"/>
    <s v="ANDAR 9"/>
    <s v="VILA NOVA CONCEICAO"/>
    <s v="São Paulo"/>
    <s v="SP"/>
    <s v="Filial(São Paulo)"/>
    <s v="StartSe Board Program - Turma 14 - 2026"/>
    <m/>
    <m/>
    <m/>
    <s v="d7c99f63d31ec04fecbdbb098197e484"/>
    <m/>
    <s v="Nao"/>
    <x v="10"/>
    <m/>
    <s v="04/05/2026"/>
    <m/>
    <m/>
    <m/>
    <s v="Brasil"/>
    <s v="KAM"/>
    <s v="10/01/2018"/>
    <s v="ID-05036532000100"/>
    <s v="Aguardando recebimento"/>
    <m/>
    <x v="2"/>
  </r>
  <r>
    <s v="COM69BC49B046054"/>
    <n v="245144"/>
    <s v="19/03/2026 16:08"/>
    <x v="2"/>
    <m/>
    <s v="19/03/2026"/>
    <s v="Aprovado"/>
    <n v="1"/>
    <n v="1"/>
    <n v="0"/>
    <m/>
    <n v="0"/>
    <s v=""/>
    <s v="Cortesia"/>
    <s v="cortesia"/>
    <s v="Esquenta RH Leadership Experience"/>
    <s v="encontro-exclusivo-ed1a26"/>
    <s v="Silvana Pampu"/>
    <s v="00407473955"/>
    <m/>
    <m/>
    <s v="Silvana.pampu@renault.com"/>
    <s v="5541984424682"/>
    <m/>
    <s v="04578-910"/>
    <s v="Avenida das Nações Unidas"/>
    <s v="12901"/>
    <m/>
    <s v="Brooklin Paulista"/>
    <s v="São Paulo"/>
    <s v="SP"/>
    <s v="Filial(São Paulo)"/>
    <s v="Esquenta RH Leadership Experience"/>
    <m/>
    <m/>
    <m/>
    <s v="4ae9b34d8bc17fb4d471be40df719c5e"/>
    <m/>
    <s v="Nao"/>
    <x v="14"/>
    <m/>
    <s v="25/03/2026"/>
    <m/>
    <m/>
    <m/>
    <s v="Brasil"/>
    <m/>
    <s v="08/06/2019"/>
    <s v="ID-00407473955"/>
    <m/>
    <m/>
    <x v="1"/>
  </r>
  <r>
    <s v="COM69BC49785C5EA"/>
    <n v="245143"/>
    <s v="19/03/2026 16:07"/>
    <x v="2"/>
    <m/>
    <s v="19/03/2026"/>
    <s v="Aprovado"/>
    <n v="3"/>
    <n v="1"/>
    <n v="33700"/>
    <m/>
    <n v="31627.45"/>
    <s v=""/>
    <s v="TED"/>
    <s v="ted"/>
    <s v="AI Festival 2026 - Ingresso Platinum"/>
    <s v="evento-ia-ed1a26_platinum"/>
    <s v="Gabriela Silva"/>
    <m/>
    <s v="14.380.200/0001-21"/>
    <s v="IFOOD.COM AGENCIA DE RESTAURANTES ONLINE S.A."/>
    <s v="gabriela.silva@ifood.com.br"/>
    <s v="11986614635"/>
    <s v="1136343360"/>
    <s v="06020902"/>
    <s v="DOS AUTONOMISTAS 1496"/>
    <s v="1.496"/>
    <m/>
    <s v="VILA YARA"/>
    <s v="Osasco"/>
    <s v="SP"/>
    <s v="Filial(São Paulo)"/>
    <s v="AI Festival 2026 - Ingresso Platinum"/>
    <m/>
    <m/>
    <m/>
    <s v="a5d71a6bc14c5f56a5ad497e3cb7e154"/>
    <m/>
    <s v="Nao"/>
    <x v="8"/>
    <m/>
    <s v="13/05/2026"/>
    <m/>
    <m/>
    <m/>
    <m/>
    <s v="KAM"/>
    <s v="20/05/2019"/>
    <s v="ID-14380200000121"/>
    <s v="Aguardando recebimento"/>
    <m/>
    <x v="3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1"/>
    <s v="consulting-tech-strategy-design-ed1a26_pagamento01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3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2"/>
    <s v="consulting-tech-strategy-design-ed1a26_pagamento02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4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3"/>
    <s v="consulting-tech-strategy-design-ed1a26_pagamento03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5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4"/>
    <s v="consulting-tech-strategy-design-ed1a26_pagamento04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6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5"/>
    <s v="consulting-tech-strategy-design-ed1a26_pagamento05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7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B00779B099"/>
    <n v="245013"/>
    <s v="18/03/2026 16:43"/>
    <x v="2"/>
    <m/>
    <s v="19/03/2026"/>
    <s v="Aprovado"/>
    <n v="1"/>
    <n v="1"/>
    <n v="116500"/>
    <s v="Boleto Bradesco"/>
    <n v="656011.5"/>
    <s v=""/>
    <s v="Boleto"/>
    <s v="boleto"/>
    <s v="Hyundai | Consultoria TECH - Alocação de Vendas - pagamento 06"/>
    <s v="consulting-tech-strategy-design-ed1a26_pagamento06"/>
    <s v="Renata Ramos"/>
    <m/>
    <s v="10.394.422/0001-42"/>
    <s v="HYUNDAI MOTOR BRASIL MONTADORA DE AUTOMOVEIS LTDA"/>
    <s v="renata.ramos@Hyundai-Brasil.com"/>
    <s v="11998022898"/>
    <s v="1933730000"/>
    <s v="13413900"/>
    <s v="HYUNDAI"/>
    <s v="777"/>
    <m/>
    <s v="AGUA SANTA"/>
    <s v="Piracicaba"/>
    <s v="SP"/>
    <s v="Filial(São Paulo)"/>
    <s v="Hyundai | Consultoria TECH - Alocação de Vendas | Consultoria de tecnologia"/>
    <m/>
    <m/>
    <m/>
    <s v="db0e7ea3e9c64a45c93ef24bfedc7967"/>
    <m/>
    <s v="Nao"/>
    <x v="6"/>
    <m/>
    <s v="23/08/2026"/>
    <m/>
    <m/>
    <m/>
    <s v="StartSe Consulting,StartSe Consulting,StartSe Consulting,StartSe Consulting,StartSe Consulting,StartSe Consulting"/>
    <s v="KAM"/>
    <s v="10/04/2025"/>
    <s v="ID-10394422000142"/>
    <s v="Aguardando recebimento"/>
    <m/>
    <x v="4"/>
  </r>
  <r>
    <s v="COM69BAFE9B32D35"/>
    <n v="245010"/>
    <s v="18/03/2026 16:35"/>
    <x v="2"/>
    <m/>
    <s v="19/03/2026"/>
    <s v="Aprovado"/>
    <n v="6"/>
    <n v="1"/>
    <n v="12800"/>
    <m/>
    <n v="12012.8"/>
    <s v=""/>
    <s v="TED"/>
    <s v="ted"/>
    <s v="AI Festival 2026 - Ingresso Interactive"/>
    <s v="evento-ia-ed1a26_interactive"/>
    <s v="Gabriela Silva"/>
    <m/>
    <s v="14.380.200/0001-21"/>
    <s v="IFOOD.COM AGENCIA DE RESTAURANTES ONLINE S.A."/>
    <s v="gabriela.silva@ifood.com.br"/>
    <s v="11986614635"/>
    <s v="1136343360"/>
    <s v="06020902"/>
    <s v="DOS AUTONOMISTAS 1496"/>
    <s v="1.496"/>
    <m/>
    <s v="VILA YARA"/>
    <s v="Osasco"/>
    <s v="SP"/>
    <s v="Filial(São Paulo)"/>
    <s v="AI Festival 2026 - Ingresso Interactive"/>
    <m/>
    <m/>
    <m/>
    <s v="b315f7e0bf1bef9adc0df2d287e04ca6"/>
    <m/>
    <s v="Nao"/>
    <x v="8"/>
    <m/>
    <s v="13/05/2026"/>
    <m/>
    <m/>
    <m/>
    <m/>
    <s v="KAM"/>
    <s v="20/05/2019"/>
    <s v="ID-14380200000121"/>
    <s v="Aguardando recebimento"/>
    <m/>
    <x v="2"/>
  </r>
  <r>
    <s v="COM69BADEDCED19C"/>
    <n v="244986"/>
    <s v="18/03/2026 14:20"/>
    <x v="2"/>
    <m/>
    <s v="18/03/2026"/>
    <s v="Aprovado"/>
    <n v="2"/>
    <n v="1"/>
    <n v="0"/>
    <m/>
    <n v="0"/>
    <s v=""/>
    <s v="Cortesia"/>
    <s v="cortesia"/>
    <s v="Imersão Multiagentes - Presencial - 15 de Abril de 2026"/>
    <s v="imersao-multiagentes-ed4a26"/>
    <s v="Sicoob Crediacil"/>
    <s v="36938498890"/>
    <s v="08.795.285/0001-06"/>
    <s v="COOPERATIVA DE CREDITO DE LIVRE ADMISSAO SICOOB CREDIACIL"/>
    <s v="vanessa.lorencetti@sicoob.com.br"/>
    <s v="19998364149"/>
    <s v="19998364149"/>
    <s v="13610110"/>
    <s v="JOAO PESSOA"/>
    <s v="539"/>
    <s v="."/>
    <s v="CENTRO"/>
    <s v="Leme"/>
    <s v="SP"/>
    <s v="Filial(São Paulo)"/>
    <s v="SICOOB"/>
    <m/>
    <m/>
    <m/>
    <s v="02badf96e97163e42afb1842f1c78582"/>
    <m/>
    <s v="Nao"/>
    <x v="10"/>
    <m/>
    <s v="15/04/2026"/>
    <m/>
    <m/>
    <m/>
    <m/>
    <s v="KAM"/>
    <s v="24/06/2021"/>
    <s v="ID-08795285000106"/>
    <m/>
    <m/>
    <x v="1"/>
  </r>
  <r>
    <s v="COM69BADAC3A306E"/>
    <n v="244984"/>
    <s v="18/03/2026 14:02"/>
    <x v="2"/>
    <m/>
    <s v="20/03/2026"/>
    <s v="Aprovado"/>
    <n v="1"/>
    <n v="1"/>
    <n v="47400"/>
    <m/>
    <n v="111212.25"/>
    <s v=""/>
    <s v="TED"/>
    <s v="ted"/>
    <s v="Programa de Inteligência Artificial Time G&amp;amp;G e Time HRIS - Hypera Pharma"/>
    <s v="corporate-jornada-ed19a26_pagamento-01"/>
    <s v="Priscilla Rocha"/>
    <m/>
    <s v="02.932.074/0006-04"/>
    <s v="HYPERA S.A."/>
    <s v="priscilla.perez@brainfarma.ind.br"/>
    <s v="1136275453"/>
    <s v="1136277000"/>
    <s v="05676120"/>
    <s v="MAGALHAES DE CASTRO"/>
    <s v="4800"/>
    <s v="ANDAR 22 / 23 E 25 CONJ 20.1 E 24.1"/>
    <s v="CIDADE JARDIM"/>
    <s v="São Paulo"/>
    <s v="SP"/>
    <s v="Filial(São Paulo)"/>
    <s v="Programa de Inteligência Artificial Time G&amp;amp;G e Time HRIS - Hypera Pharma | Pedido de Compras 4100165456"/>
    <m/>
    <m/>
    <m/>
    <s v="1a9d5e94a09c112baf1dfe73c02c0f79"/>
    <m/>
    <s v="Nao"/>
    <x v="3"/>
    <m/>
    <s v="17/04/2026"/>
    <m/>
    <m/>
    <m/>
    <m/>
    <s v="KAM"/>
    <s v="27/09/2018"/>
    <s v="ID-02932074000604"/>
    <s v="Aguardando recebimento"/>
    <m/>
    <x v="2"/>
  </r>
  <r>
    <s v="COM69BADAC3A306E"/>
    <n v="244984"/>
    <s v="18/03/2026 14:02"/>
    <x v="2"/>
    <m/>
    <s v="20/03/2026"/>
    <s v="Aprovado"/>
    <n v="1"/>
    <n v="1"/>
    <n v="71100"/>
    <m/>
    <n v="111212.25"/>
    <s v=""/>
    <s v="TED"/>
    <s v="ted"/>
    <s v="Programa de Inteligência Artificial Time G&amp;amp;G e Time HRIS - Hypera Pharma"/>
    <s v="corporate-jornada-ed19a26_pagamento-02"/>
    <s v="Priscilla Rocha"/>
    <m/>
    <s v="02.932.074/0006-04"/>
    <s v="HYPERA S.A."/>
    <s v="priscilla.perez@brainfarma.ind.br"/>
    <s v="1136275453"/>
    <s v="1136277000"/>
    <s v="05676120"/>
    <s v="MAGALHAES DE CASTRO"/>
    <s v="4800"/>
    <s v="ANDAR 22 / 23 E 25 CONJ 20.1 E 24.1"/>
    <s v="CIDADE JARDIM"/>
    <s v="São Paulo"/>
    <s v="SP"/>
    <s v="Filial(São Paulo)"/>
    <s v="Programa de Inteligência Artificial Time G&amp;amp;G e Time HRIS - Hypera Pharma | Pedido de Compras 4100165456"/>
    <m/>
    <m/>
    <m/>
    <s v="1a9d5e94a09c112baf1dfe73c02c0f79"/>
    <m/>
    <s v="Nao"/>
    <x v="3"/>
    <m/>
    <s v="27/04/2026"/>
    <m/>
    <m/>
    <m/>
    <m/>
    <s v="KAM"/>
    <s v="27/09/2018"/>
    <s v="ID-02932074000604"/>
    <s v="Aguardando recebimento"/>
    <m/>
    <x v="2"/>
  </r>
  <r>
    <s v="COM69B9C10046DC2"/>
    <n v="244936"/>
    <s v="17/03/2026 18:00"/>
    <x v="2"/>
    <m/>
    <s v="18/03/2026"/>
    <s v="Aprovado"/>
    <n v="2"/>
    <n v="1"/>
    <n v="360000"/>
    <s v="Boleto Bradesco"/>
    <n v="337860"/>
    <s v=""/>
    <s v="Boleto"/>
    <s v="boleto"/>
    <s v="Literacia em AI - Lideranças - Capgemini"/>
    <s v="corporate-jornada-ed18a26"/>
    <s v="Bruno Lopes Simon"/>
    <m/>
    <s v="65.599.953/0001-63"/>
    <s v="CAPGEMINI BRASIL LTDA."/>
    <s v="gustavo.grinstein@capgemini.com"/>
    <s v="71981035781"/>
    <s v="1141967437"/>
    <s v="06454050"/>
    <s v="Alameda Grajau"/>
    <s v="60"/>
    <s v="Andar 14"/>
    <s v="Alphaville Centro Industrial e Empresarial"/>
    <s v="Barueri"/>
    <s v="SP"/>
    <s v="Filial(São Paulo)"/>
    <s v="Literacia em AI - Lideranças - Capgemini"/>
    <m/>
    <m/>
    <m/>
    <s v="62f0013d44d4894551c6ca49d6e904c3"/>
    <m/>
    <s v="Nao"/>
    <x v="4"/>
    <m/>
    <s v="16/04/2026"/>
    <m/>
    <m/>
    <m/>
    <m/>
    <s v="KAM"/>
    <s v="29/08/2025"/>
    <s v="ID-65599953000163"/>
    <s v="Aguardando recebimento"/>
    <m/>
    <x v="2"/>
  </r>
  <r>
    <s v="COM69B9B844453D4"/>
    <n v="244933"/>
    <s v="17/03/2026 17:23"/>
    <x v="2"/>
    <m/>
    <s v="18/03/2026"/>
    <s v="Aprovado"/>
    <n v="1"/>
    <n v="1"/>
    <n v="230000"/>
    <m/>
    <n v="1013580.04"/>
    <s v=""/>
    <s v="TED"/>
    <s v="ted"/>
    <s v="Sebrae RR | Jornada Estratégia"/>
    <s v="consulting-strategy-design-ed3a26_pagamento-01--fase-1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350000"/>
    <m/>
    <n v="1013580.04"/>
    <s v=""/>
    <s v="TED"/>
    <s v="ted"/>
    <s v="Sebrae RR | Jornada Estratégia"/>
    <s v="consulting-strategy-design-ed3a26_pagamento-01--fase-2-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1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2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3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4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5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6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7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8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09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10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11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844453D4"/>
    <n v="244933"/>
    <s v="17/03/2026 17:23"/>
    <x v="2"/>
    <m/>
    <s v="18/03/2026"/>
    <s v="Aprovado"/>
    <n v="1"/>
    <n v="1"/>
    <n v="41666.67"/>
    <m/>
    <n v="1013580.04"/>
    <s v=""/>
    <s v="TED"/>
    <s v="ted"/>
    <s v="Sebrae RR | Jornada Estratégia"/>
    <s v="consulting-strategy-design-ed3a26_pagamento-12--fase-3"/>
    <s v="Oridete Aparecida Corrêa Ramalho"/>
    <m/>
    <s v="04.685.236/0001-60"/>
    <s v="SERVICO DE APOIO AS MICRO E PEQUENAS EMPRESAS DO ESTADO DE RORAIMA"/>
    <s v="detinha@rr.sebrae.com.br"/>
    <s v="9521218000"/>
    <s v="9521218000"/>
    <s v="69306705"/>
    <s v="MAJOR WILLIAMS"/>
    <s v="680"/>
    <m/>
    <s v="SAO PEDRO"/>
    <s v="Boa Vista"/>
    <s v="RR"/>
    <s v="Filial(São Paulo)"/>
    <s v="Sebrae RR | Jornada Estratégia"/>
    <m/>
    <m/>
    <m/>
    <s v="27299c86563bb1ffcf538eb539ebd8aa"/>
    <m/>
    <s v="Nao"/>
    <x v="2"/>
    <m/>
    <s v="31/12/2099"/>
    <m/>
    <m/>
    <m/>
    <s v="StartSe Consulting,StartSe Consulting,StartSe Consulting,StartSe Consulting,StartSe Consulting,StartSe Consulting,StartSe Consulting,StartSe Consulting,StartSe Consulting,StartSe Consulting,StartSe Consulting,StartSe Consulting,StartSe Consulting,StartSe Consulting"/>
    <s v="KAM"/>
    <s v="17/03/2026"/>
    <s v="ID-04685236000160"/>
    <s v="Aguardando recebimento"/>
    <m/>
    <x v="2"/>
  </r>
  <r>
    <s v="COM69B9B45758A31"/>
    <n v="244927"/>
    <s v="17/03/2026 17:06"/>
    <x v="2"/>
    <m/>
    <s v="18/03/2026"/>
    <s v="Aprovado"/>
    <n v="1"/>
    <n v="1"/>
    <n v="28000"/>
    <m/>
    <n v="65695"/>
    <s v=""/>
    <s v="TED"/>
    <s v="ted"/>
    <s v="Workshop AI na Innovation Month Honda - Morumbi/SP"/>
    <s v="corporate-workshop-ed19a26_pagamento01"/>
    <s v="Carolina Melo"/>
    <m/>
    <s v="02.906.820/0001-72"/>
    <s v="HONDA SERVICOS LTDA"/>
    <s v="carolina_melo@honda.com.br"/>
    <s v="11974931362"/>
    <s v="1155769959"/>
    <s v="04710090"/>
    <s v="DOUTOR JOSE AUREO BUSTAMANTE"/>
    <s v="377"/>
    <s v="BLOCO 1 ANDAR 2"/>
    <s v="SANTO AMARO"/>
    <s v="São Paulo"/>
    <s v="SP"/>
    <s v="Filial(São Paulo)"/>
    <s v="Workshop AI na Innovation Month Honda - Morumbi/SP"/>
    <m/>
    <m/>
    <m/>
    <s v="922636ee7ed1ab3891e9f9368d3563d2"/>
    <m/>
    <s v="Nao"/>
    <x v="4"/>
    <m/>
    <s v="31/12/2099"/>
    <m/>
    <m/>
    <m/>
    <m/>
    <s v="KAM"/>
    <s v="05/10/2017"/>
    <s v="ID-02906820000172"/>
    <s v="Aguardando recebimento"/>
    <m/>
    <x v="2"/>
  </r>
  <r>
    <s v="COM69B9B45758A31"/>
    <n v="244927"/>
    <s v="17/03/2026 17:06"/>
    <x v="2"/>
    <m/>
    <s v="18/03/2026"/>
    <s v="Aprovado"/>
    <n v="1"/>
    <n v="1"/>
    <n v="42000"/>
    <m/>
    <n v="65695"/>
    <s v=""/>
    <s v="TED"/>
    <s v="ted"/>
    <s v="Workshop AI na Innovation Month Honda - Morumbi/SP"/>
    <s v="corporate-workshop-ed19a26_pagamento02"/>
    <s v="Carolina Melo"/>
    <m/>
    <s v="02.906.820/0001-72"/>
    <s v="HONDA SERVICOS LTDA"/>
    <s v="carolina_melo@honda.com.br"/>
    <s v="11974931362"/>
    <s v="1155769959"/>
    <s v="04710090"/>
    <s v="DOUTOR JOSE AUREO BUSTAMANTE"/>
    <s v="377"/>
    <s v="BLOCO 1 ANDAR 2"/>
    <s v="SANTO AMARO"/>
    <s v="São Paulo"/>
    <s v="SP"/>
    <s v="Filial(São Paulo)"/>
    <s v="Workshop AI na Innovation Month Honda - Morumbi/SP"/>
    <m/>
    <m/>
    <m/>
    <s v="922636ee7ed1ab3891e9f9368d3563d2"/>
    <m/>
    <s v="Nao"/>
    <x v="4"/>
    <m/>
    <s v="31/12/2099"/>
    <m/>
    <m/>
    <m/>
    <m/>
    <s v="KAM"/>
    <s v="05/10/2017"/>
    <s v="ID-02906820000172"/>
    <s v="Aguardando recebimento"/>
    <m/>
    <x v="2"/>
  </r>
  <r>
    <s v="COM69B9B35D4919A"/>
    <n v="244926"/>
    <s v="17/03/2026 17:02"/>
    <x v="2"/>
    <m/>
    <s v="17/03/2026"/>
    <s v="Aprovado"/>
    <n v="1"/>
    <n v="1"/>
    <n v="0"/>
    <m/>
    <n v="0"/>
    <s v=""/>
    <s v="Cortesia"/>
    <s v="cortesia"/>
    <s v="AI for Leaders - 2026"/>
    <s v="ai-for-leaders-ed1a26"/>
    <s v="José Francisco Fernandes Ribeiro"/>
    <s v="51993511687"/>
    <m/>
    <m/>
    <s v="Francisco.ribeiro@lusobank.com.br"/>
    <s v="5511999451958"/>
    <m/>
    <s v="04578-910"/>
    <s v="Avenida das Nações Unidas 12901"/>
    <s v="12901"/>
    <m/>
    <s v="Brooklin Paulista"/>
    <s v="São Paulo"/>
    <s v="SP"/>
    <s v="Filial(São Paulo)"/>
    <s v="AI for Leaders - 2026"/>
    <m/>
    <m/>
    <m/>
    <s v="ba0c9d95401a6da8289f476f4a54c5f7"/>
    <m/>
    <s v="Nao"/>
    <x v="4"/>
    <m/>
    <s v="13/01/2026"/>
    <m/>
    <m/>
    <m/>
    <s v="Brasil"/>
    <s v="KAM"/>
    <m/>
    <s v="ID-51993511687"/>
    <m/>
    <m/>
    <x v="1"/>
  </r>
  <r>
    <s v="COM69B998A8C6956"/>
    <n v="244907"/>
    <s v="17/03/2026 15:08"/>
    <x v="2"/>
    <m/>
    <s v="17/03/2026"/>
    <s v="Aprovado"/>
    <n v="1"/>
    <n v="1"/>
    <n v="0"/>
    <m/>
    <n v="0"/>
    <s v=""/>
    <s v="Cortesia"/>
    <s v="cortesia"/>
    <s v="RH Leadership Xperience 2026 - Ingresso Explorer"/>
    <s v="evento-rh-ed1a26_explorer"/>
    <s v="Roberto Armelin"/>
    <s v="13005072843"/>
    <m/>
    <m/>
    <s v="Roberto.armelin@saopaulofc.net"/>
    <s v="5511999999952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dded83e8399c7c9b57680cd459418928"/>
    <m/>
    <s v="Nao"/>
    <x v="11"/>
    <m/>
    <s v="26/03/2026"/>
    <m/>
    <m/>
    <m/>
    <m/>
    <s v="KAM"/>
    <s v="11/07/2024"/>
    <s v="ID-13005072843"/>
    <m/>
    <m/>
    <x v="1"/>
  </r>
  <r>
    <s v="COM69B9938F754E3"/>
    <n v="244899"/>
    <s v="17/03/2026 14:46"/>
    <x v="2"/>
    <m/>
    <s v="17/03/2026"/>
    <s v="Aprovado"/>
    <n v="1"/>
    <n v="1"/>
    <n v="0"/>
    <m/>
    <n v="0"/>
    <s v=""/>
    <s v="Cortesia"/>
    <s v="cortesia"/>
    <s v="Executive Program - 23 a 25 de Março de 2026"/>
    <s v="executive-program-ed3a26"/>
    <s v="FABIO HASSAN GONCALVES CALDEIRA"/>
    <s v="07206373682"/>
    <m/>
    <m/>
    <s v="fabio.hassan@localiza.com"/>
    <s v="5531998523326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dd135eb6b4f4d8d18b72f0b281d4768e"/>
    <m/>
    <s v="Nao"/>
    <x v="4"/>
    <m/>
    <s v="23/03/2026"/>
    <m/>
    <m/>
    <m/>
    <m/>
    <s v="KAM"/>
    <m/>
    <s v="ID-07206373682"/>
    <m/>
    <m/>
    <x v="1"/>
  </r>
  <r>
    <s v="COM69B9535442C83"/>
    <n v="244876"/>
    <s v="17/03/2026 10:12"/>
    <x v="2"/>
    <m/>
    <s v="17/03/2026"/>
    <s v="Aprovado"/>
    <n v="1"/>
    <n v="1"/>
    <n v="4200"/>
    <s v="Boleto Bradesco"/>
    <n v="3941.7"/>
    <s v=""/>
    <s v="Boleto"/>
    <s v="boleto"/>
    <s v="RH Leadership Xperience 2026 - Ingresso Platinum"/>
    <s v="evento-rh-ed1a26_platinum"/>
    <s v="Daniel Matone"/>
    <s v="95570373004"/>
    <s v="43.470.988/0001-65"/>
    <s v="EVEN CONSTRUTORA E INCORPORADORA S/A"/>
    <s v="dmatone@even.com.br"/>
    <s v="51999819612"/>
    <s v="51999819612"/>
    <s v="01455000"/>
    <s v="HUNGRIA"/>
    <s v="1400"/>
    <s v="ANDAR 2  CONJ  22  ANDAR 3"/>
    <s v="JARDIM EUROPA"/>
    <s v="São Paulo"/>
    <s v="SP"/>
    <s v="Filial(São Paulo)"/>
    <s v="RH Leadership Xperience 2026 - Ingresso Platinum"/>
    <m/>
    <m/>
    <m/>
    <s v="a896c516ba9f641af09c18f2728045d2"/>
    <m/>
    <s v="Nao"/>
    <x v="0"/>
    <m/>
    <s v="26/03/2026"/>
    <m/>
    <m/>
    <m/>
    <m/>
    <s v="KAM"/>
    <s v="09/02/2018"/>
    <s v="ID-43470988000165"/>
    <s v="Pago"/>
    <m/>
    <x v="0"/>
  </r>
  <r>
    <s v="COM69B94D223EAD3"/>
    <n v="244872"/>
    <s v="17/03/2026 09:46"/>
    <x v="2"/>
    <m/>
    <s v="17/03/2026"/>
    <s v="Aprovado"/>
    <n v="3"/>
    <n v="1"/>
    <n v="3597"/>
    <s v="Boleto Bradesco"/>
    <n v="3375.78"/>
    <s v=""/>
    <s v="Boleto"/>
    <s v="boleto"/>
    <s v="RH Leadership Xperience 2026 - Ingresso Explorer"/>
    <s v="evento-rh-ed1a26_explorer"/>
    <s v="Arley Neto"/>
    <m/>
    <s v="17.197.385/0078-00"/>
    <s v="ZURICH MINAS BRASIL SEGUROS S.A."/>
    <s v="arley.neto@br.zurich.com"/>
    <s v="11952404020"/>
    <s v="1123138682"/>
    <s v="04576010"/>
    <s v="JORNALISTA ROBERTO MARINHO"/>
    <s v="85"/>
    <s v="ANDAR 21 AO 23"/>
    <s v="CIDADE MONCOES"/>
    <s v="São Paulo"/>
    <s v="SP"/>
    <s v="Filial(São Paulo)"/>
    <s v="RH Leadership Xperience 2026 - Ingresso Explorer"/>
    <m/>
    <m/>
    <m/>
    <s v="5336253a36115a27a3cb15dfe79b2234"/>
    <m/>
    <s v="Nao"/>
    <x v="4"/>
    <m/>
    <s v="26/03/2026"/>
    <m/>
    <m/>
    <m/>
    <m/>
    <s v="KAM"/>
    <s v="23/02/2024"/>
    <s v="ID-17197385007800"/>
    <s v="Pago"/>
    <m/>
    <x v="0"/>
  </r>
  <r>
    <s v="COM69B869D3034FB"/>
    <n v="244858"/>
    <s v="16/03/2026 17:36"/>
    <x v="2"/>
    <m/>
    <s v="17/03/2026"/>
    <s v="Aprovado"/>
    <n v="20"/>
    <n v="1"/>
    <n v="350000"/>
    <m/>
    <n v="427017.5"/>
    <s v=""/>
    <s v="TED"/>
    <s v="ted"/>
    <s v="Sebrae SP | Vagas Executive Program | 30 vagas"/>
    <s v="corporate-melhor-escolha-ed7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Sebrae SP | Vagas Executive Program | 30 vagas_x000a_Forma de pagamento: 30 dias após emissão da NF via transferência bancária_x000a_Nome do participante precisa estar na NF"/>
    <m/>
    <m/>
    <m/>
    <s v="c37b07cd5f18f30ab46a9319fd85426e"/>
    <m/>
    <s v="Nao"/>
    <x v="2"/>
    <m/>
    <s v="31/12/2099"/>
    <m/>
    <m/>
    <m/>
    <m/>
    <s v="KAM"/>
    <s v="04/02/2019"/>
    <s v="ID-43728245000142"/>
    <s v="Aguardando recebimento"/>
    <m/>
    <x v="2"/>
  </r>
  <r>
    <s v="COM69B869D3034FB"/>
    <n v="244858"/>
    <s v="16/03/2026 17:36"/>
    <x v="2"/>
    <m/>
    <s v="17/03/2026"/>
    <s v="Aprovado"/>
    <n v="5"/>
    <n v="1"/>
    <n v="87500"/>
    <m/>
    <n v="427017.5"/>
    <s v=""/>
    <s v="TED"/>
    <s v="ted"/>
    <s v="Executive Program - 25 a 27 de Maio de 2026"/>
    <s v="executive-program-ed5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Sebrae SP | Vagas Executive Program | 30 vagas_x000a_Forma de pagamento: 30 dias após emissão da NF via transferência bancária_x000a_Nome do participante precisa estar na NF"/>
    <m/>
    <m/>
    <m/>
    <s v="c37b07cd5f18f30ab46a9319fd85426e"/>
    <m/>
    <s v="Nao"/>
    <x v="2"/>
    <m/>
    <s v="25/05/2026"/>
    <m/>
    <m/>
    <m/>
    <m/>
    <s v="KAM"/>
    <s v="04/02/2019"/>
    <s v="ID-43728245000142"/>
    <s v="Aguardando recebimento"/>
    <m/>
    <x v="2"/>
  </r>
  <r>
    <s v="COM69B869D3034FB"/>
    <n v="244858"/>
    <s v="16/03/2026 17:36"/>
    <x v="2"/>
    <m/>
    <s v="17/03/2026"/>
    <s v="Aprovado"/>
    <n v="1"/>
    <n v="1"/>
    <n v="17500"/>
    <m/>
    <n v="427017.5"/>
    <s v=""/>
    <s v="TED"/>
    <s v="ted"/>
    <s v="Executive Program - 24 a 26 de Agosto de 2026"/>
    <s v="executive-program-ed8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Sebrae SP | Vagas Executive Program | 30 vagas_x000a_Forma de pagamento: 30 dias após emissão da NF via transferência bancária_x000a_Nome do participante precisa estar na NF"/>
    <m/>
    <m/>
    <m/>
    <s v="c37b07cd5f18f30ab46a9319fd85426e"/>
    <m/>
    <s v="Nao"/>
    <x v="2"/>
    <m/>
    <s v="24/08/2026"/>
    <m/>
    <m/>
    <m/>
    <m/>
    <s v="KAM"/>
    <s v="04/02/2019"/>
    <s v="ID-43728245000142"/>
    <s v="Aguardando recebimento"/>
    <m/>
    <x v="2"/>
  </r>
  <r>
    <s v="COM69B8539B21A3B"/>
    <n v="244852"/>
    <s v="16/03/2026 16:01"/>
    <x v="2"/>
    <m/>
    <s v="16/03/2026"/>
    <s v="Aprovado"/>
    <n v="1"/>
    <n v="1"/>
    <n v="0"/>
    <m/>
    <n v="0"/>
    <s v=""/>
    <s v="Cortesia"/>
    <s v="cortesia"/>
    <s v="Executive Program - 23 a 25 de Março de 2026"/>
    <s v="executive-program-ed3a26"/>
    <s v="Oscar Lars Rune Jaern"/>
    <s v="23266301811"/>
    <m/>
    <m/>
    <s v="oscar.jaern@scania.com"/>
    <s v="5511998345891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651ae903d1526a15f1f644ff187e9778"/>
    <m/>
    <s v="Nao"/>
    <x v="6"/>
    <m/>
    <s v="23/03/2026"/>
    <m/>
    <m/>
    <m/>
    <m/>
    <s v="KAM"/>
    <m/>
    <s v="ID-23266301811"/>
    <m/>
    <m/>
    <x v="1"/>
  </r>
  <r>
    <s v="COM69B848570E76F"/>
    <n v="244842"/>
    <s v="16/03/2026 15:13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Sandra Camargo Vicari"/>
    <s v="07071285870"/>
    <m/>
    <m/>
    <s v="sandra.vicari@assai.com.br"/>
    <s v="551191224016"/>
    <m/>
    <s v="04578-910"/>
    <s v="Avenida das Nações Unidas"/>
    <s v="12901"/>
    <m/>
    <s v="Brooklin Paulista"/>
    <s v="São Paulo"/>
    <s v="SP"/>
    <s v="Filial(São Paulo)"/>
    <s v="RH Leadership Xperience 2026 - Ingresso Platinum"/>
    <m/>
    <m/>
    <m/>
    <s v="fc818b5916d326682336c36030cabe53"/>
    <m/>
    <s v="Nao"/>
    <x v="0"/>
    <m/>
    <s v="26/03/2026"/>
    <m/>
    <m/>
    <m/>
    <m/>
    <s v="KAM"/>
    <m/>
    <s v="ID-07071285870"/>
    <m/>
    <m/>
    <x v="1"/>
  </r>
  <r>
    <s v="COM69B844A51F09B"/>
    <n v="244837"/>
    <s v="16/03/2026 14:5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uliana Latre"/>
    <s v="34556846889"/>
    <m/>
    <m/>
    <s v="juliana.latre@reckitt.com"/>
    <s v="5511963000113"/>
    <m/>
    <s v="04578-910"/>
    <s v="Avenida das Nações Unidas"/>
    <s v="12901"/>
    <m/>
    <s v="Brooklin Paulista"/>
    <s v="São Paulo"/>
    <s v="SP"/>
    <s v="Filial(São Paulo)"/>
    <s v="RH Leadership Xperience 2026 - Ingresso Platinum"/>
    <m/>
    <m/>
    <m/>
    <s v="d23be7cba2a96a7a2f69a5c7520289e3"/>
    <m/>
    <s v="Nao"/>
    <x v="8"/>
    <m/>
    <s v="26/03/2026"/>
    <m/>
    <m/>
    <m/>
    <m/>
    <s v="KAM"/>
    <m/>
    <s v="ID-34556846889"/>
    <m/>
    <m/>
    <x v="1"/>
  </r>
  <r>
    <s v="COM69B834320E1E8"/>
    <n v="244828"/>
    <s v="16/03/2026 13:47"/>
    <x v="2"/>
    <m/>
    <s v="16/03/2026"/>
    <s v="Aprovado"/>
    <n v="1"/>
    <n v="1"/>
    <n v="0"/>
    <m/>
    <n v="0"/>
    <s v=""/>
    <s v="Cortesia"/>
    <s v="cortesia"/>
    <s v="Executive Program - 23 a 25 de Março de 2026"/>
    <s v="executive-program-ed3a26"/>
    <s v="Beatriz Claudino Souza"/>
    <s v="39785148858"/>
    <m/>
    <m/>
    <s v="Beatrizs@suzano.com.br"/>
    <s v="5511996186620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579b2f32a8196adbb871112546ec0f7b"/>
    <m/>
    <s v="Nao"/>
    <x v="6"/>
    <m/>
    <s v="23/03/2026"/>
    <m/>
    <m/>
    <m/>
    <m/>
    <s v="KAM"/>
    <m/>
    <s v="ID-39785148858"/>
    <m/>
    <m/>
    <x v="1"/>
  </r>
  <r>
    <s v="COM69B818778BC23"/>
    <n v="244818"/>
    <s v="16/03/2026 11:49"/>
    <x v="2"/>
    <m/>
    <s v="17/03/2026"/>
    <s v="Aprovado"/>
    <n v="1"/>
    <n v="1"/>
    <n v="17500"/>
    <m/>
    <n v="16423.75"/>
    <s v=""/>
    <s v="TED"/>
    <s v="ted"/>
    <s v="Executive Program - 23 a 25 de Março de 2026"/>
    <s v="executive-program-ed3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Executive Program - 23 a 25 de Março de 2026 Alexandre Nunes Robazza"/>
    <m/>
    <m/>
    <m/>
    <s v="f54d91a6ad2e8f704dc1f1a1d51c0cce"/>
    <m/>
    <s v="Nao"/>
    <x v="2"/>
    <m/>
    <s v="23/03/2026"/>
    <m/>
    <m/>
    <m/>
    <m/>
    <s v="KAM"/>
    <s v="04/02/2019"/>
    <s v="ID-43728245000142"/>
    <s v="Aguardando recebimento"/>
    <m/>
    <x v="3"/>
  </r>
  <r>
    <s v="COM69B81448E07D9"/>
    <n v="244817"/>
    <s v="16/03/2026 11:31"/>
    <x v="2"/>
    <m/>
    <s v="17/03/2026"/>
    <s v="Aprovado"/>
    <n v="1"/>
    <n v="1"/>
    <n v="17500"/>
    <m/>
    <n v="16423.75"/>
    <s v=""/>
    <s v="TED"/>
    <s v="ted"/>
    <s v="Executive Program - 23 a 25 de Março de 2026"/>
    <s v="executive-program-ed3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Executive Program - 23 a 25 de Março de 2026 Glauco Silva de Carvalho"/>
    <m/>
    <m/>
    <m/>
    <s v="e7046e86dd40c2f337b2b96e86e94dbf"/>
    <m/>
    <s v="Nao"/>
    <x v="2"/>
    <m/>
    <s v="23/03/2026"/>
    <m/>
    <m/>
    <m/>
    <m/>
    <s v="KAM"/>
    <s v="04/02/2019"/>
    <s v="ID-43728245000142"/>
    <s v="Aguardando recebimento"/>
    <m/>
    <x v="3"/>
  </r>
  <r>
    <s v="COM69B813B2191C9"/>
    <n v="244815"/>
    <s v="16/03/2026 11:29"/>
    <x v="2"/>
    <m/>
    <s v="17/03/2026"/>
    <s v="Aprovado"/>
    <n v="1"/>
    <n v="1"/>
    <n v="17500"/>
    <m/>
    <n v="16423.75"/>
    <s v=""/>
    <s v="TED"/>
    <s v="ted"/>
    <s v="Executive Program - 23 a 25 de Março de 2026"/>
    <s v="executive-program-ed3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Executive Program - 23 a 25 de Março de 2026 Marcelo Cardinale Palumbo"/>
    <m/>
    <m/>
    <m/>
    <s v="fc71f32e3310c681baf606ba35fcd42c"/>
    <m/>
    <s v="Nao"/>
    <x v="2"/>
    <m/>
    <s v="23/03/2026"/>
    <m/>
    <m/>
    <m/>
    <m/>
    <s v="KAM"/>
    <s v="04/02/2019"/>
    <s v="ID-43728245000142"/>
    <s v="Aguardando recebimento"/>
    <m/>
    <x v="3"/>
  </r>
  <r>
    <s v="COM69B81334AECA2"/>
    <n v="244814"/>
    <s v="16/03/2026 11:27"/>
    <x v="2"/>
    <m/>
    <s v="17/03/2026"/>
    <s v="Aprovado"/>
    <n v="1"/>
    <n v="1"/>
    <n v="17500"/>
    <m/>
    <n v="16423.75"/>
    <s v=""/>
    <s v="TED"/>
    <s v="ted"/>
    <s v="Executive Program - 23 a 25 de Março de 2026"/>
    <s v="executive-program-ed3a26"/>
    <s v="Jackeline Dantas Martins"/>
    <m/>
    <s v="43.728.245/0001-42"/>
    <s v="SERVICO DE APOIO AS MICRO E PEQUENAS EMPRESAS DO ESTADO DE SAO PAULO"/>
    <s v="jackelinedb@sebraesp.com.br"/>
    <s v="1131774628"/>
    <s v="1131774628"/>
    <s v="01504001"/>
    <s v="VERGUEIRO"/>
    <s v="1117"/>
    <m/>
    <s v="PARAISO"/>
    <s v="São Paulo"/>
    <s v="SP"/>
    <s v="Filial(São Paulo)"/>
    <s v="Executive Program - 23 a 25 de Março de 2026 Daniela Matheus Batista Sato"/>
    <m/>
    <m/>
    <m/>
    <s v="79ee99e991bfd9cf2455cc278ef414ae"/>
    <m/>
    <s v="Nao"/>
    <x v="2"/>
    <m/>
    <s v="23/03/2026"/>
    <m/>
    <m/>
    <m/>
    <m/>
    <s v="KAM"/>
    <s v="04/02/2019"/>
    <s v="ID-43728245000142"/>
    <s v="Aguardando recebimento"/>
    <m/>
    <x v="3"/>
  </r>
  <r>
    <s v="COM69B4854001A57"/>
    <n v="244763"/>
    <s v="13/03/2026 18:44"/>
    <x v="2"/>
    <m/>
    <s v="13/03/2026"/>
    <s v="Aprovado"/>
    <n v="4"/>
    <n v="1"/>
    <n v="0"/>
    <m/>
    <n v="0"/>
    <s v=""/>
    <s v="Cortesia"/>
    <s v="cortesia"/>
    <s v="RH Leadership Xperience 2026 - Ingresso Explorer"/>
    <s v="evento-rh-ed1a26_explorer"/>
    <s v="Bruno Paulo Martins da Silva"/>
    <s v="39391356826"/>
    <m/>
    <m/>
    <s v="bruno.martins@farmarcas.com.br"/>
    <s v="5511950216200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154ebeee1ba7dde56480a559216ae6bb"/>
    <m/>
    <s v="Nao"/>
    <x v="0"/>
    <m/>
    <s v="26/03/2026"/>
    <m/>
    <m/>
    <m/>
    <m/>
    <s v="KAM"/>
    <m/>
    <s v="ID-39391356826"/>
    <m/>
    <m/>
    <x v="1"/>
  </r>
  <r>
    <s v="COM69B4837287626"/>
    <n v="244762"/>
    <s v="13/03/2026 18:36"/>
    <x v="2"/>
    <m/>
    <s v="13/03/2026"/>
    <s v="Aprovado"/>
    <n v="3"/>
    <n v="1"/>
    <n v="0"/>
    <m/>
    <n v="0"/>
    <s v=""/>
    <s v="Cortesia"/>
    <s v="cortesia"/>
    <s v="RH Leadership Xperience 2026 - Ingresso Explorer"/>
    <s v="evento-rh-ed1a26_explorer"/>
    <s v="Marlinda Araújo da Silva"/>
    <s v="34432655291"/>
    <m/>
    <m/>
    <s v="marlinda.silva@rr.sebrae.com.br"/>
    <s v="5547999362550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db4dfd7526472ece8230a14d4f008e71"/>
    <m/>
    <s v="Nao"/>
    <x v="2"/>
    <m/>
    <s v="26/03/2026"/>
    <m/>
    <m/>
    <m/>
    <m/>
    <s v="KAM"/>
    <s v="27/03/2026"/>
    <s v="ID-34432655291"/>
    <m/>
    <m/>
    <x v="1"/>
  </r>
  <r>
    <s v="COM69B482049A156"/>
    <n v="244760"/>
    <s v="13/03/2026 18:30"/>
    <x v="2"/>
    <m/>
    <s v="13/03/2026"/>
    <s v="Aprovado"/>
    <n v="1"/>
    <n v="1"/>
    <n v="0"/>
    <m/>
    <n v="0"/>
    <s v=""/>
    <s v="Cortesia"/>
    <s v="cortesia"/>
    <s v="AI Strategy - 23 de abril de 2026"/>
    <s v="imersao-presencial-strategy-ai-ed1a26"/>
    <s v="Demetrio Teodorov"/>
    <s v="16345068802"/>
    <m/>
    <m/>
    <s v="Demetrio.teodorov@rodobens.com.br"/>
    <s v="5511981422477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cf52427f41d2e1631781d7e88442d4c6"/>
    <m/>
    <s v="Nao"/>
    <x v="0"/>
    <m/>
    <s v="23/04/2026"/>
    <m/>
    <m/>
    <m/>
    <s v="Brasil"/>
    <s v="KAM"/>
    <m/>
    <s v="ID-16345068802"/>
    <m/>
    <m/>
    <x v="1"/>
  </r>
  <r>
    <s v="COM69B4809B16455"/>
    <n v="244759"/>
    <s v="13/03/2026 18:24"/>
    <x v="2"/>
    <m/>
    <s v="13/03/2026"/>
    <s v="Aprovado"/>
    <n v="1"/>
    <n v="1"/>
    <n v="0"/>
    <m/>
    <n v="0"/>
    <s v=""/>
    <s v="Cortesia"/>
    <s v="cortesia"/>
    <s v="Data for Leaders - 2026"/>
    <s v="data-for-leaders-ed1a26"/>
    <s v="Cristiano Alberto de Souza Pereira"/>
    <s v="07307716798"/>
    <m/>
    <m/>
    <s v="cristiano.pereira@allticonsultoria.com.br"/>
    <s v="5511999999929"/>
    <m/>
    <s v="04578-910"/>
    <s v="Avenida das Nações Unidas"/>
    <s v="12901"/>
    <m/>
    <s v="Brooklin Paulista"/>
    <s v="São Paulo"/>
    <s v="SP"/>
    <s v="Filial(São Paulo)"/>
    <s v="Data for Leaders - 2026"/>
    <m/>
    <m/>
    <m/>
    <s v="6cbd060557a0fd666dd770923d8170d9"/>
    <m/>
    <s v="Nao"/>
    <x v="0"/>
    <m/>
    <s v="13/01/2026"/>
    <m/>
    <m/>
    <m/>
    <s v="Brasil"/>
    <s v="KAM"/>
    <m/>
    <s v="ID-07307716798"/>
    <m/>
    <m/>
    <x v="1"/>
  </r>
  <r>
    <s v="COM69B47F8A134D7"/>
    <n v="244758"/>
    <s v="13/03/2026 18:20"/>
    <x v="2"/>
    <m/>
    <s v="13/03/2026"/>
    <s v="Aprovado"/>
    <n v="1"/>
    <n v="1"/>
    <n v="0"/>
    <m/>
    <n v="0"/>
    <s v=""/>
    <s v="Cortesia"/>
    <s v="cortesia"/>
    <s v="Imersão Multiagentes - Presencial - 12 de Junho de 2026"/>
    <s v="imersao-multiagentes-ed6a26"/>
    <s v="Cristiano Alberto de Souza Pereira"/>
    <s v="07307716798"/>
    <m/>
    <m/>
    <s v="cristiano.pereira@allticonsultoria.com.br"/>
    <s v="5511999999985"/>
    <m/>
    <s v="04578-910"/>
    <s v="Avenida das Nações Unidas"/>
    <s v="12901"/>
    <m/>
    <s v="Brooklin Paulista"/>
    <s v="São Paulo"/>
    <s v="SP"/>
    <s v="Filial(São Paulo)"/>
    <s v="Imersão Multiagentes - Presencial - 12 de Junho de 2026"/>
    <m/>
    <m/>
    <m/>
    <s v="767ba1f409d7a7e4ad7e6aa6d2a400be"/>
    <m/>
    <s v="Nao"/>
    <x v="2"/>
    <m/>
    <s v="12/06/2026"/>
    <m/>
    <m/>
    <m/>
    <m/>
    <s v="KAM"/>
    <m/>
    <s v="ID-07307716798"/>
    <m/>
    <m/>
    <x v="1"/>
  </r>
  <r>
    <s v="COM69B47E862DFCF"/>
    <n v="244755"/>
    <s v="13/03/2026 18:15"/>
    <x v="2"/>
    <m/>
    <m/>
    <s v="Aprovado"/>
    <n v="1"/>
    <n v="1"/>
    <n v="0"/>
    <m/>
    <n v="0"/>
    <s v=""/>
    <s v="Cortesia"/>
    <s v="cortesia"/>
    <s v="AI para Negócios - Imersão Presencial -  28 e 29 de Maio de 2026"/>
    <s v="imersao-presencial-de-ai-ed9a26"/>
    <s v="Cristiano Alberto de Souza Pereira"/>
    <s v="07307716798"/>
    <m/>
    <m/>
    <s v="cristiano.pereira@allticonsultoria.com.br"/>
    <s v="5511999999953"/>
    <m/>
    <s v="04578-910"/>
    <s v="Avenida das Nações Unidas"/>
    <s v="12901"/>
    <m/>
    <s v="Brooklin Paulista"/>
    <s v="São Paulo"/>
    <s v="SP"/>
    <s v="Filial(São Paulo)"/>
    <s v="AI para Negócios - Imersão Presencial - 11 e 12 de Maio de 2026"/>
    <m/>
    <m/>
    <m/>
    <s v="0836c7d3d07bd43aad5b63c43c3385e5"/>
    <m/>
    <s v="Nao"/>
    <x v="2"/>
    <m/>
    <s v="28/05/2026"/>
    <m/>
    <m/>
    <m/>
    <m/>
    <s v="KAM"/>
    <m/>
    <s v="ID-07307716798"/>
    <m/>
    <m/>
    <x v="1"/>
  </r>
  <r>
    <s v="COM69B478B7CE96F"/>
    <n v="244754"/>
    <s v="13/03/2026 17:51"/>
    <x v="2"/>
    <m/>
    <s v="13/03/2026"/>
    <s v="Aprovado"/>
    <n v="3"/>
    <n v="1"/>
    <n v="0"/>
    <m/>
    <n v="0"/>
    <s v=""/>
    <s v="Cortesia"/>
    <s v="cortesia"/>
    <s v="RH Leadership Xperience 2026 - Ingresso Explorer"/>
    <s v="evento-rh-ed1a26_explorer"/>
    <s v="Ana Caroline Lima Assis"/>
    <s v="44248442850"/>
    <m/>
    <m/>
    <s v="ana.assis@ifood.com.br"/>
    <s v="5511949415605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10132f57a263c6750c7fdee4121d004b"/>
    <m/>
    <s v="Nao"/>
    <x v="8"/>
    <m/>
    <s v="26/03/2026"/>
    <m/>
    <m/>
    <m/>
    <m/>
    <s v="KAM"/>
    <m/>
    <s v="ID-44248442850"/>
    <m/>
    <m/>
    <x v="1"/>
  </r>
  <r>
    <s v="ORDVZNXD6SZWHA60"/>
    <n v="244743"/>
    <s v="13/03/2026 16:55"/>
    <x v="2"/>
    <m/>
    <s v="13/03/2026"/>
    <s v="Aprovado"/>
    <n v="1"/>
    <n v="0"/>
    <n v="0"/>
    <m/>
    <n v="0"/>
    <m/>
    <s v="Cortesia"/>
    <s v="cortesia"/>
    <s v="AI for Leaders - 2ª edição - 2025"/>
    <s v="ai-for-leaders-ed2a25"/>
    <s v="Mariana Toricelli Marischka"/>
    <s v="39305687806"/>
    <m/>
    <m/>
    <s v="mmarischka@careplus.com.br"/>
    <s v="11964112541"/>
    <m/>
    <s v="04578910"/>
    <s v="Avenida das Nações Unidas 12901"/>
    <s v="12901"/>
    <m/>
    <s v="Brooklin Paulista"/>
    <s v="São Paulo"/>
    <s v="SP"/>
    <s v="Filial(São Paulo)"/>
    <m/>
    <m/>
    <m/>
    <m/>
    <s v="bcea910f629fabfd3f64e152513e6cf8"/>
    <s v="OFFCAREPLUS100"/>
    <s v="Nao"/>
    <x v="0"/>
    <m/>
    <s v="15/05/2025"/>
    <m/>
    <m/>
    <m/>
    <s v="Brasil"/>
    <s v="KAM"/>
    <m/>
    <s v="ID-39305687806"/>
    <m/>
    <m/>
    <x v="1"/>
  </r>
  <r>
    <s v="COM69B4695A73B4A"/>
    <n v="244741"/>
    <s v="13/03/2026 16:45"/>
    <x v="2"/>
    <m/>
    <s v="13/03/2026"/>
    <s v="Aprovado"/>
    <n v="1"/>
    <n v="1"/>
    <n v="0"/>
    <m/>
    <n v="0"/>
    <s v=""/>
    <s v="Cortesia"/>
    <s v="cortesia"/>
    <s v="AI Strategy - 23 de abril de 2026"/>
    <s v="imersao-presencial-strategy-ai-ed1a26"/>
    <s v="Rodrigo Nardoni"/>
    <s v="17945173837"/>
    <m/>
    <m/>
    <s v="Rodrigo.nardoni@b3.com.br"/>
    <s v="5511973032810"/>
    <m/>
    <s v="04578-910"/>
    <s v="Avenida das Nações Unidas"/>
    <s v="12901"/>
    <m/>
    <s v="Brooklin Paulista"/>
    <s v="São Paulo"/>
    <s v="SP"/>
    <s v="Filial(São Paulo)"/>
    <s v="AI Strategy - 23 de abril de 2026"/>
    <m/>
    <m/>
    <m/>
    <s v="6f436e626efa593253b62583933dc4f4"/>
    <m/>
    <s v="Nao"/>
    <x v="0"/>
    <m/>
    <s v="23/04/2026"/>
    <m/>
    <m/>
    <m/>
    <s v="Brasil"/>
    <s v="KAM"/>
    <m/>
    <s v="ID-17945173837"/>
    <m/>
    <m/>
    <x v="1"/>
  </r>
  <r>
    <s v="COM69B429F987727"/>
    <n v="244698"/>
    <s v="13/03/2026 12:15"/>
    <x v="2"/>
    <m/>
    <s v="13/03/2026"/>
    <s v="Aprovado"/>
    <n v="1"/>
    <n v="1"/>
    <n v="0"/>
    <m/>
    <n v="0"/>
    <s v=""/>
    <s v="Cortesia"/>
    <s v="cortesia"/>
    <s v="RH Leadership Xperience 2026 - Ingresso Explorer"/>
    <s v="evento-rh-ed1a26_explorer"/>
    <s v="Flavia Leão"/>
    <s v="00550964924"/>
    <m/>
    <m/>
    <s v="flavia.leao@russellreynolds.com"/>
    <s v="5511999999963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e0fd78460164a660e2ec355732d99b24"/>
    <m/>
    <s v="Nao"/>
    <x v="11"/>
    <m/>
    <s v="26/03/2026"/>
    <m/>
    <m/>
    <m/>
    <m/>
    <s v="KAM"/>
    <m/>
    <s v="ID-00550964924"/>
    <m/>
    <m/>
    <x v="1"/>
  </r>
  <r>
    <s v="COM69B42981ABDC6"/>
    <n v="244697"/>
    <s v="13/03/2026 12:13"/>
    <x v="2"/>
    <m/>
    <s v="13/03/2026"/>
    <s v="Aprovado"/>
    <n v="1"/>
    <n v="1"/>
    <n v="0"/>
    <m/>
    <n v="0"/>
    <s v=""/>
    <s v="Cortesia"/>
    <s v="cortesia"/>
    <s v="RH Leadership Xperience 2026 - Ingresso Explorer"/>
    <s v="evento-rh-ed1a26_explorer"/>
    <s v="Mariana Abbud"/>
    <s v="28117129841"/>
    <m/>
    <m/>
    <s v="mariana.abbud@russellreynolds.com"/>
    <s v="5511999999965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3e377f207c5aeca5f984e176e3b7465f"/>
    <m/>
    <s v="Nao"/>
    <x v="11"/>
    <m/>
    <s v="26/03/2026"/>
    <m/>
    <m/>
    <m/>
    <m/>
    <s v="KAM"/>
    <s v="09/06/2017"/>
    <s v="ID-28117129841"/>
    <m/>
    <m/>
    <x v="1"/>
  </r>
  <r>
    <s v="COM69B421794C29E"/>
    <n v="244680"/>
    <s v="13/03/2026 11:38"/>
    <x v="2"/>
    <m/>
    <s v="13/03/2026"/>
    <s v="Aprovado"/>
    <n v="1"/>
    <n v="1"/>
    <n v="0"/>
    <m/>
    <n v="0"/>
    <s v=""/>
    <s v="Cortesia"/>
    <s v="cortesia"/>
    <s v="RH Leadership Xperience 2026 - Ingresso Explorer"/>
    <s v="evento-rh-ed1a26_explorer"/>
    <s v="ADRIANA APARECIDA DE OLIVEIRA"/>
    <s v="02489637673"/>
    <m/>
    <m/>
    <s v="adriana.aoliveira@grupofleury.com.br"/>
    <s v="5511999999962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d28f2c5b02305e262c1e17e3ab87df67"/>
    <m/>
    <s v="Nao"/>
    <x v="8"/>
    <m/>
    <s v="26/03/2026"/>
    <m/>
    <m/>
    <m/>
    <m/>
    <s v="KAM"/>
    <m/>
    <s v="ID-02489637673"/>
    <m/>
    <m/>
    <x v="1"/>
  </r>
  <r>
    <s v="COM69B41E9CED663"/>
    <n v="244674"/>
    <s v="13/03/2026 11:26"/>
    <x v="2"/>
    <m/>
    <s v="13/03/2026"/>
    <s v="Aprovado"/>
    <n v="1"/>
    <n v="1"/>
    <n v="0"/>
    <m/>
    <n v="0"/>
    <s v=""/>
    <s v="Cortesia"/>
    <s v="cortesia"/>
    <s v="RH Leadership Xperience 2026 - Ingresso Explorer"/>
    <s v="evento-rh-ed1a26_explorer"/>
    <s v="Andrezza Luiza Ramalho Silva"/>
    <s v="06062227403"/>
    <m/>
    <m/>
    <s v="andrezza.ramalho@mv.com.br"/>
    <s v="5581993707700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9b2d7fb4b140887f6df60753d2f1a49f"/>
    <m/>
    <s v="Nao"/>
    <x v="3"/>
    <m/>
    <s v="26/03/2026"/>
    <m/>
    <m/>
    <m/>
    <m/>
    <s v="KAM"/>
    <m/>
    <s v="ID-06062227403"/>
    <m/>
    <m/>
    <x v="1"/>
  </r>
  <r>
    <s v="COM69B41E282FEB6"/>
    <n v="244673"/>
    <s v="13/03/2026 11:24"/>
    <x v="2"/>
    <m/>
    <s v="13/03/2026"/>
    <s v="Aprovado"/>
    <n v="1"/>
    <n v="1"/>
    <n v="0"/>
    <m/>
    <n v="0"/>
    <s v=""/>
    <s v="Cortesia"/>
    <s v="cortesia"/>
    <s v="RH Leadership Xperience 2026 - Ingresso Explorer"/>
    <s v="evento-rh-ed1a26_explorer"/>
    <s v="Esther Mashki"/>
    <s v="34534054807"/>
    <m/>
    <m/>
    <s v="esther.mashki@mv.com.br"/>
    <s v="5511967423594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ca751822da76f7d66794ba12b3619354"/>
    <m/>
    <s v="Nao"/>
    <x v="3"/>
    <m/>
    <s v="26/03/2026"/>
    <m/>
    <m/>
    <m/>
    <m/>
    <s v="KAM"/>
    <m/>
    <s v="ID-34534054807"/>
    <m/>
    <m/>
    <x v="1"/>
  </r>
  <r>
    <s v="COM69B419E0A6710"/>
    <n v="244670"/>
    <s v="13/03/2026 11:06"/>
    <x v="2"/>
    <m/>
    <s v="13/03/2026"/>
    <s v="Aprovado"/>
    <n v="3"/>
    <n v="1"/>
    <n v="0"/>
    <m/>
    <n v="0"/>
    <s v=""/>
    <s v="Cortesia"/>
    <s v="cortesia"/>
    <s v="RH Leadership Xperience 2026 - Ingresso Explorer"/>
    <s v="evento-rh-ed1a26_explorer"/>
    <s v="ADEMIR RODRIGUES DE ARAUJO JR"/>
    <s v="34527740822"/>
    <m/>
    <m/>
    <s v="ademir.rodrigues@catupiry.com.br"/>
    <s v="5511983971006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f1c8104062893bf55dd298ec59a8d2db"/>
    <m/>
    <s v="Nao"/>
    <x v="4"/>
    <m/>
    <s v="26/03/2026"/>
    <m/>
    <m/>
    <m/>
    <m/>
    <s v="KAM"/>
    <m/>
    <s v="ID-34527740822"/>
    <m/>
    <m/>
    <x v="1"/>
  </r>
  <r>
    <s v="COM69B417B1D2708"/>
    <n v="244668"/>
    <s v="13/03/2026 10:57"/>
    <x v="2"/>
    <m/>
    <s v="13/03/2026"/>
    <s v="Aprovado"/>
    <n v="3"/>
    <n v="1"/>
    <n v="0"/>
    <m/>
    <n v="0"/>
    <s v=""/>
    <s v="Cortesia"/>
    <s v="cortesia"/>
    <s v="RH Leadership Xperience 2026 - Ingresso Explorer"/>
    <s v="evento-rh-ed1a26_explorer"/>
    <s v="Vitor Luiz Magalhaes Silva"/>
    <s v="34344356896"/>
    <m/>
    <m/>
    <s v="Vitor_Magalhaes@honda.com.br"/>
    <s v="5511999999945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b0178c17e906b05d3a35d6ce85599680"/>
    <m/>
    <s v="Nao"/>
    <x v="4"/>
    <m/>
    <s v="26/03/2026"/>
    <m/>
    <m/>
    <m/>
    <m/>
    <s v="KAM"/>
    <m/>
    <s v="ID-34344356896"/>
    <m/>
    <m/>
    <x v="1"/>
  </r>
  <r>
    <s v="COM69B40E1C88969"/>
    <n v="244658"/>
    <s v="13/03/2026 10:16"/>
    <x v="2"/>
    <m/>
    <s v="16/03/2026"/>
    <s v="Aprovado"/>
    <n v="15"/>
    <n v="1"/>
    <n v="29985"/>
    <s v="Boleto Bradesco"/>
    <n v="28140.92"/>
    <s v=""/>
    <s v="Boleto"/>
    <s v="boleto"/>
    <s v="AI Festival 2026 - Ingresso Explorer"/>
    <s v="evento-ia-ed1a26_explorer"/>
    <s v="Elaine Domingos"/>
    <m/>
    <s v="61.198.164/0001-60"/>
    <s v="PORTO SEGURO COMPANHIA DE SEGUROS GERAIS"/>
    <s v="elaine.domingos@portoseguro.com.br"/>
    <s v="11966558926"/>
    <s v="1123936762"/>
    <s v="01205001"/>
    <s v="RIO BRANCO"/>
    <s v="1489"/>
    <s v="RUA GUAIANASES, 1238"/>
    <s v="CAMPOS ELISEOS"/>
    <s v="São Paulo"/>
    <s v="SP"/>
    <s v="Filial(São Paulo)"/>
    <s v="AI Festival 2026 - Ingresso Explorer"/>
    <m/>
    <m/>
    <m/>
    <s v="b5c8f49bd93b8a2dd6cb703ae4f4f3c2"/>
    <m/>
    <s v="Nao"/>
    <x v="6"/>
    <m/>
    <s v="13/05/2026"/>
    <m/>
    <m/>
    <m/>
    <m/>
    <s v="KAM"/>
    <s v="19/06/2017"/>
    <s v="ID-61198164000160"/>
    <s v="Aguardando recebimento"/>
    <m/>
    <x v="2"/>
  </r>
  <r>
    <s v="COM69B1DA487B231"/>
    <n v="244559"/>
    <s v="11/03/2026 18:10"/>
    <x v="2"/>
    <m/>
    <s v="11/03/2026"/>
    <s v="Aprovado"/>
    <n v="5"/>
    <n v="1"/>
    <n v="0"/>
    <m/>
    <n v="0"/>
    <s v=""/>
    <s v="Cortesia"/>
    <s v="cortesia"/>
    <s v="RH Leadership Xperience 2026 - Ingresso Explorer"/>
    <s v="evento-rh-ed1a26_explorer"/>
    <s v="Hiara Layolee Silva Marquez Peixoto"/>
    <s v="05530853447"/>
    <m/>
    <m/>
    <s v="Hiara.peixoto@matera.com"/>
    <s v="5511966363603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929be2feafea30fd2402cf670d5adb9e"/>
    <m/>
    <s v="Nao"/>
    <x v="4"/>
    <m/>
    <s v="26/03/2026"/>
    <m/>
    <m/>
    <m/>
    <m/>
    <s v="KAM"/>
    <m/>
    <s v="ID-05530853447"/>
    <m/>
    <m/>
    <x v="1"/>
  </r>
  <r>
    <s v="COM69B1D7C58A0E8"/>
    <n v="244558"/>
    <s v="11/03/2026 17:59"/>
    <x v="2"/>
    <m/>
    <s v="11/03/2026"/>
    <s v="Aprovado"/>
    <n v="1"/>
    <n v="1"/>
    <n v="0"/>
    <m/>
    <n v="0"/>
    <s v=""/>
    <s v="Cortesia"/>
    <s v="cortesia"/>
    <s v="RH Leadership Xperience 2026 - Ingresso Explorer"/>
    <s v="evento-rh-ed1a26_explorer"/>
    <s v="Thalita Santos"/>
    <s v="31356040802"/>
    <m/>
    <m/>
    <s v="thalita.santos@ipiranga.ipiranga"/>
    <s v="5511963973542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73f78a3a272042e22549bf76e0371e7e"/>
    <m/>
    <s v="Nao"/>
    <x v="4"/>
    <m/>
    <s v="26/03/2026"/>
    <m/>
    <m/>
    <m/>
    <m/>
    <s v="KAM"/>
    <m/>
    <s v="ID-31356040802"/>
    <m/>
    <m/>
    <x v="1"/>
  </r>
  <r>
    <s v="COM69B1C62824BDF"/>
    <n v="244544"/>
    <s v="11/03/2026 16:44"/>
    <x v="2"/>
    <m/>
    <s v="13/03/2026"/>
    <s v="Aprovado"/>
    <n v="1"/>
    <n v="1"/>
    <n v="4650.01"/>
    <s v="Boleto Bradesco"/>
    <n v="4364.03"/>
    <s v=""/>
    <s v="Boleto"/>
    <s v="boleto"/>
    <s v="Incidência de Multa"/>
    <s v="multa-ed1a22"/>
    <s v="Diana Junges"/>
    <m/>
    <s v="89.049.738/0001-57"/>
    <s v="COOPERATIVA DE CREDITO, POUPANCA E INVESTIMENTO CONFIANCA - SICREDI CONFIANCA"/>
    <s v="diana_junges@sicredi.com.br"/>
    <s v="5133584770"/>
    <s v="5133584770"/>
    <s v="98910000"/>
    <s v="HORIZONTINA"/>
    <s v="748"/>
    <m/>
    <s v="CENTRO"/>
    <s v="Três de Maio"/>
    <s v="RS"/>
    <s v="Filial(São Paulo)"/>
    <s v="Incidência de Multa"/>
    <m/>
    <m/>
    <m/>
    <s v="22e959861dafb6cd4d5ef0c1978ce534"/>
    <m/>
    <s v="Nao"/>
    <x v="7"/>
    <m/>
    <s v="01/01/2022"/>
    <m/>
    <m/>
    <m/>
    <m/>
    <s v="KAM"/>
    <s v="11/03/2026"/>
    <s v="ID-89049738000157"/>
    <s v="Pago"/>
    <m/>
    <x v="0"/>
  </r>
  <r>
    <s v="COM69B08862C0D1A"/>
    <n v="244463"/>
    <s v="10/03/2026 18:08"/>
    <x v="2"/>
    <m/>
    <m/>
    <s v="Aprovado"/>
    <n v="3"/>
    <n v="1"/>
    <n v="0"/>
    <m/>
    <n v="0"/>
    <s v=""/>
    <s v="Cortesia"/>
    <s v="cortesia"/>
    <s v="RH Leadership Xperience 2026 - Ingresso Platinum"/>
    <s v="evento-rh-ed1a26_platinum"/>
    <s v="Maria Zambrano"/>
    <s v="04545533825"/>
    <m/>
    <m/>
    <s v="maria.zambranot@gm.com"/>
    <s v="551199999999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74594b931c1b8e811bb06317839f4fcc"/>
    <m/>
    <s v="Nao"/>
    <x v="11"/>
    <m/>
    <s v="26/03/2026"/>
    <m/>
    <m/>
    <m/>
    <m/>
    <s v="KAM"/>
    <m/>
    <s v="ID-04545533825"/>
    <m/>
    <m/>
    <x v="1"/>
  </r>
  <r>
    <s v="COM69B08749B3968"/>
    <n v="244462"/>
    <s v="10/03/2026 18:04"/>
    <x v="2"/>
    <m/>
    <s v="10/03/2026"/>
    <s v="Aprovado"/>
    <n v="1"/>
    <n v="1"/>
    <n v="0"/>
    <m/>
    <n v="0"/>
    <s v=""/>
    <s v="Cortesia"/>
    <s v="cortesia"/>
    <s v="Executive Program - 23 a 25 de Março de 2026"/>
    <s v="executive-program-ed3a26"/>
    <s v="Renato Galit"/>
    <s v="22595448862"/>
    <m/>
    <m/>
    <s v="Renato.galit@ogea.com.br"/>
    <s v="5511971448502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4f03cd1bcfdb6e58e11b50ede6aaa0a7"/>
    <m/>
    <s v="Nao"/>
    <x v="8"/>
    <m/>
    <s v="23/03/2026"/>
    <m/>
    <m/>
    <m/>
    <m/>
    <s v="KAM"/>
    <m/>
    <s v="ID-22595448862"/>
    <m/>
    <m/>
    <x v="1"/>
  </r>
  <r>
    <s v="COM69B086FC176BA"/>
    <n v="244461"/>
    <s v="10/03/2026 18:02"/>
    <x v="2"/>
    <m/>
    <s v="11/03/2026"/>
    <s v="Aprovado"/>
    <n v="1"/>
    <n v="1"/>
    <n v="2600"/>
    <s v="Boleto Bradesco"/>
    <n v="2440.1"/>
    <s v=""/>
    <s v="Boleto"/>
    <s v="boleto"/>
    <s v="AI para Negócios - Imersão Presencial -  11 e 12 de Março de 2026"/>
    <s v="imersao-presencial-de-ai-ed4a26"/>
    <s v="Gerson Almeida da Costa"/>
    <m/>
    <s v="05.081.187/0001-19"/>
    <s v="SERVICO DE APOIO AS MICRO E PEQ EMPRESAS DO PARA"/>
    <s v="gerson@pa.sebrae.com.br"/>
    <s v="11918602910"/>
    <s v="11918602910"/>
    <s v="66050350"/>
    <s v="MUNICIPALIDADE"/>
    <s v="1461"/>
    <m/>
    <s v="UMARIZAL"/>
    <s v="Belém"/>
    <s v="PA"/>
    <s v="Filial(São Paulo)"/>
    <s v="AI para Negócios - Imersão Presencial - 11 e 12 de Março de 2026"/>
    <m/>
    <m/>
    <m/>
    <s v="2fc5dea7b546a4bcf0fc049fb7c4a713"/>
    <m/>
    <s v="Nao"/>
    <x v="2"/>
    <m/>
    <s v="11/03/2026"/>
    <m/>
    <m/>
    <m/>
    <m/>
    <s v="KAM"/>
    <s v="10/03/2026"/>
    <s v="ID-05081187000119"/>
    <s v="Pago"/>
    <m/>
    <x v="0"/>
  </r>
  <r>
    <s v="COM69B084E8DCA75"/>
    <n v="244459"/>
    <s v="10/03/2026 17:54"/>
    <x v="2"/>
    <m/>
    <s v="11/03/2026"/>
    <s v="Aprovado"/>
    <n v="2"/>
    <n v="1"/>
    <n v="5200"/>
    <s v="Boleto Bradesco"/>
    <n v="4880.2"/>
    <s v=""/>
    <s v="Boleto"/>
    <s v="boleto"/>
    <s v="AI para Negócios - Imersão Presencial -  11 e 12 de Março de 2026"/>
    <s v="imersao-presencial-de-ai-ed4a26"/>
    <s v="Gerson Almeida da Costa"/>
    <m/>
    <s v="05.081.187/0001-19"/>
    <s v="SERVICO DE APOIO AS MICRO E PEQ EMPRESAS DO PARA"/>
    <s v="gerson@pa.sebrae.com.br"/>
    <s v="11918602910"/>
    <s v="11918602910"/>
    <s v="66050350"/>
    <s v="MUNICIPALIDADE"/>
    <s v="1461"/>
    <m/>
    <s v="UMARIZAL"/>
    <s v="Belém"/>
    <s v="PA"/>
    <s v="Filial(São Paulo)"/>
    <s v="AI para Negócios - Imersão Presencial - 11 e 12 de Março de 2026"/>
    <m/>
    <m/>
    <m/>
    <s v="4a36b27104ab28b8a5a91a1d9ced8f0f"/>
    <m/>
    <s v="Nao"/>
    <x v="2"/>
    <m/>
    <s v="11/03/2026"/>
    <m/>
    <m/>
    <m/>
    <m/>
    <s v="KAM"/>
    <s v="10/03/2026"/>
    <s v="ID-05081187000119"/>
    <s v="Pago"/>
    <m/>
    <x v="0"/>
  </r>
  <r>
    <s v="COM69B0822EE3D46"/>
    <n v="244454"/>
    <s v="10/03/2026 17:42"/>
    <x v="2"/>
    <m/>
    <s v="10/03/2026"/>
    <s v="Aprovado"/>
    <n v="1"/>
    <n v="1"/>
    <n v="0"/>
    <m/>
    <n v="0"/>
    <s v=""/>
    <s v="Cortesia"/>
    <s v="cortesia"/>
    <s v="AI for Leaders - 2026"/>
    <s v="ai-for-leaders-ed1a26"/>
    <s v="Janayna Coutinho Cogo"/>
    <s v="05276238731"/>
    <m/>
    <m/>
    <s v="janayna.cogo@arcelormittal.com.br"/>
    <s v="5527988416111"/>
    <m/>
    <s v="04578-910"/>
    <s v="Avenida das Nações Unidas 12901"/>
    <s v="12901"/>
    <m/>
    <s v="Brooklin Paulista"/>
    <s v="São Paulo"/>
    <s v="SP"/>
    <s v="Filial(São Paulo)"/>
    <s v="AI for Leaders - 2026"/>
    <m/>
    <m/>
    <m/>
    <s v="51654046186d75fce34f214bdc812106"/>
    <m/>
    <s v="Nao"/>
    <x v="0"/>
    <m/>
    <s v="13/01/2026"/>
    <m/>
    <m/>
    <m/>
    <s v="Brasil"/>
    <s v="KAM"/>
    <m/>
    <s v="ID-05276238731"/>
    <m/>
    <m/>
    <x v="1"/>
  </r>
  <r>
    <s v="COM69B081C225F88"/>
    <n v="244453"/>
    <s v="10/03/2026 17:40"/>
    <x v="2"/>
    <m/>
    <s v="10/03/2026"/>
    <s v="Aprovado"/>
    <n v="1"/>
    <n v="1"/>
    <n v="0"/>
    <m/>
    <n v="0"/>
    <s v=""/>
    <s v="Cortesia"/>
    <s v="cortesia"/>
    <s v="AI for Leaders - 2026"/>
    <s v="ai-for-leaders-ed1a26"/>
    <s v="Danielly Feu"/>
    <s v="09366186718"/>
    <m/>
    <m/>
    <s v="danielly.feu@arcelormittal.com.br"/>
    <s v="5527999717950"/>
    <m/>
    <s v="04578-910"/>
    <s v="Avenida das Nações Unidas 12901"/>
    <s v="12901"/>
    <m/>
    <s v="Brooklin Paulista"/>
    <s v="São Paulo"/>
    <s v="SP"/>
    <s v="Filial(São Paulo)"/>
    <s v="AI for Leaders - 2026"/>
    <m/>
    <m/>
    <m/>
    <s v="4374da5afb3a4e70ae1d20a00fb25723"/>
    <m/>
    <s v="Nao"/>
    <x v="0"/>
    <m/>
    <s v="13/01/2026"/>
    <m/>
    <m/>
    <m/>
    <s v="Brasil"/>
    <s v="KAM"/>
    <s v="16/05/2024"/>
    <s v="ID-09366186718"/>
    <m/>
    <m/>
    <x v="1"/>
  </r>
  <r>
    <s v="COM69B081230D494"/>
    <n v="244452"/>
    <s v="10/03/2026 17:37"/>
    <x v="2"/>
    <m/>
    <s v="10/03/2026"/>
    <s v="Aprovado"/>
    <n v="1"/>
    <n v="1"/>
    <n v="0"/>
    <m/>
    <n v="0"/>
    <s v=""/>
    <s v="Cortesia"/>
    <s v="cortesia"/>
    <s v="AI for Leaders - 2026"/>
    <s v="ai-for-leaders-ed1a26"/>
    <s v="Daiana Forechi"/>
    <s v="14193770788"/>
    <m/>
    <m/>
    <s v="daiana.forechi@arcelormittal.com.br"/>
    <s v="5527998515757"/>
    <m/>
    <s v="04578-910"/>
    <s v="Avenida das Nações Unidas 12901"/>
    <s v="12901"/>
    <m/>
    <s v="Brooklin Paulista"/>
    <s v="São Paulo"/>
    <s v="SP"/>
    <s v="Filial(São Paulo)"/>
    <s v="AI for Leaders - 2026"/>
    <m/>
    <m/>
    <m/>
    <s v="8abc0ecc9b3b009fbf26e45652cb9607"/>
    <m/>
    <s v="Nao"/>
    <x v="0"/>
    <m/>
    <s v="13/01/2026"/>
    <m/>
    <m/>
    <m/>
    <s v="Brasil"/>
    <s v="KAM"/>
    <m/>
    <s v="ID-14193770788"/>
    <m/>
    <m/>
    <x v="1"/>
  </r>
  <r>
    <s v="COM69B07DCE84747"/>
    <n v="244451"/>
    <s v="10/03/2026 17:23"/>
    <x v="2"/>
    <m/>
    <s v="10/03/2026"/>
    <s v="Aprovado"/>
    <n v="1"/>
    <n v="1"/>
    <n v="0"/>
    <m/>
    <n v="0"/>
    <s v=""/>
    <s v="Cortesia"/>
    <s v="cortesia"/>
    <s v="Executive Program - 23 a 25 de Março de 2026"/>
    <s v="executive-program-ed3a26"/>
    <s v="Rodrigo Marangoni"/>
    <s v="21998475867"/>
    <m/>
    <m/>
    <s v="Rodrigo.marangoni@ultra.com.br"/>
    <s v="5511994229520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47d0930204154c54b2109867084addc4"/>
    <m/>
    <s v="Nao"/>
    <x v="4"/>
    <m/>
    <s v="23/03/2026"/>
    <m/>
    <m/>
    <m/>
    <m/>
    <s v="KAM"/>
    <s v="23/03/2021"/>
    <s v="ID-21998475867"/>
    <m/>
    <m/>
    <x v="1"/>
  </r>
  <r>
    <s v="COM69B07968A3691"/>
    <n v="244449"/>
    <s v="10/03/2026 17:04"/>
    <x v="2"/>
    <m/>
    <s v="10/03/2026"/>
    <s v="Aprovado"/>
    <n v="1"/>
    <n v="1"/>
    <n v="0"/>
    <m/>
    <n v="0"/>
    <s v=""/>
    <s v="Cortesia"/>
    <s v="cortesia"/>
    <s v="AI for Leaders - 2026"/>
    <s v="ai-for-leaders-ed1a26"/>
    <s v="Cláudia Lopes"/>
    <s v="08665602704"/>
    <m/>
    <m/>
    <s v="claudia.lopes@arcelormittal.com.br"/>
    <s v="5527997257169"/>
    <m/>
    <s v="04578-910"/>
    <s v="Avenida das Nações Unidas 12901"/>
    <s v="12901"/>
    <m/>
    <s v="Brooklin Paulista"/>
    <s v="São Paulo"/>
    <s v="SP"/>
    <s v="Filial(São Paulo)"/>
    <s v="AI for Leaders - 2026"/>
    <m/>
    <m/>
    <m/>
    <s v="ab13e4ea91ad3a8217fe84499bdcae74"/>
    <m/>
    <s v="Nao"/>
    <x v="0"/>
    <m/>
    <s v="13/01/2026"/>
    <m/>
    <m/>
    <m/>
    <s v="Brasil"/>
    <s v="KAM"/>
    <m/>
    <s v="ID-08665602704"/>
    <m/>
    <m/>
    <x v="1"/>
  </r>
  <r>
    <s v="COM69B05ADAB4733"/>
    <n v="244416"/>
    <s v="10/03/2026 14:54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oão Carlos Gouveia"/>
    <s v="00699566851"/>
    <m/>
    <m/>
    <s v="gouveia@sebraego.com.br"/>
    <s v="556298162500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0aee1bce12e197f046af95c2195ce588"/>
    <m/>
    <s v="Nao"/>
    <x v="2"/>
    <m/>
    <s v="26/03/2026"/>
    <m/>
    <m/>
    <m/>
    <m/>
    <s v="KAM"/>
    <m/>
    <s v="ID-00699566851"/>
    <m/>
    <m/>
    <x v="1"/>
  </r>
  <r>
    <s v="COM69AF22C1374E7"/>
    <n v="244360"/>
    <s v="09/03/2026 16:42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aio Doi"/>
    <s v="87530058991"/>
    <m/>
    <m/>
    <s v="Caio.doi@marcopolo.com.br"/>
    <s v="5554954916107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0aac3cabdd17409629d142494456b8d2"/>
    <m/>
    <s v="Nao"/>
    <x v="4"/>
    <m/>
    <s v="26/03/2026"/>
    <m/>
    <m/>
    <m/>
    <m/>
    <s v="KAM"/>
    <m/>
    <s v="ID-87530058991"/>
    <m/>
    <m/>
    <x v="1"/>
  </r>
  <r>
    <s v="COM69AF20BDC972C"/>
    <n v="244356"/>
    <s v="09/03/2026 16:34"/>
    <x v="2"/>
    <m/>
    <s v="09/03/2026"/>
    <s v="Aprovado"/>
    <n v="1"/>
    <n v="1"/>
    <n v="0"/>
    <m/>
    <n v="0"/>
    <s v=""/>
    <s v="Cortesia"/>
    <s v="cortesia"/>
    <s v="RH Leadership Xperience 2026 - Ingresso Explorer"/>
    <s v="evento-rh-ed1a26_explorer"/>
    <s v="Thalita Santos"/>
    <s v="31356040802"/>
    <m/>
    <m/>
    <s v="thalita.santos@ipiranga.ipiranga"/>
    <s v="5511963973542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a2a5b57b9216b88ce5c776007cc2ce05"/>
    <m/>
    <s v="Nao"/>
    <x v="4"/>
    <m/>
    <s v="26/03/2026"/>
    <m/>
    <m/>
    <m/>
    <m/>
    <s v="KAM"/>
    <m/>
    <s v="ID-31356040802"/>
    <m/>
    <m/>
    <x v="1"/>
  </r>
  <r>
    <s v="COM69AF1994A9F34"/>
    <n v="244349"/>
    <s v="09/03/2026 16:03"/>
    <x v="2"/>
    <m/>
    <s v="09/03/2026"/>
    <s v="Aprovado"/>
    <n v="2"/>
    <n v="1"/>
    <n v="0"/>
    <m/>
    <n v="0"/>
    <s v=""/>
    <s v="Cortesia"/>
    <s v="cortesia"/>
    <s v="RH Leadership Xperience 2026 - Ingresso Explorer"/>
    <s v="evento-rh-ed1a26_explorer"/>
    <s v="Thais Gonçalvez"/>
    <s v="41055800867"/>
    <m/>
    <m/>
    <s v="thaisg.silva@odontoprev.com.br"/>
    <s v="5511986455151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dee4ebdd18f5f6aaaa261124a6d3298d"/>
    <m/>
    <s v="Nao"/>
    <x v="0"/>
    <m/>
    <s v="26/03/2026"/>
    <m/>
    <m/>
    <m/>
    <m/>
    <s v="KAM"/>
    <m/>
    <s v="ID-41055800867"/>
    <m/>
    <m/>
    <x v="1"/>
  </r>
  <r>
    <s v="COM69AF182789404"/>
    <n v="244347"/>
    <s v="09/03/2026 15:57"/>
    <x v="2"/>
    <m/>
    <s v="09/03/2026"/>
    <s v="Aprovado"/>
    <n v="1"/>
    <n v="1"/>
    <n v="0"/>
    <m/>
    <n v="0"/>
    <s v=""/>
    <s v="Cortesia"/>
    <s v="cortesia"/>
    <s v="RH Leadership Xperience 2026 - Ingresso Explorer"/>
    <s v="evento-rh-ed1a26_explorer"/>
    <s v="Amanda Pietro"/>
    <s v="38564411822"/>
    <m/>
    <m/>
    <s v="amanda.pietro@corpay.com.br"/>
    <s v="5511976111062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819029fb0b1c3b961b7ee52ee6c35dba"/>
    <m/>
    <s v="Nao"/>
    <x v="0"/>
    <m/>
    <s v="26/03/2026"/>
    <m/>
    <m/>
    <m/>
    <m/>
    <s v="KAM"/>
    <m/>
    <s v="ID-38564411822"/>
    <m/>
    <m/>
    <x v="1"/>
  </r>
  <r>
    <s v="COM69AF178F3663E"/>
    <n v="244346"/>
    <s v="09/03/2026 15:55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Renata Villaron Moll"/>
    <s v="21500962856"/>
    <m/>
    <m/>
    <s v="renata.moll@cnpbrasil.com.br"/>
    <s v="556198231100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71dc38f0ddd642661ac80cc1a41605c6"/>
    <m/>
    <s v="Nao"/>
    <x v="0"/>
    <m/>
    <s v="26/03/2026"/>
    <m/>
    <m/>
    <m/>
    <m/>
    <s v="KAM"/>
    <m/>
    <s v="ID-21500962856"/>
    <m/>
    <m/>
    <x v="1"/>
  </r>
  <r>
    <s v="COM69AF16FA4F040"/>
    <n v="244345"/>
    <s v="09/03/2026 15:52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Rachel Arruda Bueno Sarti"/>
    <s v="32318530874"/>
    <m/>
    <m/>
    <s v="rachel.sarti@dasa.com.br"/>
    <s v="5511972027013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702a683cafcdd778a2c2d82dc8ecd046"/>
    <m/>
    <s v="Nao"/>
    <x v="0"/>
    <m/>
    <s v="26/03/2026"/>
    <m/>
    <m/>
    <m/>
    <m/>
    <s v="KAM"/>
    <m/>
    <s v="ID-32318530874"/>
    <m/>
    <m/>
    <x v="1"/>
  </r>
  <r>
    <s v="COM69AF15E85E8A4"/>
    <n v="244343"/>
    <s v="09/03/2026 15:48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Viviane Alvarenga"/>
    <s v="01642177628"/>
    <m/>
    <m/>
    <s v="viviane@farmarcas.com.br"/>
    <s v="5511986848683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17b4fc9206f525f69c8629f620c1ac26"/>
    <m/>
    <s v="Nao"/>
    <x v="0"/>
    <m/>
    <s v="26/03/2026"/>
    <m/>
    <m/>
    <m/>
    <m/>
    <s v="KAM"/>
    <m/>
    <s v="ID-01642177628"/>
    <m/>
    <m/>
    <x v="1"/>
  </r>
  <r>
    <s v="COM69AF144FE5507"/>
    <n v="244342"/>
    <s v="09/03/2026 15:41"/>
    <x v="2"/>
    <m/>
    <s v="09/03/2026"/>
    <s v="Aprovado"/>
    <n v="1"/>
    <n v="1"/>
    <n v="0"/>
    <m/>
    <n v="0"/>
    <s v=""/>
    <s v="Cortesia"/>
    <s v="cortesia"/>
    <s v="Executive Program - 23 a 25 de Março de 2026"/>
    <s v="executive-program-ed3a26"/>
    <s v="Thais Delcir"/>
    <s v="42100266896"/>
    <m/>
    <m/>
    <s v="thais.delcir@zeiss.com"/>
    <s v="5511957301800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67acdd7ad5d8ce9cfd6e311170248318"/>
    <m/>
    <s v="Nao"/>
    <x v="8"/>
    <m/>
    <s v="23/03/2026"/>
    <m/>
    <m/>
    <m/>
    <m/>
    <s v="KAM"/>
    <m/>
    <s v="ID-42100266896"/>
    <m/>
    <m/>
    <x v="1"/>
  </r>
  <r>
    <s v="COM69AF137145119"/>
    <n v="244341"/>
    <s v="09/03/2026 15:3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Almerinda Valinho"/>
    <s v="00030676703"/>
    <m/>
    <m/>
    <s v="avalinho@mcdbuzios.com.br"/>
    <s v="552299232531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8f473b5c487554143166b93b830b9b99"/>
    <m/>
    <s v="Nao"/>
    <x v="0"/>
    <m/>
    <s v="26/03/2026"/>
    <m/>
    <m/>
    <m/>
    <m/>
    <s v="KAM"/>
    <m/>
    <s v="ID-00030676703"/>
    <m/>
    <m/>
    <x v="1"/>
  </r>
  <r>
    <s v="COM69AF0D422F3F8"/>
    <n v="244337"/>
    <s v="09/03/2026 15:11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Maria Fernanda Anselmo"/>
    <m/>
    <s v="18.459.628/0043-74"/>
    <s v="BAYER S.A."/>
    <s v="mariaf.anselmo@bayer.com"/>
    <s v="11996914617"/>
    <s v="1156945166"/>
    <s v="04779900"/>
    <s v="DOMINGOS JORGE"/>
    <s v="1100"/>
    <s v="PREDIO 9504"/>
    <s v="SOCORRO"/>
    <s v="São Paulo"/>
    <s v="SP"/>
    <s v="Filial(São Paulo)"/>
    <s v="Bayer"/>
    <m/>
    <m/>
    <m/>
    <s v="a548705fae66426e3e0d4c445d484499"/>
    <m/>
    <s v="Nao"/>
    <x v="10"/>
    <m/>
    <s v="26/03/2026"/>
    <m/>
    <m/>
    <m/>
    <m/>
    <s v="KAM"/>
    <s v="11/07/2022"/>
    <s v="ID-18459628004374"/>
    <m/>
    <m/>
    <x v="1"/>
  </r>
  <r>
    <s v="COM69AF0D3F85EDC"/>
    <n v="244336"/>
    <s v="09/03/2026 15:11"/>
    <x v="2"/>
    <m/>
    <s v="09/03/2026"/>
    <s v="Aprovado"/>
    <n v="1"/>
    <n v="1"/>
    <n v="0"/>
    <m/>
    <n v="0"/>
    <s v=""/>
    <s v="Cortesia"/>
    <s v="cortesia"/>
    <s v="RH Leadership Xperience 2026 - Ingresso Explorer"/>
    <s v="evento-rh-ed1a26_explorer"/>
    <s v="Amanda Abrantes de Carvalho"/>
    <s v="70013754114"/>
    <m/>
    <m/>
    <s v="amandaabrantes23@hotmail.com"/>
    <s v="5562992888548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0a7ba6039c3fbbc829fc0bb5b310c704"/>
    <m/>
    <s v="Nao"/>
    <x v="3"/>
    <m/>
    <s v="26/03/2026"/>
    <m/>
    <m/>
    <m/>
    <m/>
    <s v="KAM"/>
    <m/>
    <s v="ID-70013754114"/>
    <m/>
    <m/>
    <x v="1"/>
  </r>
  <r>
    <s v="COM69AF0CEBE4178"/>
    <n v="244335"/>
    <s v="09/03/2026 15:09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Zilaide Oliveira Silva"/>
    <s v="13477363876"/>
    <m/>
    <m/>
    <s v="zilaide.oliveira@somagrupo.com.br"/>
    <s v="5511970329177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737b1642daaed750574ec4d80e480fda"/>
    <m/>
    <s v="Nao"/>
    <x v="3"/>
    <m/>
    <s v="26/03/2026"/>
    <m/>
    <m/>
    <m/>
    <m/>
    <s v="KAM"/>
    <m/>
    <s v="ID-13477363876"/>
    <m/>
    <m/>
    <x v="1"/>
  </r>
  <r>
    <s v="COM69AF0C7BCC428"/>
    <n v="244334"/>
    <s v="09/03/2026 15:0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Amanda Marques Monteiro de Barros Lin"/>
    <s v="12759951790"/>
    <m/>
    <m/>
    <s v="amanda.lins@somagrupo.com.br"/>
    <s v="5521994466446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a466e228a47b597283e6d1d9d50eeaad"/>
    <m/>
    <s v="Nao"/>
    <x v="3"/>
    <m/>
    <s v="26/03/2026"/>
    <m/>
    <m/>
    <m/>
    <m/>
    <s v="KAM"/>
    <m/>
    <s v="ID-12759951790"/>
    <m/>
    <m/>
    <x v="1"/>
  </r>
  <r>
    <s v="COM69AF0BAF5D903"/>
    <n v="244333"/>
    <s v="09/03/2026 15:04"/>
    <x v="2"/>
    <m/>
    <s v="09/03/2026"/>
    <s v="Aprovado"/>
    <n v="1"/>
    <n v="1"/>
    <n v="0"/>
    <m/>
    <n v="0"/>
    <s v=""/>
    <s v="Cortesia"/>
    <s v="cortesia"/>
    <s v="RH Leadership Xperience 2026 - Ingresso Explorer"/>
    <s v="evento-rh-ed1a26_explorer"/>
    <s v="Denis Akio Macedo Yamauchi"/>
    <s v="11095748602"/>
    <m/>
    <m/>
    <s v="denis.akio@srna.co"/>
    <s v="5535991032825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f3d8f03f5265e6917703be371a2ff1df"/>
    <m/>
    <s v="Nao"/>
    <x v="5"/>
    <m/>
    <s v="26/03/2026"/>
    <m/>
    <m/>
    <m/>
    <m/>
    <s v="KAM"/>
    <m/>
    <s v="ID-11095748602"/>
    <m/>
    <m/>
    <x v="1"/>
  </r>
  <r>
    <s v="COM69AF0B24BC674"/>
    <n v="244332"/>
    <s v="09/03/2026 15:02"/>
    <x v="2"/>
    <m/>
    <s v="09/03/2026"/>
    <s v="Aprovado"/>
    <n v="1"/>
    <n v="1"/>
    <n v="0"/>
    <m/>
    <n v="0"/>
    <s v=""/>
    <s v="Cortesia"/>
    <s v="cortesia"/>
    <s v="RH Leadership Xperience 2026 - Ingresso Explorer"/>
    <s v="evento-rh-ed1a26_explorer"/>
    <s v="Lívia Candido de Souza"/>
    <s v="10815620721"/>
    <m/>
    <m/>
    <s v="livia.souza@srna.co"/>
    <s v="5521983101600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05bbdca04117c6d81b2540d895b41a4f"/>
    <m/>
    <s v="Nao"/>
    <x v="5"/>
    <m/>
    <s v="26/03/2026"/>
    <m/>
    <m/>
    <m/>
    <m/>
    <s v="KAM"/>
    <m/>
    <s v="ID-10815620721"/>
    <m/>
    <m/>
    <x v="1"/>
  </r>
  <r>
    <s v="COM69AF09B339758"/>
    <n v="244330"/>
    <s v="09/03/2026 14:56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Marcele Correia"/>
    <s v="55042430091"/>
    <m/>
    <m/>
    <s v="marcele.correia@olxbr.com"/>
    <s v="5511932928887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c2558e70d32782d96326db5ea45a7bc3"/>
    <m/>
    <s v="Nao"/>
    <x v="8"/>
    <m/>
    <s v="26/03/2026"/>
    <m/>
    <m/>
    <m/>
    <m/>
    <s v="KAM"/>
    <s v="17/01/2024"/>
    <s v="ID-55042430091"/>
    <m/>
    <m/>
    <x v="1"/>
  </r>
  <r>
    <s v="COM69AF07EC22C2D"/>
    <n v="244327"/>
    <s v="09/03/2026 14:48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Gustavo Abreu"/>
    <s v="32014792844"/>
    <m/>
    <m/>
    <s v="gustavo.abreu@astrazeneca.com"/>
    <s v="5511988561766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5f020a18a9c1933f6d26377cbb947c6b"/>
    <m/>
    <s v="Nao"/>
    <x v="0"/>
    <m/>
    <s v="26/03/2026"/>
    <m/>
    <m/>
    <m/>
    <m/>
    <s v="KAM"/>
    <m/>
    <s v="ID-32014792844"/>
    <m/>
    <m/>
    <x v="1"/>
  </r>
  <r>
    <s v="COM69AF052C6628C"/>
    <n v="244324"/>
    <s v="09/03/2026 14:36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Patricia Bobbato"/>
    <s v="00710667990"/>
    <m/>
    <m/>
    <s v="patriciabobbato@natura.net"/>
    <s v="551199999999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d6fd975f06d5a2c26a4d0e602861c44b"/>
    <m/>
    <s v="Nao"/>
    <x v="11"/>
    <m/>
    <s v="26/03/2026"/>
    <m/>
    <m/>
    <m/>
    <m/>
    <s v="KAM"/>
    <m/>
    <s v="ID-00710667990"/>
    <m/>
    <m/>
    <x v="1"/>
  </r>
  <r>
    <s v="COM69AF022A0A2A2"/>
    <n v="244323"/>
    <s v="09/03/2026 14:23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Tatiana Pizza"/>
    <s v="29583248851"/>
    <m/>
    <m/>
    <s v="tatiana.cordoni@totvs.com.br"/>
    <s v="551197440144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c1ccdc48c324d3a9e8c4feaa5f581319"/>
    <m/>
    <s v="Nao"/>
    <x v="0"/>
    <m/>
    <s v="26/03/2026"/>
    <m/>
    <m/>
    <m/>
    <m/>
    <s v="KAM"/>
    <m/>
    <s v="ID-29583248851"/>
    <m/>
    <m/>
    <x v="1"/>
  </r>
  <r>
    <s v="COM69AEF89DED9BA"/>
    <n v="244320"/>
    <s v="09/03/2026 13:43"/>
    <x v="2"/>
    <m/>
    <s v="09/03/2026"/>
    <s v="Aprovado"/>
    <n v="1"/>
    <n v="1"/>
    <n v="40000"/>
    <s v="Boleto Bradesco"/>
    <n v="37540"/>
    <s v=""/>
    <s v="Boleto"/>
    <s v="boleto"/>
    <s v="Palestra Fabio Neto | Iconic"/>
    <s v="corporate-palestra-ed13a26"/>
    <s v="Rafael Dos Santos Santana"/>
    <m/>
    <s v="05.524.572/0001-93"/>
    <s v="ICONIC LUBRIFICANTES S.A."/>
    <s v="rsantana@iconic.com.br"/>
    <s v="21974184545"/>
    <s v="2125105925"/>
    <s v="22640102"/>
    <s v="DAS AMERICAS"/>
    <s v="03434"/>
    <s v="BLC 7 4 ANDAR SALAS 401 A 408"/>
    <s v="BARRA DA TIJUCA"/>
    <s v="Rio de Janeiro"/>
    <s v="RJ"/>
    <s v="Filial(São Paulo)"/>
    <s v="Palestra Fabio Neto | Iconic"/>
    <m/>
    <m/>
    <m/>
    <s v="2c304592530492bdef8e19955e5fbd3c"/>
    <m/>
    <s v="Nao"/>
    <x v="6"/>
    <m/>
    <s v="09/03/2026"/>
    <m/>
    <m/>
    <m/>
    <m/>
    <s v="KAM"/>
    <s v="17/05/2022"/>
    <s v="ID-05524572000193"/>
    <s v="Pago"/>
    <m/>
    <x v="0"/>
  </r>
  <r>
    <s v="COM69AB3AA41B1A5"/>
    <n v="244257"/>
    <s v="06/03/2026 17:35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Kenya Aparecida dos Santos Consceição"/>
    <s v="05625681660"/>
    <m/>
    <m/>
    <s v="kenya.consceicao@mrs.com.br"/>
    <s v="5531984138217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2f04f3c74f29d239591fe0c56992718e"/>
    <m/>
    <s v="Nao"/>
    <x v="8"/>
    <m/>
    <s v="26/03/2026"/>
    <m/>
    <m/>
    <m/>
    <m/>
    <s v="KAM"/>
    <m/>
    <s v="ID-05625681660"/>
    <m/>
    <m/>
    <x v="1"/>
  </r>
  <r>
    <s v="COM69AB38AA33BB0"/>
    <n v="244254"/>
    <s v="06/03/2026 17:2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ARLOS ALBERTO LINO DE PONTES JUNIOR"/>
    <s v="32062086881"/>
    <m/>
    <m/>
    <s v="carlos.pontes@zeiss.com"/>
    <s v="551197068342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f368daeb1ee9a5a8af4ba782ae24dd12"/>
    <m/>
    <s v="Nao"/>
    <x v="8"/>
    <m/>
    <s v="26/03/2026"/>
    <m/>
    <m/>
    <m/>
    <m/>
    <s v="KAM"/>
    <m/>
    <s v="ID-32062086881"/>
    <m/>
    <m/>
    <x v="1"/>
  </r>
  <r>
    <s v="ORDMWLA0BJSPKWW4"/>
    <n v="244253"/>
    <s v="06/03/2026 17:24"/>
    <x v="2"/>
    <m/>
    <s v="24/03/2026"/>
    <s v="Aprovado"/>
    <n v="7"/>
    <n v="1"/>
    <n v="8393.6299999999992"/>
    <s v="Boleto Bradesco"/>
    <n v="7877.42"/>
    <m/>
    <s v="Boleto"/>
    <s v="boleto"/>
    <s v="RH Leadership Xperience 2026 - Ingresso Explorer"/>
    <s v="evento-rh-ed1a26_explorer"/>
    <s v="Isabele Quirino Sobrinho Silva"/>
    <s v="10845281771"/>
    <s v="03.495.672/0001-03"/>
    <s v="VOLKSWAGEN PARTICIPACOES LTDA"/>
    <s v="isabele.silva@vwfs.com"/>
    <s v="11945695380"/>
    <m/>
    <s v="04344901"/>
    <s v="VOLKSWAGEN"/>
    <s v="291"/>
    <s v="6 ANDAR"/>
    <s v="JABAQUARA"/>
    <s v="São Paulo"/>
    <s v="SP"/>
    <s v="Filial(São Paulo)"/>
    <m/>
    <m/>
    <m/>
    <m/>
    <s v="d05ba340220275141268ff3058b0a87f"/>
    <s v="RHFESTIVAL26-EXPLORER-LOTE-4"/>
    <s v="Nao"/>
    <x v="6"/>
    <m/>
    <s v="26/03/2026"/>
    <m/>
    <m/>
    <m/>
    <m/>
    <s v="KAM"/>
    <s v="25/06/2019"/>
    <s v="ID-03495672000103"/>
    <m/>
    <m/>
    <x v="0"/>
  </r>
  <r>
    <s v="COM69AB35EB04964"/>
    <n v="244250"/>
    <s v="06/03/2026 17:15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onathan RD Saude"/>
    <s v="23007428882"/>
    <m/>
    <m/>
    <s v="Jonathan@rdsaude.com.br"/>
    <s v="55119999999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f31796383a683f94a303628225c62796"/>
    <m/>
    <s v="Nao"/>
    <x v="11"/>
    <m/>
    <s v="26/03/2026"/>
    <m/>
    <m/>
    <m/>
    <m/>
    <s v="KAM"/>
    <m/>
    <s v="ID-23007428882"/>
    <m/>
    <m/>
    <x v="1"/>
  </r>
  <r>
    <s v="COM69AB2D71D88DE"/>
    <n v="244244"/>
    <s v="06/03/2026 16:39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Gleice Lopes Schifino"/>
    <s v="00545517575"/>
    <m/>
    <m/>
    <s v="gleice.schifino@imperio55.com.br"/>
    <s v="5571991917365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ea384d16e558134df1648972702d560b"/>
    <m/>
    <s v="Nao"/>
    <x v="8"/>
    <m/>
    <s v="26/03/2026"/>
    <m/>
    <m/>
    <m/>
    <m/>
    <s v="KAM"/>
    <s v="13/01/2023"/>
    <s v="ID-00545517575"/>
    <m/>
    <m/>
    <x v="1"/>
  </r>
  <r>
    <s v="COM69AB255B77D9E"/>
    <n v="244238"/>
    <s v="06/03/2026 16:04"/>
    <x v="2"/>
    <m/>
    <s v="06/03/2026"/>
    <s v="Aprovado"/>
    <n v="1"/>
    <n v="1"/>
    <n v="0"/>
    <m/>
    <n v="0"/>
    <s v=""/>
    <s v="Cortesia"/>
    <s v="cortesia"/>
    <s v="Executive Program - 25 a 27 de Maio de 2026"/>
    <s v="executive-program-ed5a26"/>
    <s v="Adcley Marcelino de Aquino Souza"/>
    <s v="86908308987"/>
    <m/>
    <m/>
    <s v="Adcley.Souza@assobens.com.br"/>
    <s v="554192543748"/>
    <m/>
    <s v="04578-910"/>
    <s v="Avenida das Nações Unidas 12901"/>
    <s v="12901"/>
    <m/>
    <s v="Brooklin Paulista"/>
    <s v="São Paulo"/>
    <s v="SP"/>
    <s v="Filial(São Paulo)"/>
    <s v="Executive Program - 25 a 27 de Maio de 2026"/>
    <m/>
    <m/>
    <m/>
    <s v="9c726990fc9d7717f98c86be732bd5ac"/>
    <m/>
    <s v="Nao"/>
    <x v="0"/>
    <m/>
    <s v="25/05/2026"/>
    <m/>
    <m/>
    <m/>
    <m/>
    <s v="KAM"/>
    <m/>
    <s v="ID-86908308987"/>
    <m/>
    <m/>
    <x v="1"/>
  </r>
  <r>
    <s v="COM69AB247A12A7A"/>
    <n v="244237"/>
    <s v="06/03/2026 16:01"/>
    <x v="2"/>
    <m/>
    <s v="09/03/2026"/>
    <s v="Aprovado"/>
    <n v="2"/>
    <n v="1"/>
    <n v="2038.3"/>
    <s v="Boleto Bradesco"/>
    <n v="1912.94"/>
    <s v=""/>
    <s v="Boleto"/>
    <s v="boleto"/>
    <s v="RH Leadership Xperience 2026 - Ingresso Explorer"/>
    <s v="evento-rh-ed1a26_explorer"/>
    <s v="Neto Luiz"/>
    <m/>
    <s v="34.771.518/0001-40"/>
    <s v="INNOVAPHARMA BRASIL FARMACEUTICA LTDA"/>
    <s v="neto.luiz@nutriex.com.br"/>
    <s v="6291105300"/>
    <s v="6232728924"/>
    <s v="74850545"/>
    <s v="BRASIL"/>
    <s v="505"/>
    <s v="QUADRAAREA LOTE 01 GALPAO01"/>
    <s v="JD DA LUZ"/>
    <s v="Goiânia"/>
    <s v="GO"/>
    <s v="Filial(São Paulo)"/>
    <s v="RH Leadership Xperience 2026 - Ingresso Explorer"/>
    <m/>
    <m/>
    <m/>
    <s v="ae1d3a88570e9642e4e0c20c510d92db"/>
    <m/>
    <s v="Nao"/>
    <x v="0"/>
    <m/>
    <s v="26/03/2026"/>
    <m/>
    <m/>
    <m/>
    <m/>
    <s v="KAM"/>
    <s v="18/04/2024"/>
    <s v="ID-34771518000140"/>
    <s v="Pago"/>
    <m/>
    <x v="0"/>
  </r>
  <r>
    <s v="COM69AB1B9D77E31"/>
    <n v="244231"/>
    <s v="06/03/2026 15:23"/>
    <x v="2"/>
    <m/>
    <s v="06/03/2026"/>
    <s v="Aprovado"/>
    <n v="1"/>
    <n v="1"/>
    <n v="0"/>
    <m/>
    <n v="0"/>
    <s v=""/>
    <s v="Cortesia"/>
    <s v="cortesia"/>
    <s v="RH Leadership Xperience 2026 - Ingresso Explorer"/>
    <s v="evento-rh-ed1a26_explorer"/>
    <s v="Fernanda Oliveira Vieira"/>
    <s v="45723635875"/>
    <m/>
    <m/>
    <s v="fernanda.vieira1@gerdau.com.br"/>
    <s v="5511959345400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7a46912f84692ee6d8333cf465683086"/>
    <m/>
    <s v="Nao"/>
    <x v="4"/>
    <m/>
    <s v="26/03/2026"/>
    <m/>
    <m/>
    <m/>
    <m/>
    <s v="KAM"/>
    <m/>
    <s v="ID-45723635875"/>
    <m/>
    <m/>
    <x v="1"/>
  </r>
  <r>
    <s v="COM69AAEFCC20F65"/>
    <n v="244214"/>
    <s v="06/03/2026 12:16"/>
    <x v="2"/>
    <m/>
    <m/>
    <s v="Aprovado"/>
    <n v="2"/>
    <n v="1"/>
    <n v="0"/>
    <m/>
    <n v="0"/>
    <s v=""/>
    <s v="Cortesia"/>
    <s v="cortesia"/>
    <s v="RH Leadership Xperience 2026 - Ingresso Explorer"/>
    <s v="evento-rh-ed1a26_explorer"/>
    <s v="Andrew Taniguchi"/>
    <m/>
    <s v="05.036.532/0001-00"/>
    <s v="CENTRAL DAS COOPERATIVAS DE CREDITO UNICOOB"/>
    <s v="andrew.taniguchi@sicoob.com.br"/>
    <s v="44999767606"/>
    <s v="4430327700"/>
    <s v="87020025"/>
    <s v="DUQUE DE CAXIAS"/>
    <s v="882"/>
    <s v="SLJ 02"/>
    <s v="NOVO CENTRO"/>
    <s v="Maringá"/>
    <s v="PR"/>
    <s v="Filial(São Paulo)"/>
    <s v="SICOOB - Central Unicoob"/>
    <m/>
    <m/>
    <m/>
    <s v="6be2bae0017ef099910399a2eac980f5"/>
    <m/>
    <s v="Nao"/>
    <x v="10"/>
    <m/>
    <s v="26/03/2026"/>
    <m/>
    <m/>
    <m/>
    <m/>
    <s v="KAM"/>
    <s v="10/01/2018"/>
    <s v="ID-05036532000100"/>
    <m/>
    <m/>
    <x v="1"/>
  </r>
  <r>
    <s v="COM69AAEC3028841"/>
    <n v="244213"/>
    <s v="06/03/2026 12:01"/>
    <x v="2"/>
    <m/>
    <m/>
    <s v="Aprovado"/>
    <n v="1"/>
    <n v="1"/>
    <n v="0"/>
    <m/>
    <n v="0"/>
    <s v=""/>
    <s v="Cortesia"/>
    <s v="cortesia"/>
    <s v="AI para Negócios - Imersão Presencial - 13 e 14 de Abril de 2026"/>
    <s v="imersao-presencial-de-ai-ed6a26"/>
    <s v="Juliana Kudaka"/>
    <m/>
    <s v="48.539.407/0001-18"/>
    <s v="BASF SA"/>
    <s v="juliana.kudaka@basf.com"/>
    <s v="11949699077"/>
    <s v="1120392273"/>
    <s v="04794000"/>
    <s v="DAS NACOES UNIDAS"/>
    <s v="14171"/>
    <m/>
    <s v="VILA GERTRUDES"/>
    <s v="São Paulo"/>
    <s v="SP"/>
    <s v="Filial(São Paulo)"/>
    <s v="Juliana Kudaka"/>
    <m/>
    <m/>
    <m/>
    <s v="1d6795f461d1d267a176562170bf8063"/>
    <m/>
    <s v="Nao"/>
    <x v="10"/>
    <m/>
    <s v="13/04/2026"/>
    <m/>
    <m/>
    <m/>
    <m/>
    <s v="KAM"/>
    <s v="01/02/2018"/>
    <s v="ID-48539407000118"/>
    <m/>
    <m/>
    <x v="1"/>
  </r>
  <r>
    <s v="COM69A9EA7B95E11"/>
    <n v="244168"/>
    <s v="05/03/2026 17:41"/>
    <x v="2"/>
    <m/>
    <s v="06/03/2026"/>
    <s v="Aprovado"/>
    <n v="1"/>
    <n v="1"/>
    <n v="45000"/>
    <m/>
    <n v="42232.5"/>
    <s v=""/>
    <s v="TED"/>
    <s v="ted"/>
    <s v="John Deere | Palestra Gustavo Bodra"/>
    <s v="corporate-palestra-ed12a26"/>
    <s v="BEATRIZ CARVALHO"/>
    <m/>
    <s v="89.674.782/0004-09"/>
    <s v="JOHN DEERE BRASIL LTDA"/>
    <s v="CarvalhoBeatrizR@JohnDeere.com"/>
    <s v="19971079043"/>
    <s v="5130225550"/>
    <s v="13337300"/>
    <s v="ENGENHEIRO ERMENIO DE OLIVEIRA PENTEADO (SP - 075)"/>
    <s v="S/N"/>
    <s v="KM 57.5 TORRES 1 2 E 3"/>
    <s v="HELVETIA"/>
    <s v="Indaiatuba"/>
    <s v="SP"/>
    <s v="Filial(São Paulo)"/>
    <s v="John Deere | Palestra Gustavo Bodra"/>
    <m/>
    <m/>
    <m/>
    <s v="8872962fe2bae46795acf841275ad096"/>
    <m/>
    <s v="Nao"/>
    <x v="6"/>
    <m/>
    <s v="19/03/2026"/>
    <m/>
    <m/>
    <m/>
    <m/>
    <s v="KAM"/>
    <s v="09/05/2022"/>
    <s v="ID-89674782000409"/>
    <s v="Pago"/>
    <m/>
    <x v="0"/>
  </r>
  <r>
    <s v="COM69A9BFCB00966"/>
    <n v="244150"/>
    <s v="05/03/2026 14:39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Aliny Alves Katsutani"/>
    <s v="27028743802"/>
    <m/>
    <m/>
    <s v="alinykatsutani4@gmail.com"/>
    <s v="5511991895394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c7dee05c784c8379a317efc429202df9"/>
    <m/>
    <s v="Nao"/>
    <x v="8"/>
    <m/>
    <s v="26/03/2026"/>
    <m/>
    <m/>
    <m/>
    <m/>
    <s v="KAM"/>
    <s v="26/02/2022"/>
    <s v="ID-27028743802"/>
    <m/>
    <m/>
    <x v="1"/>
  </r>
  <r>
    <s v="COM69A9BF4209FA5"/>
    <n v="244149"/>
    <s v="05/03/2026 14:3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LEITON ALVES DE JESUS"/>
    <s v="89971116120"/>
    <m/>
    <m/>
    <s v="cjesus@id-logistics.com"/>
    <s v="5511940401092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06f4f86fa5b3a2ebad685bf46b9facf5"/>
    <m/>
    <s v="Nao"/>
    <x v="3"/>
    <m/>
    <s v="26/03/2026"/>
    <m/>
    <m/>
    <m/>
    <m/>
    <s v="KAM"/>
    <s v="02/10/2019"/>
    <s v="ID-89971116120"/>
    <m/>
    <m/>
    <x v="1"/>
  </r>
  <r>
    <s v="COM69A9BD6001B87"/>
    <n v="244145"/>
    <s v="05/03/2026 14:29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aroline Toshie Hara"/>
    <s v="29880682831"/>
    <m/>
    <m/>
    <s v="Caroline_Hara@honda.com.br"/>
    <s v="5511999999999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62e68b01514cf8afaec7dfe0dd02caab"/>
    <m/>
    <s v="Nao"/>
    <x v="4"/>
    <m/>
    <s v="26/03/2026"/>
    <m/>
    <m/>
    <m/>
    <m/>
    <s v="KAM"/>
    <s v="14/09/2018"/>
    <s v="ID-29880682831"/>
    <m/>
    <m/>
    <x v="1"/>
  </r>
  <r>
    <s v="COM69A9BAD56A92F"/>
    <n v="244137"/>
    <s v="05/03/2026 14:18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RAFAELA DAMASCENO MARTINS DE ABREU"/>
    <s v="09241991640"/>
    <m/>
    <m/>
    <s v="rafaela.abreu@grupofleury.com.br"/>
    <s v="5531984862105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69c597103c04ed3af0ba5329194a1002"/>
    <m/>
    <s v="Nao"/>
    <x v="8"/>
    <m/>
    <s v="26/03/2026"/>
    <m/>
    <m/>
    <m/>
    <m/>
    <s v="KAM"/>
    <m/>
    <s v="ID-09241991640"/>
    <m/>
    <m/>
    <x v="1"/>
  </r>
  <r>
    <s v="COM69A9B7BD5D968"/>
    <n v="244136"/>
    <s v="05/03/2026 14:05"/>
    <x v="2"/>
    <m/>
    <s v="05/03/2026"/>
    <s v="Aprovado"/>
    <n v="1"/>
    <n v="1"/>
    <n v="0"/>
    <m/>
    <n v="0"/>
    <s v=""/>
    <s v="Cortesia"/>
    <s v="cortesia"/>
    <s v="Executive Program - 23 a 25 de Março de 2026"/>
    <s v="executive-program-ed3a26"/>
    <s v="Suyane Kanitz Ricci"/>
    <s v="86224735115"/>
    <m/>
    <m/>
    <s v="sricci@senaicni.com.br"/>
    <s v="556133171141"/>
    <m/>
    <s v="04578-910"/>
    <s v="Avenida das Nações Unidas 12901"/>
    <s v="12901"/>
    <m/>
    <s v="Brooklin Paulista"/>
    <s v="São Paulo"/>
    <s v="SP"/>
    <s v="Filial(São Paulo)"/>
    <s v="Executive Program - 23 a 25 de Março de 2026"/>
    <m/>
    <m/>
    <m/>
    <s v="94db2b0f00d877006192de5b87402915"/>
    <m/>
    <s v="Nao"/>
    <x v="2"/>
    <m/>
    <s v="23/03/2026"/>
    <m/>
    <m/>
    <m/>
    <m/>
    <s v="KAM"/>
    <m/>
    <s v="ID-86224735115"/>
    <m/>
    <m/>
    <x v="1"/>
  </r>
  <r>
    <s v="COM69A9B6ED8D80F"/>
    <n v="244134"/>
    <s v="05/03/2026 14:01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RAFAELA DAMASCENO MARTINS DE ABREU"/>
    <s v="09241991640"/>
    <m/>
    <m/>
    <s v="rafaela.abreu@grupofleury.com.br"/>
    <s v="5531984862105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bfdc991567abfc6a7fb616763f25c008"/>
    <m/>
    <s v="Nao"/>
    <x v="8"/>
    <m/>
    <s v="26/03/2026"/>
    <m/>
    <m/>
    <m/>
    <m/>
    <s v="KAM"/>
    <m/>
    <s v="ID-09241991640"/>
    <m/>
    <m/>
    <x v="1"/>
  </r>
  <r>
    <s v="COM69A8D212E1572"/>
    <n v="244095"/>
    <s v="04/03/2026 21:45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anaina Tobita"/>
    <m/>
    <s v="59.456.277/0001-76"/>
    <s v="ORACLE DO BRASIL SISTEMAS LTDA"/>
    <s v="janaina.tobita@oracle.com"/>
    <s v="11997543233"/>
    <s v="1133331817"/>
    <s v="04710090"/>
    <s v="DR JOSE AUREO BUSTAMANTE"/>
    <s v="455"/>
    <s v="ANEXO MORUMBI BUSINESS CEN"/>
    <s v="SANTO AMARO"/>
    <s v="São Paulo"/>
    <s v="SP"/>
    <s v="Filial(São Paulo)"/>
    <s v="Oracle"/>
    <m/>
    <m/>
    <m/>
    <s v="5b2958ae5c5cd7061655169860179d53"/>
    <m/>
    <s v="Nao"/>
    <x v="10"/>
    <m/>
    <s v="26/03/2026"/>
    <m/>
    <m/>
    <m/>
    <m/>
    <s v="KAM"/>
    <s v="19/03/2021"/>
    <s v="ID-59456277000176"/>
    <m/>
    <m/>
    <x v="1"/>
  </r>
  <r>
    <s v="COM69A8CFBF1B9AA"/>
    <n v="244094"/>
    <s v="04/03/2026 21:35"/>
    <x v="2"/>
    <m/>
    <s v="04/03/2026"/>
    <s v="Aprovado"/>
    <n v="1"/>
    <n v="1"/>
    <n v="0"/>
    <m/>
    <n v="0"/>
    <s v=""/>
    <s v="Cortesia"/>
    <s v="cortesia"/>
    <s v="Executive Program - 23 a 25 de Março de 2026"/>
    <s v="executive-program-ed3a26"/>
    <s v="TERESA CRISTINA MOTA LOPES"/>
    <s v="00560710780"/>
    <m/>
    <m/>
    <s v="teresa.cristina@sotreq.com.br"/>
    <s v="21981248164"/>
    <m/>
    <s v="22793312"/>
    <s v="AVENIDA CANDIDO PORTINARI"/>
    <s v="60"/>
    <s v="502 BLOCO 2"/>
    <s v="BARRA DA TIJUCA"/>
    <s v="RIO DE JANEIRO"/>
    <s v="RJ"/>
    <s v="Filial(São Paulo)"/>
    <s v="Sotreq"/>
    <m/>
    <m/>
    <m/>
    <s v="820c2e2ec1cc64eacaf9eb87d69986cf"/>
    <m/>
    <s v="Nao"/>
    <x v="10"/>
    <m/>
    <s v="23/03/2026"/>
    <m/>
    <m/>
    <m/>
    <m/>
    <s v="KAM"/>
    <s v="07/02/2024"/>
    <s v="ID-00560710780"/>
    <m/>
    <m/>
    <x v="1"/>
  </r>
  <r>
    <s v="COM69A89C754083F"/>
    <n v="244074"/>
    <s v="04/03/2026 17:56"/>
    <x v="2"/>
    <m/>
    <s v="05/03/2026"/>
    <s v="Aprovado"/>
    <n v="1"/>
    <n v="1"/>
    <n v="51496.06"/>
    <s v="Boleto Bradesco"/>
    <n v="48329.05"/>
    <s v=""/>
    <s v="Boleto"/>
    <s v="boleto"/>
    <s v="XBS 2025 - Impulso Bayer Academy"/>
    <s v="impulso-bayer-ed4a25"/>
    <s v="Luiza Picoli Donato"/>
    <m/>
    <s v="19.208.148/0001-44"/>
    <s v="CAMBAI INDUSTRIA DE SEMENTES LTDA."/>
    <s v="luiza.donato@cambai.com.br"/>
    <s v="5596468927"/>
    <s v="5533529200"/>
    <s v="97800000"/>
    <s v="RINCAO DE SAO PEDRO"/>
    <s v="SN"/>
    <m/>
    <s v="INTERIOR"/>
    <s v="São Luiz Gonzaga"/>
    <s v="RS"/>
    <s v="Filial(São Paulo)"/>
    <s v="Impulso Bayer Academy - XBS [Luiza Picoli Donato]"/>
    <m/>
    <m/>
    <m/>
    <s v="67c5658eaaf25ce5abdffb11a70ca8fe"/>
    <m/>
    <s v="Nao"/>
    <x v="10"/>
    <m/>
    <s v="11/09/2025"/>
    <m/>
    <m/>
    <m/>
    <m/>
    <s v="KAM"/>
    <s v="11/07/2022"/>
    <s v="ID-19208148000144"/>
    <s v="Aguardando recebimento"/>
    <m/>
    <x v="3"/>
  </r>
  <r>
    <s v="COM69A885AA20B49"/>
    <n v="244053"/>
    <s v="04/03/2026 16:19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amila Lopes da Silva"/>
    <s v="32528964862"/>
    <m/>
    <m/>
    <s v="Camila.lopes@frigol.com.br"/>
    <s v="5514981250702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a3e2373c44a79eb0ac0eefb983486b91"/>
    <m/>
    <s v="Nao"/>
    <x v="5"/>
    <m/>
    <s v="26/03/2026"/>
    <m/>
    <m/>
    <m/>
    <m/>
    <s v="KAM"/>
    <s v="27/03/2026"/>
    <s v="ID-32528964862"/>
    <m/>
    <m/>
    <x v="1"/>
  </r>
  <r>
    <s v="COM69A88417EAC50"/>
    <n v="244052"/>
    <s v="04/03/2026 16:12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Fabiana Ferreira de Morais Brito"/>
    <s v="22349135861"/>
    <m/>
    <m/>
    <s v="fabiana.brito@grupovamos.com.br"/>
    <s v="5511956829385"/>
    <m/>
    <s v="04578-910"/>
    <s v="Avenida das Nações Unidas 12901"/>
    <s v="04578-910"/>
    <m/>
    <s v="Brooklin Paulista"/>
    <s v="São Paulo"/>
    <s v="SP"/>
    <s v="Filial(São Paulo)"/>
    <s v="RH Leadership Xperience 2026 - Ingresso Platinum"/>
    <m/>
    <m/>
    <m/>
    <s v="ea22eb006d60406aa54743fb6cd22f02"/>
    <m/>
    <s v="Nao"/>
    <x v="5"/>
    <m/>
    <s v="26/03/2026"/>
    <m/>
    <m/>
    <m/>
    <m/>
    <s v="KAM"/>
    <m/>
    <s v="ID-22349135861"/>
    <m/>
    <m/>
    <x v="1"/>
  </r>
  <r>
    <s v="COM69A8836D970D0"/>
    <n v="244051"/>
    <s v="04/03/2026 16:09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Miguel Francisco Jerez Soler"/>
    <s v="21488119830"/>
    <m/>
    <m/>
    <s v="miguel.soler@grupovamos.com.br"/>
    <s v="5511993416764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90441a34cf6e866898a92cef7de8a0d9"/>
    <m/>
    <s v="Nao"/>
    <x v="5"/>
    <m/>
    <s v="26/03/2026"/>
    <m/>
    <m/>
    <m/>
    <m/>
    <s v="KAM"/>
    <m/>
    <s v="ID-21488119830"/>
    <m/>
    <m/>
    <x v="1"/>
  </r>
  <r>
    <s v="COM69A880C140A0C"/>
    <n v="244049"/>
    <s v="04/03/2026 15:58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úlia Vannucci"/>
    <m/>
    <s v="33.009.911/0001-39"/>
    <s v="SOUZA CRUZ LTDA"/>
    <s v="julia_vannucci@bat.com"/>
    <s v="21988911020"/>
    <s v="2138499047"/>
    <s v="20031170"/>
    <s v="REPUBLICA DO CHILE"/>
    <s v="330"/>
    <s v="BLOCO 1 SALA 3001 SALA 3101"/>
    <s v="CENTRO"/>
    <s v="Rio de Janeiro"/>
    <s v="RJ"/>
    <s v="Filial(São Paulo)"/>
    <s v="BAT"/>
    <m/>
    <m/>
    <m/>
    <s v="77c74c1a80311741f6430418b3f82eec"/>
    <m/>
    <s v="Nao"/>
    <x v="10"/>
    <m/>
    <s v="26/03/2026"/>
    <m/>
    <m/>
    <m/>
    <m/>
    <s v="KAM"/>
    <s v="07/05/2018"/>
    <s v="ID-33009911000139"/>
    <m/>
    <m/>
    <x v="1"/>
  </r>
  <r>
    <s v="COM69A8801A407C1"/>
    <n v="244048"/>
    <s v="04/03/2026 15:55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Ana Ferraz"/>
    <m/>
    <s v="01.844.555/0001-82"/>
    <s v="CNH INDUSTRIAL BRASIL LTDA."/>
    <s v="ana.ferraz@cnh.com"/>
    <s v="15997544577"/>
    <s v="3121043392"/>
    <s v="34006049"/>
    <s v="OSCAR NIEMEYER"/>
    <s v="132"/>
    <s v="SALA 801"/>
    <s v="VALE DO SERENO"/>
    <s v="Nova Lima"/>
    <s v="MG"/>
    <s v="Filial(São Paulo)"/>
    <s v="CNH"/>
    <m/>
    <m/>
    <m/>
    <s v="1bda80b6d386ac0320ee5d83a1ba6b84"/>
    <m/>
    <s v="Nao"/>
    <x v="10"/>
    <m/>
    <s v="26/03/2026"/>
    <m/>
    <m/>
    <m/>
    <m/>
    <s v="KAM"/>
    <s v="28/06/2024"/>
    <s v="ID-01844555000182"/>
    <m/>
    <m/>
    <x v="1"/>
  </r>
  <r>
    <s v="COM69A87BBA232D7"/>
    <n v="244040"/>
    <s v="04/03/2026 15:36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Mariana Maykot Fagnani"/>
    <s v="22635644896"/>
    <m/>
    <m/>
    <s v="Mariana.fagnani@givaudan.com"/>
    <s v="5511956582075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8497354f942fc5ae939c6088b4cf54eb"/>
    <m/>
    <s v="Nao"/>
    <x v="8"/>
    <m/>
    <s v="26/03/2026"/>
    <m/>
    <m/>
    <m/>
    <m/>
    <s v="KAM"/>
    <m/>
    <s v="ID-22635644896"/>
    <m/>
    <m/>
    <x v="1"/>
  </r>
  <r>
    <s v="COM69A87B0103F64"/>
    <n v="244039"/>
    <s v="04/03/2026 15:33"/>
    <x v="2"/>
    <m/>
    <m/>
    <s v="Aprovado"/>
    <n v="2"/>
    <n v="1"/>
    <n v="0"/>
    <m/>
    <n v="0"/>
    <s v=""/>
    <s v="Cortesia"/>
    <s v="cortesia"/>
    <s v="RH Leadership Xperience 2026 - Ingresso Explorer"/>
    <s v="evento-rh-ed1a26_explorer"/>
    <s v="Ana Paula Zámolyi"/>
    <s v="02878580737"/>
    <m/>
    <m/>
    <s v="Ana.zamolyi@givaudan.com"/>
    <s v="5511996126278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50a7face47d4f820059aa0004ae72182"/>
    <m/>
    <s v="Nao"/>
    <x v="8"/>
    <m/>
    <s v="26/03/2026"/>
    <m/>
    <m/>
    <m/>
    <m/>
    <s v="KAM"/>
    <m/>
    <s v="ID-02878580737"/>
    <m/>
    <m/>
    <x v="1"/>
  </r>
  <r>
    <s v="COM69A8798271581"/>
    <n v="244036"/>
    <s v="04/03/2026 15:27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Flávia Grazia"/>
    <s v="32845469870"/>
    <m/>
    <m/>
    <s v="flavia.grazia@aon.com"/>
    <s v="5511972551590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14ec5957c1d0e7858adbcd742ef68800"/>
    <m/>
    <s v="Nao"/>
    <x v="4"/>
    <m/>
    <s v="26/03/2026"/>
    <m/>
    <m/>
    <m/>
    <m/>
    <s v="KAM"/>
    <m/>
    <s v="ID-32845469870"/>
    <m/>
    <m/>
    <x v="1"/>
  </r>
  <r>
    <s v="COM69A834FD8AD03"/>
    <n v="243993"/>
    <s v="04/03/2026 10:34"/>
    <x v="2"/>
    <m/>
    <m/>
    <s v="Aprovado"/>
    <n v="5"/>
    <n v="1"/>
    <n v="0"/>
    <m/>
    <n v="0"/>
    <s v=""/>
    <s v="Cortesia"/>
    <s v="cortesia"/>
    <s v="RH Leadership Xperience 2026 - Ingresso Explorer"/>
    <s v="evento-rh-ed1a26_explorer"/>
    <s v="Janaina Tobita"/>
    <m/>
    <s v="59.456.277/0001-76"/>
    <s v="ORACLE DO BRASIL SISTEMAS LTDA"/>
    <s v="janaina.tobita@oracle.com"/>
    <s v="11997543233"/>
    <s v="1133331817"/>
    <s v="04710090"/>
    <s v="DR JOSE AUREO BUSTAMANTE"/>
    <s v="455"/>
    <s v="ANEXO MORUMBI BUSINESS CEN"/>
    <s v="SANTO AMARO"/>
    <s v="São Paulo"/>
    <s v="SP"/>
    <s v="Filial(São Paulo)"/>
    <s v="Oracle"/>
    <m/>
    <m/>
    <m/>
    <s v="408adcc21765f3c7e6009b1efdb2d08c"/>
    <m/>
    <s v="Nao"/>
    <x v="10"/>
    <m/>
    <s v="26/03/2026"/>
    <m/>
    <m/>
    <m/>
    <m/>
    <s v="KAM"/>
    <s v="19/03/2021"/>
    <s v="ID-59456277000176"/>
    <m/>
    <m/>
    <x v="1"/>
  </r>
  <r>
    <s v="COM69A817E66FDFE"/>
    <n v="243971"/>
    <s v="04/03/2026 08:30"/>
    <x v="2"/>
    <m/>
    <m/>
    <s v="Aprovado"/>
    <n v="2"/>
    <n v="1"/>
    <n v="0"/>
    <m/>
    <n v="0"/>
    <s v=""/>
    <s v="Cortesia"/>
    <s v="cortesia"/>
    <s v="AI para Negócios - Imersão Presencial -  30 e 31 de Março de 2026"/>
    <s v="imersao-presencial-de-ai-ed5a26"/>
    <s v="Renata Kohama"/>
    <m/>
    <s v="22.896.431/0001-10"/>
    <s v="PICPAY INSTITUICAO DE PAGAMENTO S/A"/>
    <s v="renata.kohama@picpay.com"/>
    <s v="11993310456"/>
    <s v="2731800382"/>
    <s v="05317020"/>
    <s v="MANUEL BANDEIRA"/>
    <s v="291"/>
    <s v="44B"/>
    <s v="VILA LEOPOLDINA"/>
    <s v="São Paulo"/>
    <s v="SP"/>
    <s v="Filial(São Paulo)"/>
    <s v="PicPay"/>
    <m/>
    <m/>
    <m/>
    <s v="e1c6740d1ad2adf47679efb7a3d4ed4a"/>
    <m/>
    <s v="Nao"/>
    <x v="10"/>
    <m/>
    <s v="30/03/2026"/>
    <m/>
    <m/>
    <m/>
    <m/>
    <s v="KAM"/>
    <s v="30/08/2019"/>
    <s v="ID-22896431000110"/>
    <m/>
    <m/>
    <x v="1"/>
  </r>
  <r>
    <s v="COM69A74682DC3B6"/>
    <n v="243946"/>
    <s v="03/03/2026 17:37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Juliana Arrais Minasi"/>
    <s v="01415847185"/>
    <m/>
    <m/>
    <s v="juliana.arrais@innovapharma.com"/>
    <s v="556281383332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f5a71685de64df25c104342b6720ae1f"/>
    <m/>
    <s v="Nao"/>
    <x v="0"/>
    <m/>
    <s v="26/03/2026"/>
    <m/>
    <m/>
    <m/>
    <m/>
    <s v="KAM"/>
    <m/>
    <s v="ID-01415847185"/>
    <m/>
    <m/>
    <x v="1"/>
  </r>
  <r>
    <s v="COM69A7294C9F725"/>
    <n v="243929"/>
    <s v="03/03/2026 15:32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Patricia Graff Favero"/>
    <s v="06439121936"/>
    <m/>
    <m/>
    <s v="patricia.graff@copacol.com.br"/>
    <s v="5546988186625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51c9acf9904e1957c564feb2d1e95dec"/>
    <m/>
    <s v="Nao"/>
    <x v="4"/>
    <m/>
    <s v="26/03/2026"/>
    <m/>
    <m/>
    <m/>
    <m/>
    <s v="KAM"/>
    <m/>
    <s v="ID-06439121936"/>
    <m/>
    <m/>
    <x v="1"/>
  </r>
  <r>
    <s v="COM69A71FD37AC47"/>
    <n v="243923"/>
    <s v="03/03/2026 14:52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Fábio Lacerda"/>
    <s v="16752271879"/>
    <m/>
    <m/>
    <s v="fabio.lacerda@dasa.com.br"/>
    <s v="5511960512731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0d26fb270bca57cc8d10c76fd3eac863"/>
    <m/>
    <s v="Nao"/>
    <x v="0"/>
    <m/>
    <s v="26/03/2026"/>
    <m/>
    <m/>
    <m/>
    <m/>
    <s v="KAM"/>
    <m/>
    <s v="ID-16752271879"/>
    <m/>
    <m/>
    <x v="1"/>
  </r>
  <r>
    <s v="COM69A71E8AAD742"/>
    <n v="243920"/>
    <s v="03/03/2026 14:46"/>
    <x v="2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Osvaldo Luiz Nogueira da Silva"/>
    <s v="00621474126"/>
    <m/>
    <m/>
    <s v="osvaldo.lns@gmail.com"/>
    <s v="5511993260196"/>
    <m/>
    <s v="04578-910"/>
    <s v="Avenida das Nações Unidas 12901"/>
    <s v="12901"/>
    <m/>
    <s v="Brooklin Paulista"/>
    <s v="São Paulo"/>
    <s v="SP"/>
    <s v="Filial(São Paulo)"/>
    <s v="RH Leadership Xperience 2026 - Ingresso Platinum"/>
    <m/>
    <m/>
    <m/>
    <s v="485c54e0242cf2eda255c00023da0b8b"/>
    <m/>
    <s v="Nao"/>
    <x v="11"/>
    <m/>
    <s v="26/03/2026"/>
    <m/>
    <m/>
    <m/>
    <m/>
    <s v="KAM"/>
    <m/>
    <s v="ID-00621474126"/>
    <m/>
    <m/>
    <x v="1"/>
  </r>
  <r>
    <s v="COM69A5FF3813400"/>
    <n v="243857"/>
    <s v="02/03/2026 18:20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Carlos Frederico costa cavalcante"/>
    <s v="81604793104"/>
    <m/>
    <m/>
    <s v="ccavalcante@brasal.com.br"/>
    <s v="556181861556"/>
    <m/>
    <s v="04578-910"/>
    <s v="Avenida das Nações Unidas 12901"/>
    <s v="12901"/>
    <m/>
    <s v="Brooklin Paulista"/>
    <s v="São Paulo"/>
    <s v="SP"/>
    <s v="Filial(São Paulo)"/>
    <s v="RH Leadership Xperience 2026 - Ingresso Explorer"/>
    <m/>
    <m/>
    <m/>
    <s v="69cfbac350f55ab042306048acd153b9"/>
    <m/>
    <s v="Nao"/>
    <x v="4"/>
    <m/>
    <s v="26/03/2026"/>
    <m/>
    <m/>
    <m/>
    <m/>
    <s v="KAM"/>
    <s v="12/08/2025"/>
    <s v="ID-81604793104"/>
    <m/>
    <m/>
    <x v="1"/>
  </r>
  <r>
    <s v="COM69A5DD089F3DF"/>
    <n v="243836"/>
    <s v="02/03/2026 15:55"/>
    <x v="2"/>
    <m/>
    <m/>
    <s v="Aprovado"/>
    <n v="2"/>
    <n v="1"/>
    <n v="0"/>
    <m/>
    <n v="0"/>
    <s v=""/>
    <s v="Cortesia"/>
    <s v="cortesia"/>
    <s v="RH Leadership Xperience 2026 - Ingresso Explorer"/>
    <s v="evento-rh-ed1a26_explorer"/>
    <s v="Ana Ferrarezi"/>
    <s v="34532764858"/>
    <m/>
    <m/>
    <s v="Ana.Ferrarezi@JDEcoffee.com"/>
    <s v="5511991806690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cd3c66e9e76a4acab71a8a54b5ecc6d3"/>
    <m/>
    <s v="Nao"/>
    <x v="4"/>
    <m/>
    <s v="26/03/2026"/>
    <m/>
    <m/>
    <m/>
    <m/>
    <s v="KAM"/>
    <m/>
    <s v="ID-34532764858"/>
    <m/>
    <m/>
    <x v="1"/>
  </r>
  <r>
    <s v="COM69A5DC2E5AF18"/>
    <n v="243835"/>
    <s v="02/03/2026 15:51"/>
    <x v="2"/>
    <m/>
    <m/>
    <s v="Aprovado"/>
    <n v="2"/>
    <n v="1"/>
    <n v="0"/>
    <m/>
    <n v="0"/>
    <s v=""/>
    <s v="Cortesia"/>
    <s v="cortesia"/>
    <s v="RH Leadership Xperience 2026 - Ingresso Explorer"/>
    <s v="evento-rh-ed1a26_explorer"/>
    <s v="ELIANE ZUIN LOPES DA SILVA"/>
    <s v="34398497838"/>
    <m/>
    <m/>
    <s v="eliane.lopes@claro.com.br"/>
    <s v="5511966083978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047dbccd2ef33b9567ef9abecfd63ef8"/>
    <m/>
    <s v="Nao"/>
    <x v="4"/>
    <m/>
    <s v="26/03/2026"/>
    <m/>
    <m/>
    <m/>
    <m/>
    <s v="KAM"/>
    <s v="21/01/2022"/>
    <s v="ID-34398497838"/>
    <m/>
    <m/>
    <x v="1"/>
  </r>
  <r>
    <s v="COM69A5D730185F7"/>
    <n v="243830"/>
    <s v="02/03/2026 15:30"/>
    <x v="2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CAMILA DE MATTOS LOFF"/>
    <s v="83866930020"/>
    <m/>
    <m/>
    <s v="camilaloff@gmail.com"/>
    <s v="5511963688664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f845c3940da83172d7c1dc6d7dadf1d5"/>
    <m/>
    <s v="Nao"/>
    <x v="11"/>
    <m/>
    <s v="26/03/2026"/>
    <m/>
    <m/>
    <m/>
    <m/>
    <s v="KAM"/>
    <m/>
    <s v="ID-83866930020"/>
    <m/>
    <m/>
    <x v="1"/>
  </r>
  <r>
    <s v="COM69A5D5555782D"/>
    <n v="243828"/>
    <s v="02/03/2026 15:22"/>
    <x v="2"/>
    <m/>
    <m/>
    <s v="Aprovado"/>
    <n v="2"/>
    <n v="1"/>
    <n v="0"/>
    <m/>
    <n v="0"/>
    <s v=""/>
    <s v="Cortesia"/>
    <s v="cortesia"/>
    <s v="RH Leadership Xperience 2026 - Ingresso Platinum"/>
    <s v="evento-rh-ed1a26_platinum"/>
    <s v="Barbara Ferreira Tamietti"/>
    <s v="01567082645"/>
    <m/>
    <m/>
    <s v="Barbara.tamietti@decathlon.com"/>
    <s v="5531994204555"/>
    <m/>
    <s v="04578-910"/>
    <s v="Avenida das Nações Unidas"/>
    <s v="12901"/>
    <m/>
    <s v="Brooklin Paulista"/>
    <s v="São Paulo"/>
    <s v="SP"/>
    <s v="Filial(São Paulo)"/>
    <s v="RH Leadership Xperience 2026 - Ingresso Platinum"/>
    <m/>
    <m/>
    <m/>
    <s v="bec57e65f1ad8b4de8782dd9fb872615"/>
    <m/>
    <s v="Nao"/>
    <x v="3"/>
    <m/>
    <s v="26/03/2026"/>
    <m/>
    <m/>
    <m/>
    <m/>
    <s v="KAM"/>
    <m/>
    <s v="ID-01567082645"/>
    <m/>
    <m/>
    <x v="1"/>
  </r>
  <r>
    <s v="ORDZNT1DZRVWD82B"/>
    <n v="243782"/>
    <s v="02/03/2026 09:41"/>
    <x v="2"/>
    <m/>
    <s v="02/03/2026"/>
    <s v="Aprovado"/>
    <n v="1"/>
    <n v="0"/>
    <n v="0"/>
    <m/>
    <n v="0"/>
    <m/>
    <s v="Cortesia"/>
    <s v="cortesia"/>
    <s v="AI for Leaders - 2026"/>
    <s v="ai-for-leaders-ed1a26"/>
    <s v="Miguel de Lima Carnio"/>
    <s v="15762295648"/>
    <m/>
    <m/>
    <s v="miguel.carnio01@gmail.com"/>
    <s v="35999767153"/>
    <m/>
    <s v="13183255"/>
    <s v="Avenida Thereza Ana Cecon Breda"/>
    <s v="1"/>
    <m/>
    <s v="Jardim das Colinas"/>
    <s v="Hortolândia"/>
    <s v="SP"/>
    <s v="Filial(São Paulo)"/>
    <m/>
    <m/>
    <m/>
    <m/>
    <s v="cea1f862e01593b8339ebf84b14d32c0"/>
    <s v="CORTESIAIAFORLEADERS2026"/>
    <s v="Nao"/>
    <x v="0"/>
    <m/>
    <s v="13/01/2026"/>
    <m/>
    <m/>
    <m/>
    <s v="Brasil"/>
    <s v="KAM"/>
    <m/>
    <s v="ID-15762295648"/>
    <m/>
    <m/>
    <x v="1"/>
  </r>
  <r>
    <s v="ORD8AZ0W7YF7EJ44"/>
    <n v="243781"/>
    <s v="02/03/2026 09:40"/>
    <x v="2"/>
    <m/>
    <s v="02/03/2026"/>
    <s v="Aprovado"/>
    <n v="3"/>
    <n v="0"/>
    <n v="0"/>
    <m/>
    <n v="0"/>
    <m/>
    <s v="Cortesia"/>
    <s v="cortesia"/>
    <s v="AI for Leaders - 2026"/>
    <s v="ai-for-leaders-ed1a26"/>
    <s v="Marcelo Henrique Andrade Santos Pereira"/>
    <s v="10313890404"/>
    <m/>
    <m/>
    <s v="marcelo.hsantos@grupomoura.com"/>
    <s v="81992664367"/>
    <m/>
    <s v="55150615"/>
    <s v="Rua Diário de Pernambuco"/>
    <s v="195"/>
    <m/>
    <s v="Edson Mororó Moura"/>
    <s v="Belo Jardim"/>
    <s v="PE"/>
    <s v="Filial(São Paulo)"/>
    <m/>
    <m/>
    <m/>
    <m/>
    <s v="b302cd748873e4ee678d635427c874b8"/>
    <s v="CORTESIAIAFORLEADERS2026"/>
    <s v="Nao"/>
    <x v="0"/>
    <m/>
    <s v="13/01/2026"/>
    <m/>
    <m/>
    <m/>
    <s v="Brasil"/>
    <s v="KAM"/>
    <m/>
    <s v="ID-10313890404"/>
    <m/>
    <m/>
    <x v="1"/>
  </r>
  <r>
    <s v="COM69A20DDB46C58"/>
    <n v="243703"/>
    <s v="27/02/2026 18:34"/>
    <x v="3"/>
    <m/>
    <s v="27/02/2026"/>
    <s v="Aprovado"/>
    <n v="1"/>
    <n v="1"/>
    <n v="66666.66"/>
    <m/>
    <n v="187699.98"/>
    <s v=""/>
    <s v="TED"/>
    <s v="ted"/>
    <s v="AI Sprint - Savencia - SP | pagamento 01"/>
    <s v="consulting-ai-sprint-ed4a26_pagamento-01"/>
    <s v="Leonardo AZEVEDO"/>
    <m/>
    <s v="24.949.232/0001-59"/>
    <s v="POLENGHI INDUSTRIAS ALIMENTICIAS LTDA"/>
    <s v="leonardo.azevedo@savencia.com"/>
    <s v="11972776865"/>
    <s v="1121716900"/>
    <s v="05423911"/>
    <s v="DR FERNANDES COELHO"/>
    <s v="64"/>
    <s v="ANDAR 10. E 11."/>
    <s v="PINHEIROS"/>
    <s v="São Paulo"/>
    <s v="SP"/>
    <s v="Filial(São Paulo)"/>
    <s v="AI Sprint - Savencia - SP"/>
    <m/>
    <m/>
    <m/>
    <s v="4d52552d9901a7ce800775f292bb282c"/>
    <m/>
    <s v="Nao"/>
    <x v="4"/>
    <m/>
    <s v="15/03/2026"/>
    <m/>
    <m/>
    <m/>
    <m/>
    <s v="KAM"/>
    <s v="28/02/2025"/>
    <s v="ID-24949232000159"/>
    <s v="Aguardando recebimento"/>
    <m/>
    <x v="3"/>
  </r>
  <r>
    <s v="COM69A20DDB46C58"/>
    <n v="243703"/>
    <s v="27/02/2026 18:34"/>
    <x v="3"/>
    <m/>
    <s v="27/02/2026"/>
    <s v="Aprovado"/>
    <n v="1"/>
    <n v="1"/>
    <n v="66666.66"/>
    <m/>
    <n v="187699.98"/>
    <s v=""/>
    <s v="TED"/>
    <s v="ted"/>
    <s v="AI Sprint - Savencia - SP | pagamento 02"/>
    <s v="consulting-ai-sprint-ed4a26_pagamento-02"/>
    <s v="Leonardo AZEVEDO"/>
    <m/>
    <s v="24.949.232/0001-59"/>
    <s v="POLENGHI INDUSTRIAS ALIMENTICIAS LTDA"/>
    <s v="leonardo.azevedo@savencia.com"/>
    <s v="11972776865"/>
    <s v="1121716900"/>
    <s v="05423911"/>
    <s v="DR FERNANDES COELHO"/>
    <s v="64"/>
    <s v="ANDAR 10. E 11."/>
    <s v="PINHEIROS"/>
    <s v="São Paulo"/>
    <s v="SP"/>
    <s v="Filial(São Paulo)"/>
    <s v="AI Sprint - Savencia - SP"/>
    <m/>
    <m/>
    <m/>
    <s v="4d52552d9901a7ce800775f292bb282c"/>
    <m/>
    <s v="Nao"/>
    <x v="4"/>
    <m/>
    <s v="15/04/2026"/>
    <m/>
    <m/>
    <m/>
    <m/>
    <s v="KAM"/>
    <s v="28/02/2025"/>
    <s v="ID-24949232000159"/>
    <s v="Aguardando recebimento"/>
    <m/>
    <x v="3"/>
  </r>
  <r>
    <s v="COM69A20DDB46C58"/>
    <n v="243703"/>
    <s v="27/02/2026 18:34"/>
    <x v="3"/>
    <m/>
    <s v="27/02/2026"/>
    <s v="Aprovado"/>
    <n v="1"/>
    <n v="1"/>
    <n v="66666.66"/>
    <m/>
    <n v="187699.98"/>
    <s v=""/>
    <s v="TED"/>
    <s v="ted"/>
    <s v="AI Sprint - Savencia - SP | pagamento 03"/>
    <s v="consulting-ai-sprint-ed4a26_pagamento-03"/>
    <s v="Leonardo AZEVEDO"/>
    <m/>
    <s v="24.949.232/0001-59"/>
    <s v="POLENGHI INDUSTRIAS ALIMENTICIAS LTDA"/>
    <s v="leonardo.azevedo@savencia.com"/>
    <s v="11972776865"/>
    <s v="1121716900"/>
    <s v="05423911"/>
    <s v="DR FERNANDES COELHO"/>
    <s v="64"/>
    <s v="ANDAR 10. E 11."/>
    <s v="PINHEIROS"/>
    <s v="São Paulo"/>
    <s v="SP"/>
    <s v="Filial(São Paulo)"/>
    <s v="AI Sprint - Savencia - SP"/>
    <m/>
    <m/>
    <m/>
    <s v="4d52552d9901a7ce800775f292bb282c"/>
    <m/>
    <s v="Nao"/>
    <x v="4"/>
    <m/>
    <s v="15/05/2026"/>
    <m/>
    <m/>
    <m/>
    <m/>
    <s v="KAM"/>
    <s v="28/02/2025"/>
    <s v="ID-24949232000159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1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4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2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5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3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6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4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7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5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8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6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9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7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10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8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11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09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12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10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1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11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2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75E3FB8D"/>
    <n v="243697"/>
    <s v="27/02/2026 18:06"/>
    <x v="3"/>
    <m/>
    <s v="27/02/2026"/>
    <s v="Aprovado"/>
    <n v="1"/>
    <n v="1"/>
    <n v="10000"/>
    <s v="Boleto Bradesco"/>
    <n v="112620"/>
    <s v=""/>
    <s v="Boleto"/>
    <s v="boleto"/>
    <s v="Renovação Architecture Strategy Advisor - Vip Leilões"/>
    <s v="consulting-ai-advisory-ed5a26_pagamento12"/>
    <s v="Stael Soares"/>
    <m/>
    <s v="08.187.134/0001-75"/>
    <s v="VIP GESTAO E LOGISTICA S.A"/>
    <s v="compras@vipleiloes.com.br"/>
    <s v="8699908558"/>
    <s v="9833348891"/>
    <s v="65095602"/>
    <s v="ENGENHEIRO EMILIANO MACIEIRA"/>
    <s v="01"/>
    <s v="MODULO 01 DISTRITO INDUSTRIAL"/>
    <s v="MARACANA"/>
    <s v="São Luís"/>
    <s v="MA"/>
    <s v="Filial(São Paulo)"/>
    <s v="Renovação Architecture Strategy Advisor - Vip Leilões"/>
    <m/>
    <m/>
    <m/>
    <s v="6a7e8229fa0eea4fc2967737fba92b64"/>
    <m/>
    <s v="Nao"/>
    <x v="0"/>
    <m/>
    <s v="01/03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8/01/2019"/>
    <s v="ID-08187134000175"/>
    <s v="Aguardando recebimento"/>
    <m/>
    <x v="3"/>
  </r>
  <r>
    <s v="COM69A2047EE54AA"/>
    <n v="243693"/>
    <s v="27/02/2026 17:54"/>
    <x v="3"/>
    <m/>
    <s v="27/02/2026"/>
    <s v="Aprovado"/>
    <n v="1"/>
    <n v="1"/>
    <n v="800000"/>
    <m/>
    <n v="750800"/>
    <s v=""/>
    <s v="TED"/>
    <s v="ted"/>
    <s v="Guarda-chuva | Volkswagen Financial Services"/>
    <s v="corporate-melhor-escolha-ed6a26"/>
    <s v="Geisa Paula Angeli Munhoz"/>
    <m/>
    <s v="03.495.672/0001-03"/>
    <s v="VOLKSWAGEN PARTICIPACOES LTDA"/>
    <s v="Geisa.Munhoz@vwfs.com"/>
    <s v="11943219762"/>
    <s v="1155825223"/>
    <s v="04344901"/>
    <s v="VOLKSWAGEN"/>
    <s v="291"/>
    <s v="6 ANDAR"/>
    <s v="JABAQUARA"/>
    <s v="São Paulo"/>
    <s v="SP"/>
    <s v="Filial(São Paulo)"/>
    <s v="Guarda-chuva | Volkswagen Financial Services"/>
    <m/>
    <m/>
    <m/>
    <s v="a6a93fb3d158fd3c292832e853f3d28c"/>
    <m/>
    <s v="Nao"/>
    <x v="6"/>
    <m/>
    <s v="31/12/2099"/>
    <m/>
    <m/>
    <m/>
    <m/>
    <s v="KAM"/>
    <s v="25/06/2019"/>
    <s v="ID-03495672000103"/>
    <s v="Aguardando recebimento"/>
    <m/>
    <x v="2"/>
  </r>
  <r>
    <s v="COM69A201276962E"/>
    <n v="243684"/>
    <s v="27/02/2026 17:40"/>
    <x v="3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Cláudia Zem"/>
    <s v="74485970000"/>
    <m/>
    <m/>
    <s v="czem@leroymerlin.com.br"/>
    <s v="5511972932314"/>
    <m/>
    <s v="04578-910"/>
    <s v="Avenida das Nações Unidas"/>
    <s v="12901"/>
    <m/>
    <s v="Brooklin Paulista"/>
    <s v="São Paulo"/>
    <s v="SP"/>
    <s v="Filial(São Paulo)"/>
    <s v="RH Leadership Xperience 2026 - Ingresso Platinum"/>
    <m/>
    <m/>
    <m/>
    <s v="6b77a954a083ad12c9a97d12a4e6561e"/>
    <m/>
    <s v="Nao"/>
    <x v="11"/>
    <m/>
    <s v="26/03/2026"/>
    <m/>
    <m/>
    <m/>
    <m/>
    <s v="KAM"/>
    <m/>
    <s v="ID-74485970000"/>
    <m/>
    <m/>
    <x v="1"/>
  </r>
  <r>
    <s v="COM69A20036B0531"/>
    <n v="243682"/>
    <s v="27/02/2026 17:36"/>
    <x v="3"/>
    <m/>
    <s v="27/02/2026"/>
    <s v="Aprovado"/>
    <n v="1"/>
    <n v="1"/>
    <n v="40000"/>
    <m/>
    <n v="37540"/>
    <s v=""/>
    <s v="TED"/>
    <s v="ted"/>
    <s v="Palestra Fábio Neto - Galderma"/>
    <s v="corporate-palestra-ed11a26"/>
    <s v="Jéssica Valdevino"/>
    <m/>
    <s v="07.489.498/0001-47"/>
    <s v="GALDERMA DISTRIBUIDORA DO BRASIL LTDA."/>
    <s v="jessica.valdevino@galderma.com"/>
    <s v="11980915762"/>
    <s v="1135246321"/>
    <s v="04794000"/>
    <s v="DAS NACOES UNIDAS"/>
    <s v="14261"/>
    <s v="ANDAR 4 TORRE A LETRA ALAMORUMBI"/>
    <s v="VILA GERTRUDES"/>
    <s v="São Paulo"/>
    <s v="SP"/>
    <s v="Filial(São Paulo)"/>
    <s v="Palestra Fábio Neto - Galderma"/>
    <m/>
    <m/>
    <m/>
    <s v="d5eef83612f6eece7bd3224b8bfea975"/>
    <m/>
    <s v="Nao"/>
    <x v="0"/>
    <m/>
    <s v="07/08/2026"/>
    <m/>
    <m/>
    <m/>
    <m/>
    <s v="KAM"/>
    <s v="20/05/2021"/>
    <s v="ID-07489498000147"/>
    <s v="Aguardando recebimento"/>
    <m/>
    <x v="2"/>
  </r>
  <r>
    <s v="COM69A1F27692246"/>
    <n v="243663"/>
    <s v="27/02/2026 16:37"/>
    <x v="3"/>
    <m/>
    <s v="27/02/2026"/>
    <s v="Aprovado"/>
    <n v="1"/>
    <n v="1"/>
    <n v="53000"/>
    <m/>
    <n v="49740.5"/>
    <s v=""/>
    <s v="TED"/>
    <s v="ted"/>
    <s v="Sebrae MG | Palestra Inteligência Artificial"/>
    <s v="corporate-palestra-ed10a26"/>
    <s v="Expedito Pereira Lima Neto"/>
    <m/>
    <s v="16.589.137/0001-63"/>
    <s v="SERVICO DE APOIO AS MICRO E PEQUENAS EMPRESAS DE MINAS GERAIS - SEBRAE/MG"/>
    <s v="expedito.netto@sebraemg.com.br"/>
    <s v="31999620124"/>
    <s v="31999620124"/>
    <s v="30431285"/>
    <s v="BARAO HOMEM DE MELO"/>
    <s v="329"/>
    <m/>
    <s v="NOVA GRANADA"/>
    <s v="Belo Horizonte"/>
    <s v="MG"/>
    <s v="Filial(São Paulo)"/>
    <s v="Sebrae MG | Palestra Inteligência Artificial"/>
    <m/>
    <m/>
    <m/>
    <s v="22e6079671925ffd9f2ad95d6eabe87f"/>
    <m/>
    <s v="Nao"/>
    <x v="2"/>
    <m/>
    <s v="20/03/2026"/>
    <m/>
    <m/>
    <m/>
    <m/>
    <s v="KAM"/>
    <s v="11/04/2018"/>
    <s v="ID-16589137000163"/>
    <s v="Pago"/>
    <m/>
    <x v="0"/>
  </r>
  <r>
    <s v="COM69A1F0559DD83"/>
    <n v="243659"/>
    <s v="27/02/2026 16:28"/>
    <x v="3"/>
    <m/>
    <s v="27/02/2026"/>
    <s v="Aprovado"/>
    <n v="1"/>
    <n v="1"/>
    <n v="650000"/>
    <m/>
    <n v="650000"/>
    <s v=""/>
    <s v="TED"/>
    <s v="ted"/>
    <s v="Imersão China Volkswagen"/>
    <s v="corporate-china-xperience-ed1a26_pagamento-02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Turismo - 50%"/>
    <s v="Imersão China Volkswagen"/>
    <m/>
    <m/>
    <m/>
    <s v="6aa13c46f46928e4f0d72d7b72a7ed05"/>
    <m/>
    <s v="Nao"/>
    <x v="6"/>
    <m/>
    <s v="10/08/2026"/>
    <m/>
    <m/>
    <s v="https://loja.startse.com.br//processamento/fatura/6aa13c46f46928e4f0d72d7b72a7ed05"/>
    <s v="China"/>
    <s v="KAM"/>
    <s v="05/06/2019"/>
    <s v="ID-59104422005704"/>
    <s v="Aguardando recebimento"/>
    <m/>
    <x v="2"/>
  </r>
  <r>
    <s v="COM69A1EB074DC32"/>
    <n v="243656"/>
    <s v="27/02/2026 16:05"/>
    <x v="3"/>
    <m/>
    <s v="27/02/2026"/>
    <s v="Aprovado"/>
    <n v="1"/>
    <n v="1"/>
    <n v="359000"/>
    <s v="Boleto Bradesco"/>
    <n v="718000"/>
    <s v=""/>
    <s v="Boleto"/>
    <s v="boleto"/>
    <s v="Imersão Internacional China - ELO"/>
    <s v="corporate-china-xperience-ed6a26_pagamento01"/>
    <s v="Paula Montoni Fontes"/>
    <m/>
    <s v="09.227.084/0001-75"/>
    <s v="ELO SERVICOS S.A."/>
    <s v="paula.montoni@elo.com.br"/>
    <s v="21971523772"/>
    <s v="1152423300"/>
    <s v="06455030"/>
    <s v="XINGU"/>
    <s v="512"/>
    <s v="ANDAR 5 E 6"/>
    <s v="ALPHAVILLE CENTRO INDUSTRIAL E EMPR"/>
    <s v="Barueri"/>
    <s v="SP"/>
    <s v="Turismo - 50%"/>
    <s v="Imersão Internacional China - ELO, Imersão Internacional China - ELO"/>
    <m/>
    <m/>
    <m/>
    <s v="e23bcb4647d3c85eb07086aafa1ef9fb"/>
    <m/>
    <s v="Nao"/>
    <x v="4"/>
    <m/>
    <s v="06/07/2026"/>
    <m/>
    <m/>
    <s v="https://loja.startse.com.br//processamento/fatura/e23bcb4647d3c85eb07086aafa1ef9fb"/>
    <s v="China,China"/>
    <s v="KAM"/>
    <s v="10/09/2018"/>
    <s v="ID-09227084000175"/>
    <s v="Aguardando recebimento"/>
    <m/>
    <x v="2"/>
  </r>
  <r>
    <s v="COM69A1EB074DC32"/>
    <n v="243656"/>
    <s v="27/02/2026 16:05"/>
    <x v="3"/>
    <m/>
    <s v="27/02/2026"/>
    <s v="Aprovado"/>
    <n v="1"/>
    <n v="1"/>
    <n v="359000"/>
    <s v="Boleto Bradesco"/>
    <n v="718000"/>
    <s v=""/>
    <s v="Boleto"/>
    <s v="boleto"/>
    <s v="Imersão Internacional China - ELO"/>
    <s v="corporate-china-xperience-ed6a26_pagamento02"/>
    <s v="Paula Montoni Fontes"/>
    <m/>
    <s v="09.227.084/0001-75"/>
    <s v="ELO SERVICOS S.A."/>
    <s v="paula.montoni@elo.com.br"/>
    <s v="21971523772"/>
    <s v="1152423300"/>
    <s v="06455030"/>
    <s v="XINGU"/>
    <s v="512"/>
    <s v="ANDAR 5 E 6"/>
    <s v="ALPHAVILLE CENTRO INDUSTRIAL E EMPR"/>
    <s v="Barueri"/>
    <s v="SP"/>
    <s v="Turismo - 50%"/>
    <s v="Imersão Internacional China - ELO, Imersão Internacional China - ELO"/>
    <m/>
    <m/>
    <m/>
    <s v="e23bcb4647d3c85eb07086aafa1ef9fb"/>
    <m/>
    <s v="Nao"/>
    <x v="4"/>
    <m/>
    <s v="06/07/2026"/>
    <m/>
    <m/>
    <s v="https://loja.startse.com.br//processamento/fatura/e23bcb4647d3c85eb07086aafa1ef9fb"/>
    <s v="China,China"/>
    <s v="KAM"/>
    <s v="10/09/2018"/>
    <s v="ID-09227084000175"/>
    <s v="Aguardando recebimento"/>
    <m/>
    <x v="2"/>
  </r>
  <r>
    <s v="COM69A1DBCFF2E6B"/>
    <n v="243644"/>
    <s v="27/02/2026 15:00"/>
    <x v="3"/>
    <m/>
    <s v="27/02/2026"/>
    <s v="Aprovado"/>
    <n v="1"/>
    <n v="1"/>
    <n v="15000"/>
    <m/>
    <n v="14077.5"/>
    <s v=""/>
    <s v="TED"/>
    <s v="ted"/>
    <s v="Palestra Priscila Schimidt - ASSAÍ"/>
    <s v="corporate-palestra-ed8a26"/>
    <s v="Lídia Botelho"/>
    <m/>
    <s v="06.057.223/0305-93"/>
    <s v="SENDAS DISTRIBUIDORA S/A"/>
    <s v="lidia.botelho@assai.com.br"/>
    <s v="1134117751"/>
    <s v="1134115200"/>
    <s v="03527000"/>
    <s v="ARICANDUVA"/>
    <s v="5555"/>
    <s v="ANCORA E PARTE 1"/>
    <s v="VILA ARICANDUVA"/>
    <s v="São Paulo"/>
    <s v="SP"/>
    <s v="Filial(São Paulo)"/>
    <s v="Palestra Priscila Schimidt - ASSAÍ"/>
    <m/>
    <m/>
    <m/>
    <s v="b04b57057f55f05dc6d0e56d085159d8"/>
    <m/>
    <s v="Nao"/>
    <x v="0"/>
    <m/>
    <s v="13/03/2026"/>
    <m/>
    <m/>
    <m/>
    <m/>
    <s v="KAM"/>
    <s v="23/10/2018"/>
    <s v="ID-06057223030593"/>
    <s v="Pago"/>
    <m/>
    <x v="0"/>
  </r>
  <r>
    <s v="COM69A1DA5A65C7B"/>
    <n v="243642"/>
    <s v="27/02/2026 14:54"/>
    <x v="3"/>
    <m/>
    <s v="27/02/2026"/>
    <s v="Aprovado"/>
    <n v="1"/>
    <n v="1"/>
    <n v="185000"/>
    <m/>
    <n v="167517.5"/>
    <s v=""/>
    <s v="TED"/>
    <s v="ted"/>
    <s v="T2 Programa de Liderança Feminina - Assaí"/>
    <s v="corporate-jornada-ed16a26"/>
    <s v="Lídia Botelho"/>
    <m/>
    <s v="06.057.223/0305-93"/>
    <s v="SENDAS DISTRIBUIDORA S/A"/>
    <s v="lidia.botelho@assai.com.br"/>
    <s v="1134117751"/>
    <s v="1134115200"/>
    <s v="03527000"/>
    <s v="ARICANDUVA"/>
    <s v="5555"/>
    <s v="ANCORA E PARTE 1"/>
    <s v="VILA ARICANDUVA"/>
    <s v="São Paulo"/>
    <s v="SP"/>
    <s v="Filial(São Paulo)"/>
    <s v="Programa de Liderança Feminina - Assaí"/>
    <m/>
    <m/>
    <m/>
    <s v="4fe473380dd7e966790b305667f22d2b"/>
    <m/>
    <s v="Nao"/>
    <x v="0"/>
    <m/>
    <s v="11/05/2026"/>
    <m/>
    <m/>
    <m/>
    <m/>
    <s v="KAM"/>
    <s v="23/10/2018"/>
    <s v="ID-06057223030593"/>
    <s v="Aguardando recebimento"/>
    <m/>
    <x v="2"/>
  </r>
  <r>
    <s v="COM69A1D7D4C127A"/>
    <n v="243639"/>
    <s v="27/02/2026 14:43"/>
    <x v="3"/>
    <m/>
    <s v="27/02/2026"/>
    <s v="Aprovado"/>
    <n v="1"/>
    <n v="1"/>
    <n v="150000"/>
    <m/>
    <n v="140775"/>
    <s v=""/>
    <s v="TED"/>
    <s v="ted"/>
    <s v="Workshop Preparatório FACIL - B3"/>
    <s v="corporate-workshop-ed18a26"/>
    <s v="Marina Naime"/>
    <m/>
    <s v="54.641.030/0001-06"/>
    <s v="ASSOCIACAO BM&amp;amp;F"/>
    <s v="marina.naime@b3.com.br"/>
    <s v="11994390509"/>
    <s v="11994390509"/>
    <s v="01010901"/>
    <s v="ANTONIO PRADO"/>
    <s v="48"/>
    <m/>
    <s v="CENTRO"/>
    <s v="São Paulo"/>
    <s v="SP"/>
    <s v="Filial(São Paulo)"/>
    <s v="Workshop Preparatório FACIL - B3"/>
    <m/>
    <m/>
    <m/>
    <s v="54065db16793a444e6d13e79351d87b8"/>
    <m/>
    <s v="Nao"/>
    <x v="0"/>
    <m/>
    <s v="19/05/2026"/>
    <m/>
    <m/>
    <m/>
    <m/>
    <s v="KAM"/>
    <s v="27/02/2026"/>
    <s v="ID-54641030000106"/>
    <s v="Aguardando recebimento"/>
    <m/>
    <x v="2"/>
  </r>
  <r>
    <s v="COM698CCB0941974"/>
    <n v="242532"/>
    <s v="27/02/2026 13:51"/>
    <x v="3"/>
    <m/>
    <s v="27/02/2026"/>
    <s v="Aprovado"/>
    <n v="2"/>
    <n v="12"/>
    <n v="69999.98"/>
    <s v="Braintree"/>
    <n v="69999.98"/>
    <s v="28987210985G9VB373OC"/>
    <s v="Crédito Parcelado"/>
    <s v="mastercard"/>
    <s v="Imersão China Exclusiva | Franqueados MC Donalds"/>
    <s v="corporate-china-xperience-ed2a26"/>
    <s v="Rafael Camargo Hortolan"/>
    <s v="38338961833"/>
    <s v="01.047.793/0001-67"/>
    <s v="WEST SIDE COMERCIO DE ALIMENTOS LTDA"/>
    <s v="rafael@mcdbauru.com.br"/>
    <s v="14991956507"/>
    <s v="1432272004"/>
    <s v="17011105"/>
    <s v="NACOES UNIDAS"/>
    <s v="2525"/>
    <m/>
    <s v="JD. PANORAMA"/>
    <s v="Bauru"/>
    <s v="SP"/>
    <s v="Turismo - 50%"/>
    <s v="Imersão China Exclusiva | Franqueados MC Donalds"/>
    <m/>
    <m/>
    <m/>
    <s v="6919ea6898e08df1636b8297c8394298"/>
    <s v="OFFMCFRANQUEADOS"/>
    <s v="Nao"/>
    <x v="0"/>
    <m/>
    <s v="07/09/2026"/>
    <m/>
    <m/>
    <s v="https://loja.startse.com.br//processamento/fatura/6919ea6898e08df1636b8297c8394298"/>
    <s v="China"/>
    <s v="KAM"/>
    <s v="27/02/2026"/>
    <s v="ID-01047793000167"/>
    <s v="A pagar"/>
    <m/>
    <x v="0"/>
  </r>
  <r>
    <s v="COM69A1C818C5FF2"/>
    <n v="243626"/>
    <s v="27/02/2026 13:36"/>
    <x v="3"/>
    <m/>
    <s v="27/02/2026"/>
    <s v="Aprovado"/>
    <n v="2"/>
    <n v="1"/>
    <n v="37000"/>
    <s v="Boleto Bradesco"/>
    <n v="34724.5"/>
    <s v=""/>
    <s v="Boleto"/>
    <s v="boleto"/>
    <s v="Executive Program - 23 a 25 de Março de 2026"/>
    <s v="executive-program-ed3a26"/>
    <s v="Marqleide de Souza Mota"/>
    <m/>
    <s v="04.337.168/0001-48"/>
    <s v="MOTO HONDA DA AMAZONIA LTDA"/>
    <s v="Marqleide_Mota@honda.com.br"/>
    <s v="92981721936"/>
    <s v="9236165313"/>
    <s v="69075120"/>
    <s v="JURUA"/>
    <s v="160"/>
    <s v="LTS 2.26 2.26/1 2.28"/>
    <s v="DISTRIT INDUSTRIAL I"/>
    <s v="Manaus"/>
    <s v="AM"/>
    <s v="Filial(São Paulo)"/>
    <s v="Executive Program - 23 a 25 de Março de 2026"/>
    <m/>
    <m/>
    <m/>
    <s v="232cdff52279a01c0f0cff54a77b1bb0"/>
    <m/>
    <s v="Nao"/>
    <x v="4"/>
    <m/>
    <s v="23/03/2026"/>
    <m/>
    <m/>
    <m/>
    <m/>
    <s v="KAM"/>
    <s v="01/03/2019"/>
    <s v="ID-04337168000148"/>
    <s v="Pago"/>
    <m/>
    <x v="0"/>
  </r>
  <r>
    <s v="ORD9AO8W9OZIHOMH"/>
    <n v="243611"/>
    <s v="27/02/2026 11:01"/>
    <x v="3"/>
    <m/>
    <s v="27/02/2026"/>
    <s v="Aprovado"/>
    <n v="1"/>
    <n v="0"/>
    <n v="0"/>
    <m/>
    <n v="0"/>
    <m/>
    <s v="Cortesia"/>
    <s v="cortesia"/>
    <s v="AI for Leaders - 2ª edição - 2025"/>
    <s v="ai-for-leaders-ed2a25"/>
    <s v="DANTE VAGNER ZULIANI FILHO"/>
    <s v="35350753860"/>
    <s v="17.351.180/0001-59"/>
    <s v="BANCO TRIANGULO S/A"/>
    <s v="dvfilho@tribanco.com.br"/>
    <s v="11992755590"/>
    <m/>
    <s v="38400696"/>
    <s v="CESARIO ALVIM,"/>
    <s v="2209"/>
    <s v="SN"/>
    <s v="APARECIDA"/>
    <s v="Uberlândia"/>
    <s v="MG"/>
    <s v="Filial(São Paulo)"/>
    <m/>
    <m/>
    <m/>
    <m/>
    <s v="bd61005e85c41de8293f233077c7fc62"/>
    <s v="OFFTRIBANCO"/>
    <s v="Nao"/>
    <x v="0"/>
    <m/>
    <s v="15/05/2025"/>
    <m/>
    <m/>
    <m/>
    <s v="Brasil"/>
    <s v="KAM"/>
    <s v="06/03/2017"/>
    <s v="ID-17351180000159"/>
    <m/>
    <m/>
    <x v="1"/>
  </r>
  <r>
    <s v="ORD24CDG4KF80AZ3"/>
    <n v="243591"/>
    <s v="27/02/2026 09:23"/>
    <x v="3"/>
    <m/>
    <s v="27/02/2026"/>
    <s v="Aprovado"/>
    <n v="1"/>
    <n v="0"/>
    <n v="0"/>
    <m/>
    <n v="0"/>
    <m/>
    <s v="Cortesia"/>
    <s v="cortesia"/>
    <s v="AI for Leaders - 2ª edição - 2025"/>
    <s v="ai-for-leaders-ed2a25"/>
    <s v="Roberta Berjas"/>
    <s v="28917841899"/>
    <m/>
    <m/>
    <s v="robertab@tribanco.com.br"/>
    <s v="11997863924"/>
    <m/>
    <s v="38400696"/>
    <s v="CESARIO ALVIM,"/>
    <s v="2209"/>
    <s v="sn"/>
    <s v="APARECIDA"/>
    <s v="Uberlândia"/>
    <s v="MG"/>
    <s v="Filial(São Paulo)"/>
    <m/>
    <m/>
    <m/>
    <m/>
    <s v="e0deec2c7e7a1a51b43b422068f4b3f2"/>
    <s v="OFFTRIBANCO"/>
    <s v="Nao"/>
    <x v="0"/>
    <m/>
    <s v="15/05/2025"/>
    <m/>
    <m/>
    <m/>
    <s v="Brasil"/>
    <s v="KAM"/>
    <s v="28/04/2025"/>
    <s v="ID-28917841899"/>
    <m/>
    <m/>
    <x v="1"/>
  </r>
  <r>
    <s v="ORDRVX5XAY60HYGD"/>
    <n v="243590"/>
    <s v="27/02/2026 09:22"/>
    <x v="3"/>
    <m/>
    <s v="27/02/2026"/>
    <s v="Aprovado"/>
    <n v="1"/>
    <n v="0"/>
    <n v="0"/>
    <m/>
    <n v="0"/>
    <m/>
    <s v="Cortesia"/>
    <s v="cortesia"/>
    <s v="AI for Leaders - 2ª edição - 2025"/>
    <s v="ai-for-leaders-ed2a25"/>
    <s v="Roberta Berjas"/>
    <s v="28917841899"/>
    <s v="17.351.180/0001-59"/>
    <s v="BANCO TRIANGULO S/A"/>
    <s v="robertab@tribanco.com.br"/>
    <s v="11997863924"/>
    <m/>
    <s v="38400696"/>
    <s v="CESARIO ALVIM,"/>
    <s v="2209"/>
    <s v="sn"/>
    <s v="APARECIDA"/>
    <s v="Uberlândia"/>
    <s v="MG"/>
    <s v="Filial(São Paulo)"/>
    <m/>
    <m/>
    <m/>
    <m/>
    <s v="f863ac20e0ef355635e4d30101ad9ef8"/>
    <s v="OFFTRIBANCO"/>
    <s v="Nao"/>
    <x v="0"/>
    <m/>
    <s v="15/05/2025"/>
    <m/>
    <m/>
    <m/>
    <s v="Brasil"/>
    <s v="KAM"/>
    <s v="06/03/2017"/>
    <s v="ID-17351180000159"/>
    <m/>
    <m/>
    <x v="1"/>
  </r>
  <r>
    <s v="COM69A0BD755DCF0"/>
    <n v="243560"/>
    <s v="26/02/2026 18:39"/>
    <x v="3"/>
    <m/>
    <s v="27/02/2026"/>
    <s v="Aprovado"/>
    <n v="1"/>
    <n v="1"/>
    <n v="65000"/>
    <m/>
    <n v="61002.5"/>
    <s v=""/>
    <s v="TED"/>
    <s v="ted"/>
    <s v="Workshop Kick off Liderança | Serasa Experian"/>
    <s v="corporate-workshop-ed17a26"/>
    <s v="Jairo Assis"/>
    <m/>
    <s v="62.173.620/0001-80"/>
    <s v="SERASA S.A."/>
    <s v="jairo.assis@experian.com"/>
    <s v="1988999595"/>
    <s v="1128479061"/>
    <s v="04794000"/>
    <s v="DAS NACOES UNIDAS"/>
    <s v="14401"/>
    <s v="EDIF TORRE C-1 COND CPX.PQCID. CJ.191"/>
    <s v="CHACARA SANTO ANTONIO"/>
    <s v="São Paulo"/>
    <s v="SP"/>
    <s v="Filial(São Paulo)"/>
    <s v="Palestras StartSe. Kick off liderança Serasa Experian"/>
    <m/>
    <m/>
    <m/>
    <s v="7e1e71fc5d7248d11d082ffa0038419d"/>
    <m/>
    <s v="Nao"/>
    <x v="6"/>
    <m/>
    <s v="28/04/2026"/>
    <m/>
    <m/>
    <m/>
    <m/>
    <s v="KAM"/>
    <s v="08/11/2016"/>
    <s v="ID-62173620000180"/>
    <s v="Aguardando recebimento"/>
    <m/>
    <x v="2"/>
  </r>
  <r>
    <s v="COM69A0AE4510771"/>
    <n v="243552"/>
    <s v="26/02/2026 17:34"/>
    <x v="3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Cesar Leonardo Valério"/>
    <s v="40865288860"/>
    <m/>
    <m/>
    <s v="Cesar_valerio@br.ajinomoto.com"/>
    <s v="5511964186617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172a5322cf5c04f665538accc358549d"/>
    <m/>
    <s v="Nao"/>
    <x v="5"/>
    <m/>
    <s v="26/03/2026"/>
    <m/>
    <m/>
    <m/>
    <m/>
    <s v="KAM"/>
    <m/>
    <s v="ID-40865288860"/>
    <m/>
    <m/>
    <x v="1"/>
  </r>
  <r>
    <s v="COM69A730E03B5FE"/>
    <n v="243933"/>
    <s v="26/02/2026 16:05"/>
    <x v="3"/>
    <m/>
    <s v="04/03/2026"/>
    <s v="Aprovado"/>
    <n v="1"/>
    <n v="1"/>
    <n v="30000"/>
    <s v="Boleto Bradesco"/>
    <n v="28155"/>
    <s v=""/>
    <s v="Boleto"/>
    <s v="boleto"/>
    <s v="Palestra Engagement_JDE_São Paulo/SP"/>
    <s v="corporate-palestra-ed7a26"/>
    <s v="Beatriz Pereira"/>
    <m/>
    <s v="60.369.501/0001-71"/>
    <s v="LA DIFFERENCE EVENTOS INCENTIVOS PROPAGANDA E PUBLICIDADE LTDA"/>
    <s v="beatriz.pereira@jdecoffee.com"/>
    <s v="11990025531"/>
    <s v="1150353500"/>
    <s v="04602000"/>
    <s v="BARAO DO TRIUNFO"/>
    <s v="88"/>
    <s v="SALA 1.015 E 1.001"/>
    <s v="CAMPO BELO"/>
    <s v="São Paulo"/>
    <s v="SP"/>
    <s v="Filial(São Paulo)"/>
    <s v="Palestra Engagement_JDE_São Paulo/S"/>
    <m/>
    <m/>
    <m/>
    <s v="0183dfc1696e47b1527793994cca1e84"/>
    <m/>
    <s v="Nao"/>
    <x v="4"/>
    <m/>
    <s v="12/03/2026"/>
    <m/>
    <m/>
    <m/>
    <m/>
    <s v="KAM"/>
    <s v="26/02/2026"/>
    <s v="ID-60369501000171"/>
    <s v="Pago"/>
    <m/>
    <x v="0"/>
  </r>
  <r>
    <s v="COM69A08D0718032"/>
    <n v="243519"/>
    <s v="26/02/2026 15:12"/>
    <x v="3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Viviane Rodrigues de Oliveira"/>
    <s v="05521986766"/>
    <m/>
    <m/>
    <s v="aliny.alves@tivit.com"/>
    <s v="5521997615392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1703e10423bb5952b70b8f5b0bb13710"/>
    <m/>
    <s v="Nao"/>
    <x v="8"/>
    <m/>
    <s v="26/03/2026"/>
    <m/>
    <m/>
    <m/>
    <m/>
    <s v="KAM"/>
    <s v="04/06/2020"/>
    <s v="ID-05521986766"/>
    <m/>
    <m/>
    <x v="1"/>
  </r>
  <r>
    <s v="COM69A08BE28A14E"/>
    <n v="243516"/>
    <s v="26/02/2026 15:07"/>
    <x v="3"/>
    <m/>
    <m/>
    <s v="Aprovado"/>
    <n v="3"/>
    <n v="1"/>
    <n v="0"/>
    <m/>
    <n v="0"/>
    <s v=""/>
    <s v="Cortesia"/>
    <s v="cortesia"/>
    <s v="RH Leadership Xperience 2026 - Ingresso Explorer"/>
    <s v="evento-rh-ed1a26_explorer"/>
    <s v="Daniela Cabral"/>
    <s v="21389425894"/>
    <m/>
    <m/>
    <s v="Daniela.cabral@elo.com.br"/>
    <s v="5511999999999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0e9cf7f4056de1e8bddcdfc19534b5d4"/>
    <m/>
    <s v="Nao"/>
    <x v="4"/>
    <m/>
    <s v="26/03/2026"/>
    <m/>
    <m/>
    <m/>
    <m/>
    <s v="KAM"/>
    <m/>
    <s v="ID-21389425894"/>
    <m/>
    <m/>
    <x v="1"/>
  </r>
  <r>
    <s v="COM69A089E1A3662"/>
    <n v="243514"/>
    <s v="26/02/2026 14:58"/>
    <x v="3"/>
    <m/>
    <s v="26/02/2026"/>
    <s v="Aprovado"/>
    <n v="1"/>
    <n v="1"/>
    <n v="0"/>
    <m/>
    <n v="0"/>
    <s v=""/>
    <s v="Cortesia"/>
    <s v="cortesia"/>
    <s v="Executive Program - 23 a 25 de Março de 2026"/>
    <s v="executive-program-ed3a26"/>
    <s v="Joice Almeida"/>
    <s v="31504691806"/>
    <m/>
    <m/>
    <s v="Joice.almeida@santander.com.br"/>
    <s v="5511992306229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eea8223244964f89d50d880f40d4642a"/>
    <m/>
    <s v="Nao"/>
    <x v="4"/>
    <m/>
    <s v="23/03/2026"/>
    <m/>
    <m/>
    <m/>
    <m/>
    <s v="KAM"/>
    <s v="13/03/2025"/>
    <s v="ID-31504691806"/>
    <m/>
    <m/>
    <x v="1"/>
  </r>
  <r>
    <s v="COM69A0884C315DE"/>
    <n v="243513"/>
    <s v="26/02/2026 14:52"/>
    <x v="3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Monica da Silva Matias"/>
    <s v="21471267806"/>
    <m/>
    <m/>
    <s v="monica.matias1@br.zurich.com"/>
    <s v="5511999999999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9a71a80e48a9b965ca6b4e87b07ad794"/>
    <m/>
    <s v="Nao"/>
    <x v="4"/>
    <m/>
    <s v="26/03/2026"/>
    <m/>
    <m/>
    <m/>
    <m/>
    <s v="KAM"/>
    <m/>
    <s v="ID-21471267806"/>
    <m/>
    <m/>
    <x v="1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1"/>
    <s v="consulting-ai-advisory-ed4a26_pagamento-01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4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2"/>
    <s v="consulting-ai-advisory-ed4a26_pagamento-02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5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3"/>
    <s v="consulting-ai-advisory-ed4a26_pagamento-03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6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4"/>
    <s v="consulting-ai-advisory-ed4a26_pagamento-04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7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5"/>
    <s v="consulting-ai-advisory-ed4a26_pagamento-05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8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6"/>
    <s v="consulting-ai-advisory-ed4a26_pagamento-06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9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7"/>
    <s v="consulting-ai-advisory-ed4a26_pagamento-07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10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8"/>
    <s v="consulting-ai-advisory-ed4a26_pagamento-08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11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09"/>
    <s v="consulting-ai-advisory-ed4a26_pagamento-09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12/2026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10"/>
    <s v="consulting-ai-advisory-ed4a26_pagamento-10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1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11"/>
    <s v="consulting-ai-advisory-ed4a26_pagamento-11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2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866A9002C"/>
    <n v="243511"/>
    <s v="26/02/2026 14:44"/>
    <x v="3"/>
    <m/>
    <s v="27/02/2026"/>
    <s v="Aprovado"/>
    <n v="1"/>
    <n v="1"/>
    <n v="30000"/>
    <s v="Boleto Bradesco"/>
    <n v="337860"/>
    <s v=""/>
    <s v="Boleto"/>
    <s v="boleto"/>
    <s v="Renovação Mondial - Advisory | pagamento 12"/>
    <s v="consulting-ai-advisory-ed4a26_pagamento-12"/>
    <s v="Gustavo Almeida"/>
    <m/>
    <s v="07.666.567/0003-02"/>
    <s v="MK BR S.A"/>
    <s v="gustavo.almeida@startse.com"/>
    <s v="11992814491"/>
    <s v="1135814125"/>
    <s v="06455000"/>
    <s v="ARAGUAIA"/>
    <s v="2044"/>
    <s v="BLOCO TORRE 2 ANDAR 1 4 5 6 10"/>
    <s v="ALPHAVILLE INDUSTRIAL"/>
    <s v="Barueri"/>
    <s v="SP"/>
    <s v="Filial(São Paulo)"/>
    <s v="Renovação Mondial - Advisory"/>
    <m/>
    <m/>
    <m/>
    <s v="b439be0c719a5870c209d835475bb386"/>
    <m/>
    <s v="Nao"/>
    <x v="4"/>
    <m/>
    <s v="15/03/2027"/>
    <m/>
    <m/>
    <m/>
    <s v="StartSe Consulting,StartSe Consulting,StartSe Consulting,StartSe Consulting,StartSe Consulting,StartSe Consulting,StartSe Consulting,StartSe Consulting,StartSe Consulting,StartSe Consulting,StartSe Consulting,StartSe Consulting"/>
    <s v="KAM"/>
    <s v="07/02/2024"/>
    <s v="ID-07666567000302"/>
    <s v="Aguardando recebimento"/>
    <m/>
    <x v="2"/>
  </r>
  <r>
    <s v="COM69A0796E99C7F"/>
    <n v="243506"/>
    <s v="26/02/2026 13:48"/>
    <x v="3"/>
    <m/>
    <s v="26/02/2026"/>
    <s v="Aprovado"/>
    <n v="11"/>
    <n v="1"/>
    <n v="9350.01"/>
    <m/>
    <n v="8774.98"/>
    <s v=""/>
    <s v="TED"/>
    <s v="ted"/>
    <s v="RH Leadership Xperience 2026 - Ingresso Explorer"/>
    <s v="evento-rh-ed1a26_explorer"/>
    <s v="Ana Paula Magalhaes Da Silva"/>
    <m/>
    <s v="02.558.157/0001-62"/>
    <s v="TELEFONICA BRASIL S.A."/>
    <s v="ana.silva@telefonica.com"/>
    <s v="11997851448"/>
    <s v="1134304532"/>
    <s v="04571936"/>
    <s v="ENGENHEIRO LUIZ CARLOS BERRINI"/>
    <s v="1376"/>
    <m/>
    <s v="CIDADE MONCOES"/>
    <s v="São Paulo"/>
    <s v="SP"/>
    <s v="Filial(São Paulo)"/>
    <s v="RH Leadership Xperience 2026 - Ingresso Explorer Pedido: 5400278432"/>
    <m/>
    <m/>
    <m/>
    <s v="2ea0b7e6af5765b20e201e73564820cd"/>
    <m/>
    <s v="Nao"/>
    <x v="7"/>
    <m/>
    <s v="26/03/2026"/>
    <m/>
    <m/>
    <m/>
    <m/>
    <s v="KAM"/>
    <s v="29/03/2017"/>
    <s v="ID-02558157000162"/>
    <s v="Pago"/>
    <m/>
    <x v="0"/>
  </r>
  <r>
    <s v="COM69A0795F0E8B1"/>
    <n v="243505"/>
    <s v="26/02/2026 13:48"/>
    <x v="3"/>
    <m/>
    <s v="26/02/2026"/>
    <s v="Aprovado"/>
    <n v="1"/>
    <n v="1"/>
    <n v="0"/>
    <m/>
    <n v="0"/>
    <s v=""/>
    <s v="Cortesia"/>
    <s v="cortesia"/>
    <s v="AI for Leaders - 2026"/>
    <s v="ai-for-leaders-ed1a26"/>
    <s v="Alexandre Inada"/>
    <s v="18799362830"/>
    <m/>
    <m/>
    <s v="alexandre.inadaw1@gmail.com"/>
    <s v="5511997976581"/>
    <m/>
    <s v="05541-100"/>
    <s v="Rua Eugene Carriere"/>
    <s v="17"/>
    <m/>
    <s v="Jardim das Vertentes"/>
    <s v="São Paulo"/>
    <s v="SP"/>
    <s v="Filial(São Paulo)"/>
    <s v="Curso de IA"/>
    <m/>
    <m/>
    <m/>
    <s v="1546a9e0d75a994a51d2369a21fa29f4"/>
    <m/>
    <s v="Nao"/>
    <x v="10"/>
    <m/>
    <s v="13/01/2026"/>
    <m/>
    <m/>
    <m/>
    <s v="Brasil"/>
    <s v="KAM"/>
    <m/>
    <s v="ID-18799362830"/>
    <m/>
    <m/>
    <x v="1"/>
  </r>
  <r>
    <s v="COM69A074498D3AA"/>
    <n v="243501"/>
    <s v="26/02/2026 13:26"/>
    <x v="3"/>
    <m/>
    <m/>
    <s v="Aprovado"/>
    <n v="4"/>
    <n v="1"/>
    <n v="0"/>
    <m/>
    <n v="0"/>
    <s v=""/>
    <s v="Cortesia"/>
    <s v="cortesia"/>
    <s v="RH Leadership Xperience 2026 - Ingresso Platinum"/>
    <s v="evento-rh-ed1a26_platinum"/>
    <s v="ANTONIO MARCUS BLANSKI MANDALOZZO"/>
    <s v="85702161904"/>
    <s v="76.487.032/0001-25"/>
    <s v="ELECTROLUX DO BRASIL S/A"/>
    <s v="antonio.mandalozzo@electrolux.com"/>
    <s v="41992311982"/>
    <s v="41992311982"/>
    <s v="81520-900"/>
    <s v="Rua Ministro Gabriel Passos"/>
    <s v="360"/>
    <m/>
    <s v="Guabirotuba"/>
    <s v="Curitiba"/>
    <s v="PR"/>
    <s v="Filial(São Paulo)"/>
    <s v="Electrolux"/>
    <m/>
    <m/>
    <m/>
    <s v="a118fa9deeb0a0c07190b4e3f205d112"/>
    <m/>
    <s v="Nao"/>
    <x v="10"/>
    <m/>
    <s v="26/03/2026"/>
    <m/>
    <m/>
    <m/>
    <m/>
    <s v="KAM"/>
    <s v="31/05/2024"/>
    <s v="ID-76487032000125"/>
    <m/>
    <m/>
    <x v="1"/>
  </r>
  <r>
    <s v="COM69A06F5707234"/>
    <n v="243499"/>
    <s v="26/02/2026 13:05"/>
    <x v="3"/>
    <m/>
    <s v="26/02/2026"/>
    <s v="Aprovado"/>
    <n v="1"/>
    <n v="1"/>
    <n v="0"/>
    <m/>
    <n v="0"/>
    <s v=""/>
    <s v="Cortesia"/>
    <s v="cortesia"/>
    <s v="Executive Program - 23 a 25 de Março de 2026"/>
    <s v="executive-program-ed3a26"/>
    <s v="Fiorella Peroni"/>
    <s v="05201859860"/>
    <m/>
    <m/>
    <s v="fiorella.peroni@oracle.com"/>
    <s v="11999999999"/>
    <m/>
    <s v="04578-910"/>
    <s v="Avenida das Nações Unidas"/>
    <s v="12901"/>
    <m/>
    <s v="Brooklin Paulista"/>
    <s v="São Paulo"/>
    <s v="SP"/>
    <s v="Filial(São Paulo)"/>
    <s v="Oracle"/>
    <m/>
    <m/>
    <m/>
    <s v="0f89f3254c2bfdd27691d423c4556c3d"/>
    <m/>
    <s v="Nao"/>
    <x v="10"/>
    <m/>
    <s v="23/03/2026"/>
    <m/>
    <m/>
    <m/>
    <m/>
    <s v="KAM"/>
    <s v="16/04/2026"/>
    <s v="ID-05201859860"/>
    <m/>
    <m/>
    <x v="1"/>
  </r>
  <r>
    <s v="COM69A02DD13C751"/>
    <n v="243457"/>
    <s v="26/02/2026 08:26"/>
    <x v="3"/>
    <m/>
    <m/>
    <s v="Aprovado"/>
    <n v="3"/>
    <n v="1"/>
    <n v="0"/>
    <m/>
    <n v="0"/>
    <s v=""/>
    <s v="Cortesia"/>
    <s v="cortesia"/>
    <s v="RH Leadership Xperience 2026 - Ingresso Explorer"/>
    <s v="evento-rh-ed1a26_explorer"/>
    <s v="Beatriz de França Bergstein"/>
    <m/>
    <s v="22.896.431/0001-10"/>
    <s v="PICPAY INSTITUICAO DE PAGAMENTO S/A"/>
    <s v="beatriz.bergstein@picpay.com"/>
    <s v="11993310456"/>
    <s v="2731800382"/>
    <s v="05317020"/>
    <s v="MANUEL BANDEIRA"/>
    <s v="291"/>
    <s v="44B"/>
    <s v="VILA LEOPOLDINA"/>
    <s v="São Paulo"/>
    <s v="SP"/>
    <s v="Filial(São Paulo)"/>
    <s v="PicPay"/>
    <m/>
    <m/>
    <m/>
    <s v="59cd6aa3e47e73ff1eafe4d5285c9f54"/>
    <m/>
    <s v="Nao"/>
    <x v="10"/>
    <m/>
    <s v="26/03/2026"/>
    <m/>
    <m/>
    <m/>
    <m/>
    <s v="KAM"/>
    <s v="30/08/2019"/>
    <s v="ID-22896431000110"/>
    <m/>
    <m/>
    <x v="1"/>
  </r>
  <r>
    <s v="COM69CED01CE931D"/>
    <n v="246641"/>
    <s v="26/02/2026 00:00"/>
    <x v="3"/>
    <m/>
    <s v="07/04/2026"/>
    <s v="Aprovado"/>
    <n v="22"/>
    <n v="1"/>
    <n v="16500"/>
    <m/>
    <n v="15485.25"/>
    <s v=""/>
    <s v="TED"/>
    <s v="ted"/>
    <s v="RH Leadership Xperience 2026 - Ingresso Explorer"/>
    <s v="evento-rh-ed1a26_explorer"/>
    <s v="Caroline de Moraes Juchem Chapon"/>
    <m/>
    <s v="10.510.590/0001-56"/>
    <s v="SERVICO NACIONAL DE APRENDIZAGEM DO COOPERATIVISMO DO ESTADO DO RIO GRANDE DO SUL - SESCOOP/RS"/>
    <s v="caroline-juchem@sescooprs.coop.br"/>
    <s v="5133230096"/>
    <s v="5133230018"/>
    <s v="90240581"/>
    <s v="BERLIM"/>
    <s v="409"/>
    <s v="ANDAR 3"/>
    <s v="SAO GERALDO"/>
    <s v="Porto Alegre"/>
    <s v="RS"/>
    <s v="Filial(São Paulo)"/>
    <s v="Ref. a 22 vagas do projeto FRS NDH Congresso RH Leadership Festival 2026  0533/2025, com duração de 20h, a pedido da Unimed Federação do Rio Grande do Sul.   Dados bancários: Startse Informações e Sistemas Itau (341) Ag: 0185 Cc: 37248-9 Cnpj (PIX): 24.55"/>
    <m/>
    <m/>
    <m/>
    <s v="a3a99d0c26c3fad0d0e4ccffef104af3"/>
    <m/>
    <s v="Nao"/>
    <x v="6"/>
    <m/>
    <s v="26/03/2026"/>
    <m/>
    <m/>
    <m/>
    <m/>
    <s v="KAM"/>
    <s v="17/04/2018"/>
    <s v="ID-10510590000156"/>
    <s v="Pago"/>
    <m/>
    <x v="0"/>
  </r>
  <r>
    <s v="COM69CED29EB4820"/>
    <n v="246642"/>
    <s v="26/02/2026 00:00"/>
    <x v="3"/>
    <m/>
    <s v="07/04/2026"/>
    <s v="Aprovado"/>
    <n v="5"/>
    <n v="1"/>
    <n v="3750.01"/>
    <m/>
    <n v="3519.38"/>
    <s v=""/>
    <s v="TED"/>
    <s v="ted"/>
    <s v="RH Leadership Xperience 2026 - Ingresso Explorer"/>
    <s v="evento-rh-ed1a26_explorer"/>
    <s v="Caroline de Moraes Juchem Chapon"/>
    <m/>
    <s v="33.014.397/0001-20"/>
    <s v="UNIMED/RS - FEDERACAO DAS COOPERATIVAS DE ASSISTENCIA A SAUDE UNIMED E COOPERATIVAS DE MEDICOS UNIMED DO RIO GRANDE DO SUL LTDA"/>
    <s v="caroline-juchem@sescooprs.coop.br"/>
    <s v="5133230096"/>
    <s v="5132011370"/>
    <s v="90040180"/>
    <s v="SANTA TEREZINHA"/>
    <s v="340"/>
    <m/>
    <s v="FARROUPILHA"/>
    <s v="Porto Alegre"/>
    <s v="RS"/>
    <s v="Filial(São Paulo)"/>
    <s v="Ref. a 5 vagas do projeto FRS NDH Congresso RH Leadership Festival 2026  0533/2025, com duração de 20h, a pedido da Unimed Federação do Rio Grande do Sul. Startse Informações e Sistemas Itau (341) Ag: 0185 Cc: 37248-9 Cnpj (PIX): 24.554.736/0001-70"/>
    <m/>
    <m/>
    <m/>
    <s v="ed984081fbde5bc99b6677e93810dad8"/>
    <m/>
    <s v="Nao"/>
    <x v="6"/>
    <m/>
    <s v="26/03/2026"/>
    <m/>
    <m/>
    <m/>
    <m/>
    <s v="KAM"/>
    <s v="29/11/2021"/>
    <s v="ID-33014397000120"/>
    <s v="Aguardando recebimento"/>
    <m/>
    <x v="3"/>
  </r>
  <r>
    <s v="ORDVWR2HJ8AOZ648"/>
    <n v="243446"/>
    <s v="25/02/2026 19:01"/>
    <x v="3"/>
    <m/>
    <s v="25/02/2026"/>
    <s v="Aprovado"/>
    <n v="1"/>
    <n v="0"/>
    <n v="0"/>
    <m/>
    <n v="0"/>
    <m/>
    <s v="Cortesia"/>
    <s v="cortesia"/>
    <s v="AI for Leaders - 2ª edição - 2025"/>
    <s v="ai-for-leaders-ed2a25"/>
    <s v="João Paulo Cruz Mundim"/>
    <s v="09219914603"/>
    <m/>
    <m/>
    <s v="joaopcm@tribanco.com.br"/>
    <s v="34999832593"/>
    <m/>
    <s v="38411338"/>
    <s v="Rua José Cunha Chaves"/>
    <s v="49"/>
    <m/>
    <s v="Jardim Colina"/>
    <s v="Uberlândia"/>
    <s v="MG"/>
    <s v="Filial(São Paulo)"/>
    <m/>
    <m/>
    <m/>
    <m/>
    <s v="fc4bb7032a4d18b80671621ebfd58fca"/>
    <s v="OFFTRIBANCO"/>
    <s v="Nao"/>
    <x v="0"/>
    <m/>
    <s v="15/05/2025"/>
    <m/>
    <m/>
    <m/>
    <s v="Brasil"/>
    <s v="KAM"/>
    <m/>
    <s v="ID-09219914603"/>
    <m/>
    <m/>
    <x v="1"/>
  </r>
  <r>
    <s v="COM699F668375C7E"/>
    <n v="243441"/>
    <s v="25/02/2026 18:15"/>
    <x v="3"/>
    <m/>
    <s v="25/02/2026"/>
    <s v="Aprovado"/>
    <n v="1"/>
    <n v="1"/>
    <n v="0"/>
    <m/>
    <n v="0"/>
    <s v=""/>
    <s v="Cortesia"/>
    <s v="cortesia"/>
    <s v="Executive Program - 23 a 25 de Março de 2026"/>
    <s v="executive-program-ed3a26"/>
    <s v="Marcia Ribeiro"/>
    <s v="25484495806"/>
    <m/>
    <m/>
    <s v="Marribeiro@santander.com.br"/>
    <s v="5511998816946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eab13b65691d089283c2335be26257ab"/>
    <m/>
    <s v="Nao"/>
    <x v="4"/>
    <m/>
    <s v="23/03/2026"/>
    <m/>
    <m/>
    <m/>
    <m/>
    <s v="KAM"/>
    <s v="19/09/2024"/>
    <s v="ID-25484495806"/>
    <m/>
    <m/>
    <x v="1"/>
  </r>
  <r>
    <s v="COM699F5DEA034C8"/>
    <n v="243440"/>
    <s v="25/02/2026 17:39"/>
    <x v="3"/>
    <m/>
    <s v="26/02/2026"/>
    <s v="Aprovado"/>
    <n v="1"/>
    <n v="1"/>
    <n v="28900"/>
    <m/>
    <n v="28900"/>
    <s v=""/>
    <s v="TED"/>
    <s v="ted"/>
    <s v="Silicon Valley Xperience -  23 a 27 de Março de 2026"/>
    <s v="silicon-valley-xperience-ed2a26"/>
    <s v="Adriene Gomes"/>
    <m/>
    <s v="27.865.757/0001-02"/>
    <s v="GLOBO COMUNICACAO E PARTICIPACOES S/A"/>
    <s v="adriene.gomes@g.globo"/>
    <s v="21993133605"/>
    <s v="2121554551"/>
    <s v="22460901"/>
    <s v="LOPES QUINTAS"/>
    <s v="303"/>
    <m/>
    <s v="JARDIM BOTANICO"/>
    <s v="Rio de Janeiro"/>
    <s v="RJ"/>
    <s v="Turismo - 50%"/>
    <s v="Silicon Valley Xperience - 23 a 27 de Março de 2026  Georges Riche"/>
    <m/>
    <m/>
    <m/>
    <s v="6bd146400c17751876b423b8c00076ea"/>
    <m/>
    <s v="Nao"/>
    <x v="8"/>
    <m/>
    <s v="23/03/2026"/>
    <m/>
    <m/>
    <s v="https://loja.startse.com.br//processamento/fatura/6bd146400c17751876b423b8c00076ea"/>
    <s v="Vale do Silício"/>
    <s v="KAM"/>
    <s v="27/04/2018"/>
    <s v="ID-27865757000102"/>
    <s v="Aguardando recebimento"/>
    <m/>
    <x v="3"/>
  </r>
  <r>
    <s v="COM699F5D7EE8D62"/>
    <n v="243438"/>
    <s v="25/02/2026 17:37"/>
    <x v="3"/>
    <m/>
    <s v="26/02/2026"/>
    <s v="Aprovado"/>
    <n v="1"/>
    <n v="1"/>
    <n v="28900"/>
    <m/>
    <n v="28900"/>
    <s v=""/>
    <s v="TED"/>
    <s v="ted"/>
    <s v="Silicon Valley Xperience -  23 a 27 de Março de 2026"/>
    <s v="silicon-valley-xperience-ed2a26"/>
    <s v="Adriene Gomes"/>
    <m/>
    <s v="27.865.757/0001-02"/>
    <s v="GLOBO COMUNICACAO E PARTICIPACOES S/A"/>
    <s v="adriene.gomes@g.globo"/>
    <s v="21993133605"/>
    <s v="2121554551"/>
    <s v="22460901"/>
    <s v="LOPES QUINTAS"/>
    <s v="303"/>
    <m/>
    <s v="JARDIM BOTANICO"/>
    <s v="Rio de Janeiro"/>
    <s v="RJ"/>
    <s v="Turismo - 50%"/>
    <s v="Silicon Valley Xperience - 23 a 27 de Março de 2026 Luiza Vardiero"/>
    <m/>
    <m/>
    <m/>
    <s v="dc3f9a66ddd2aafee39d6c1bfbf303a0"/>
    <m/>
    <s v="Nao"/>
    <x v="8"/>
    <m/>
    <s v="23/03/2026"/>
    <m/>
    <m/>
    <s v="https://loja.startse.com.br//processamento/fatura/dc3f9a66ddd2aafee39d6c1bfbf303a0"/>
    <s v="Vale do Silício"/>
    <s v="KAM"/>
    <s v="27/04/2018"/>
    <s v="ID-27865757000102"/>
    <s v="Aguardando recebimento"/>
    <m/>
    <x v="3"/>
  </r>
  <r>
    <s v="COM699F5CF21661A"/>
    <n v="243436"/>
    <s v="25/02/2026 17:34"/>
    <x v="3"/>
    <m/>
    <s v="26/02/2026"/>
    <s v="Aprovado"/>
    <n v="1"/>
    <n v="1"/>
    <n v="28900"/>
    <m/>
    <n v="28900"/>
    <s v=""/>
    <s v="TED"/>
    <s v="ted"/>
    <s v="Silicon Valley Xperience -  23 a 27 de Março de 2026"/>
    <s v="silicon-valley-xperience-ed2a26"/>
    <s v="Adriene Gomes"/>
    <m/>
    <s v="27.865.757/0001-02"/>
    <s v="GLOBO COMUNICACAO E PARTICIPACOES S/A"/>
    <s v="adriene.gomes@g.globo"/>
    <s v="21993133605"/>
    <s v="2121554551"/>
    <s v="22460901"/>
    <s v="LOPES QUINTAS"/>
    <s v="303"/>
    <m/>
    <s v="JARDIM BOTANICO"/>
    <s v="Rio de Janeiro"/>
    <s v="RJ"/>
    <s v="Turismo - 50%"/>
    <s v="Silicon Valley Xperience - 23 a 27 de Março de 2026  Natália Pamplona"/>
    <m/>
    <m/>
    <m/>
    <s v="e61520fe9260c9b2add229cf49e0f750"/>
    <m/>
    <s v="Nao"/>
    <x v="8"/>
    <m/>
    <s v="23/03/2026"/>
    <m/>
    <m/>
    <s v="https://loja.startse.com.br//processamento/fatura/e61520fe9260c9b2add229cf49e0f750"/>
    <s v="Vale do Silício"/>
    <s v="KAM"/>
    <s v="27/04/2018"/>
    <s v="ID-27865757000102"/>
    <s v="Aguardando recebimento"/>
    <m/>
    <x v="3"/>
  </r>
  <r>
    <s v="ORDG4LS854L7GRZM"/>
    <n v="243423"/>
    <s v="25/02/2026 16:23"/>
    <x v="3"/>
    <m/>
    <s v="25/02/2026"/>
    <s v="Aprovado"/>
    <n v="1"/>
    <n v="0"/>
    <n v="0"/>
    <m/>
    <n v="0"/>
    <m/>
    <s v="Cortesia"/>
    <s v="cortesia"/>
    <s v="AI for Leaders - 2ª edição - 2025"/>
    <s v="ai-for-leaders-ed2a25"/>
    <s v="MAURÍCIO SILVA DA SILVA"/>
    <s v="51345129068"/>
    <s v="17.351.180/0001-59"/>
    <s v="Banco Triângulo S/A"/>
    <s v="silvam@tribanco.com.br"/>
    <s v="61991552939"/>
    <m/>
    <s v="73105905"/>
    <s v="Rodovia DF 001 km 1 COND MANSÕES"/>
    <m/>
    <s v="CASA J16"/>
    <s v="Grande Colorado (Sobradinho)"/>
    <s v="Brasília"/>
    <s v="DF"/>
    <s v="Filial(São Paulo)"/>
    <m/>
    <m/>
    <m/>
    <m/>
    <s v="9fd514c3b7078c4931e3067ed5f48f04"/>
    <s v="OFFTRIBANCO"/>
    <s v="Nao"/>
    <x v="0"/>
    <m/>
    <s v="15/05/2025"/>
    <m/>
    <m/>
    <m/>
    <s v="Brasil"/>
    <s v="KAM"/>
    <s v="06/03/2017"/>
    <s v="ID-17351180000159"/>
    <m/>
    <m/>
    <x v="1"/>
  </r>
  <r>
    <s v="COM699F4B40E1EFC"/>
    <n v="243421"/>
    <s v="25/02/2026 16:19"/>
    <x v="3"/>
    <m/>
    <s v="26/02/2026"/>
    <s v="Aprovado"/>
    <n v="2"/>
    <n v="1"/>
    <n v="2500"/>
    <s v="Boleto Bradesco"/>
    <n v="2346.25"/>
    <s v=""/>
    <s v="Boleto"/>
    <s v="boleto"/>
    <s v="RH Leadership Xperience 2026 - Ingresso Interactive"/>
    <s v="evento-rh-ed1a26_interactive"/>
    <s v="Igor Oliveira"/>
    <m/>
    <s v="05.524.572/0001-93"/>
    <s v="ICONIC LUBRIFICANTES S.A."/>
    <s v="igor.ricardo@iconic.com.br"/>
    <s v="21981811970"/>
    <s v="2125105925"/>
    <s v="22640102"/>
    <s v="DAS AMERICAS"/>
    <s v="03434"/>
    <s v="BLC 7 4 ANDAR SALAS 401 A 408"/>
    <s v="BARRA DA TIJUCA"/>
    <s v="Rio de Janeiro"/>
    <s v="RJ"/>
    <s v="Filial(São Paulo)"/>
    <s v="RH Leadership Xperience 2026 - Ingresso Interactive"/>
    <m/>
    <m/>
    <m/>
    <s v="612de0068d4351f0268bd59eff20561e"/>
    <m/>
    <s v="Nao"/>
    <x v="6"/>
    <m/>
    <s v="26/03/2026"/>
    <m/>
    <m/>
    <m/>
    <m/>
    <s v="KAM"/>
    <s v="17/05/2022"/>
    <s v="ID-05524572000193"/>
    <s v="Pago"/>
    <m/>
    <x v="0"/>
  </r>
  <r>
    <s v="ORDHFFBM6CBLOIKE"/>
    <n v="243419"/>
    <s v="25/02/2026 16:14"/>
    <x v="3"/>
    <m/>
    <s v="25/02/2026"/>
    <s v="Aprovado"/>
    <n v="1"/>
    <n v="0"/>
    <n v="0"/>
    <m/>
    <n v="0"/>
    <m/>
    <s v="Cortesia"/>
    <s v="cortesia"/>
    <s v="AI for Leaders - 2ª edição - 2025"/>
    <s v="ai-for-leaders-ed2a25"/>
    <s v="Priscila Dias"/>
    <s v="05636179774"/>
    <m/>
    <m/>
    <s v="linhares@tribanco.com.br"/>
    <s v="21964743224"/>
    <m/>
    <s v="21220300"/>
    <s v="Avenida Pastor Martin Luther King Jr"/>
    <s v="1046"/>
    <m/>
    <s v="Tomás Coelho"/>
    <s v="Rio de Janeiro"/>
    <s v="RJ"/>
    <s v="Filial(São Paulo)"/>
    <m/>
    <m/>
    <m/>
    <m/>
    <s v="0fb5c1c85dbcc1977338929d670257fd"/>
    <s v="OFFTRIBANCO"/>
    <s v="Nao"/>
    <x v="0"/>
    <m/>
    <s v="15/05/2025"/>
    <m/>
    <m/>
    <m/>
    <s v="Brasil"/>
    <s v="KAM"/>
    <m/>
    <s v="ID-05636179774"/>
    <m/>
    <m/>
    <x v="1"/>
  </r>
  <r>
    <s v="ORDR17CW5Y46TDRI"/>
    <n v="243410"/>
    <s v="25/02/2026 14:47"/>
    <x v="3"/>
    <m/>
    <s v="25/02/2026"/>
    <s v="Aprovado"/>
    <n v="1"/>
    <n v="12"/>
    <n v="70000"/>
    <s v="Braintree"/>
    <n v="65695"/>
    <s v="28974115835G8H8OPHBE"/>
    <s v="Crédito Parcelado"/>
    <s v="visa"/>
    <s v="New Brokers 2026 - Nestlé &amp;amp; Brokers: Construindo o Futuro Juntos"/>
    <s v="corporate-jornada-ed13a26"/>
    <s v="Alexandre do amaral"/>
    <s v="03834182591"/>
    <s v="07.112.198/0001-44"/>
    <s v="MB LOGISTICA E REPRESENTACAO LTDA"/>
    <s v="alexandre@mblogistica-se.com.br"/>
    <s v="79999821013"/>
    <m/>
    <s v="49160000"/>
    <s v="BR 235 KM 05"/>
    <m/>
    <s v="GALPAO04"/>
    <s v="POVOADO SOBRADO"/>
    <s v="Nossa Senhora do Socorro"/>
    <s v="SE"/>
    <s v="Filial(São Paulo)"/>
    <m/>
    <m/>
    <m/>
    <m/>
    <s v="bcc2337f1062cddaecda3ff945b17b9b"/>
    <s v="NewBroker2026"/>
    <s v="Nao"/>
    <x v="7"/>
    <m/>
    <s v="06/04/2026"/>
    <m/>
    <m/>
    <m/>
    <m/>
    <s v="KAM"/>
    <s v="29/08/2025"/>
    <s v="ID-07112198000144"/>
    <m/>
    <m/>
    <x v="0"/>
  </r>
  <r>
    <s v="COM699F223C977DF"/>
    <n v="243400"/>
    <s v="25/02/2026 13:24"/>
    <x v="3"/>
    <m/>
    <s v="25/02/2026"/>
    <s v="Aprovado"/>
    <n v="1"/>
    <n v="1"/>
    <n v="15500"/>
    <m/>
    <n v="14546.75"/>
    <s v=""/>
    <s v="TED"/>
    <s v="ted"/>
    <s v="Executive Program - 23 a 25 de Março de 2026"/>
    <s v="executive-program-ed3a26"/>
    <s v="BANCO BRADESCO S.A."/>
    <m/>
    <s v="60.746.948/0283-94"/>
    <s v="BANCO BRADESCO S.A."/>
    <s v="priscila.pontes@bradesco.com.br"/>
    <s v="11953849961"/>
    <s v="1133678700"/>
    <s v="01042001"/>
    <s v="BR DE ITAPETININGA"/>
    <s v="107"/>
    <m/>
    <s v="REPUBLICA"/>
    <s v="São Paulo"/>
    <s v="SP"/>
    <s v="Filial(São Paulo)"/>
    <s v="EVENTO: 50369446 - PARTICIPANTE: RENATA GEISER MANTARRO"/>
    <m/>
    <m/>
    <m/>
    <s v="edc5975509c67657f67c8ca0325a5916"/>
    <m/>
    <s v="Nao"/>
    <x v="7"/>
    <m/>
    <s v="23/03/2026"/>
    <m/>
    <m/>
    <m/>
    <m/>
    <s v="KAM"/>
    <s v="04/11/2017"/>
    <s v="ID-60746948028394"/>
    <s v="Aguardando recebimento"/>
    <m/>
    <x v="3"/>
  </r>
  <r>
    <s v="COM699F215A147EA"/>
    <n v="243399"/>
    <s v="25/02/2026 13:20"/>
    <x v="3"/>
    <m/>
    <s v="25/02/2026"/>
    <s v="Aprovado"/>
    <n v="4"/>
    <n v="1"/>
    <n v="118888"/>
    <m/>
    <n v="511951.75"/>
    <s v=""/>
    <s v="TED"/>
    <s v="ted"/>
    <s v="StartSe Board Program - Turma 14 - 2026"/>
    <s v="board-program-ed2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04/05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11"/>
    <n v="1"/>
    <n v="180985.75"/>
    <m/>
    <n v="511951.75"/>
    <s v=""/>
    <s v="TED"/>
    <s v="ted"/>
    <s v="Executive Program - 25 a 27 de Maio de 2026"/>
    <s v="executive-program-ed5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25/05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4"/>
    <n v="1"/>
    <n v="62000"/>
    <m/>
    <n v="511951.75"/>
    <s v=""/>
    <s v="TED"/>
    <s v="ted"/>
    <s v="Executive Program - 24 a 26 de Agosto de 2026"/>
    <s v="executive-program-ed8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24/08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5"/>
    <n v="1"/>
    <n v="77500"/>
    <m/>
    <n v="511951.75"/>
    <s v=""/>
    <s v="TED"/>
    <s v="ted"/>
    <s v="Executive Program - 21 a 23 de Setembro de 2026"/>
    <s v="executive-program-ed9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21/09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5"/>
    <n v="1"/>
    <n v="77500"/>
    <m/>
    <n v="511951.75"/>
    <s v=""/>
    <s v="TED"/>
    <s v="ted"/>
    <s v="Executive Program - 09 a 11 de Novembro de 2026"/>
    <s v="executive-program-ed11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09/11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2"/>
    <n v="1"/>
    <n v="18000"/>
    <m/>
    <n v="511951.75"/>
    <s v=""/>
    <s v="TED"/>
    <s v="ted"/>
    <s v="AI Strategy - 27 de agosto de 2026"/>
    <s v="imersao-presencial-strategy-ai-ed2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27/08/2026"/>
    <m/>
    <m/>
    <m/>
    <s v="Brasil,Brasil,Brasil"/>
    <s v="KAM"/>
    <s v="17/04/2018"/>
    <s v="ID-10510590000156"/>
    <s v="Aguardando recebimento"/>
    <m/>
    <x v="2"/>
  </r>
  <r>
    <s v="COM699F215A147EA"/>
    <n v="243399"/>
    <s v="25/02/2026 13:20"/>
    <x v="3"/>
    <m/>
    <s v="25/02/2026"/>
    <s v="Aprovado"/>
    <n v="1"/>
    <n v="1"/>
    <n v="29722"/>
    <m/>
    <n v="511951.75"/>
    <s v=""/>
    <s v="TED"/>
    <s v="ted"/>
    <s v="StartSe Board Program - Turma 15 - 2026"/>
    <s v="board-program-ed3a26"/>
    <s v="Williams Tarigo Correa"/>
    <m/>
    <s v="10.510.590/0001-56"/>
    <s v="SERVICO NACIONAL DE APRENDIZAGEM DO COOPERATIVISMO DO ESTADO DO RIO GRANDE DO SUL - SESCOOP/RS"/>
    <s v="williams_correa@sicredi.com.br"/>
    <s v="51992357089"/>
    <s v="5133230018"/>
    <s v="90240581"/>
    <s v="BERLIM"/>
    <s v="409"/>
    <s v="ANDAR 3"/>
    <s v="SAO GERALDO"/>
    <s v="Porto Alegre"/>
    <s v="RS"/>
    <s v="Filial(São Paulo)"/>
    <s v="INSTRUMENTO CONTRATUAL N.º xxxx/xxxx - Vagas CENTRAL SICREDI SUL/SUDESTE"/>
    <m/>
    <m/>
    <m/>
    <s v="704535500973b863eb9da70f3b9f4578"/>
    <m/>
    <s v="Nao"/>
    <x v="7"/>
    <m/>
    <s v="03/08/2026"/>
    <m/>
    <m/>
    <m/>
    <s v="Brasil,Brasil,Brasil"/>
    <s v="KAM"/>
    <s v="17/04/2018"/>
    <s v="ID-10510590000156"/>
    <s v="Aguardando recebimento"/>
    <m/>
    <x v="2"/>
  </r>
  <r>
    <s v="COM699F0E42F124E"/>
    <n v="243394"/>
    <s v="25/02/2026 11:59"/>
    <x v="3"/>
    <m/>
    <s v="25/02/2026"/>
    <s v="Aprovado"/>
    <n v="2"/>
    <n v="1"/>
    <n v="56000"/>
    <s v="Boleto Bradesco"/>
    <n v="52556"/>
    <s v=""/>
    <s v="Boleto"/>
    <s v="boleto"/>
    <s v="StartSe Board Program - Turma 15 - 2026"/>
    <s v="board-program-ed3a26"/>
    <s v="Williams Tarigo Correa"/>
    <m/>
    <s v="87.437.687/0001-05"/>
    <s v="COOPERATIVA CENTRAL DE CREDITO POUPANCA E INVESTIMENTO DO SUL E SUDESTE - CENTRAL SICREDI SUL/SUDESTE"/>
    <s v="williams_correa@sicredi.com.br"/>
    <s v="51992357089"/>
    <s v="5133585400"/>
    <s v="90110230"/>
    <s v="MANOELITO DE ORNELLAS"/>
    <s v="55"/>
    <s v="ANDAR 18 E 19"/>
    <s v="PRAIA DE BELAS"/>
    <s v="Porto Alegre"/>
    <s v="RS"/>
    <s v="Filial(São Paulo)"/>
    <s v="Board Program - Turma 15 - 2 Participantes: Edison Francisco Neuwald Silva e Paulo Alex Falcão"/>
    <m/>
    <m/>
    <m/>
    <s v="659a7491c36a16483acc9a67c1d88c74"/>
    <m/>
    <s v="Nao"/>
    <x v="7"/>
    <m/>
    <s v="03/08/2026"/>
    <m/>
    <m/>
    <m/>
    <s v="Brasil"/>
    <s v="KAM"/>
    <s v="23/03/2023"/>
    <s v="ID-87437687000105"/>
    <s v="Aguardando recebimento"/>
    <m/>
    <x v="2"/>
  </r>
  <r>
    <s v="COM6984E06C2D862"/>
    <n v="242046"/>
    <s v="25/02/2026 11:03"/>
    <x v="3"/>
    <m/>
    <s v="25/02/2026"/>
    <s v="Aprovado"/>
    <n v="5"/>
    <n v="12"/>
    <n v="174999.96"/>
    <s v="Braintree"/>
    <n v="174999.96"/>
    <s v="28987210985G837RFFJC"/>
    <s v="Crédito Parcelado"/>
    <s v="amex"/>
    <s v="Imersão China Exclusiva | Franqueados MC Donalds"/>
    <s v="corporate-china-xperience-ed2a26"/>
    <s v="ADOLFO BICHUCHER NETO"/>
    <s v="07400353802"/>
    <s v="28.835.828/0001-89"/>
    <s v="BEIRA MAR COMERCIO DE ALIMENTOS LTDA"/>
    <s v="adolfobichucher@bichucher.com.br"/>
    <s v="85987610470"/>
    <s v="8531339860"/>
    <s v="60125150"/>
    <s v="OSVALDO CRUZ"/>
    <s v="1"/>
    <s v="LOJA  01"/>
    <s v="MEIRELES"/>
    <s v="Fortaleza"/>
    <s v="CE"/>
    <s v="Turismo - 50%"/>
    <s v="Imersão China Exclusiva | Franqueados MC Donalds"/>
    <m/>
    <m/>
    <m/>
    <s v="0cfe0c191bff0f6f69f98bf9885d777a"/>
    <s v="OFFMCFRANQUEADOS"/>
    <s v="Nao"/>
    <x v="0"/>
    <m/>
    <s v="07/09/2026"/>
    <m/>
    <m/>
    <s v="https://loja.startse.com.br//processamento/fatura/0cfe0c191bff0f6f69f98bf9885d777a"/>
    <s v="China"/>
    <s v="KAM"/>
    <s v="25/02/2026"/>
    <s v="ID-28835828000189"/>
    <s v="A pagar"/>
    <m/>
    <x v="0"/>
  </r>
  <r>
    <s v="COM699E0613C21D8"/>
    <n v="243324"/>
    <s v="24/02/2026 17:12"/>
    <x v="3"/>
    <m/>
    <s v="25/02/2026"/>
    <s v="Aprovado"/>
    <n v="13"/>
    <n v="1"/>
    <n v="37700"/>
    <m/>
    <n v="34137.35"/>
    <s v=""/>
    <s v="TED"/>
    <s v="ted"/>
    <s v="Imersão Multiagentes - Presencial - 27 de Fevereiro de 2026"/>
    <s v="imersao-multiagentes-ed13a26"/>
    <s v="CAIXA ECONOMICA FEDERAL - GEDUC01 - Soluções Educacionais - Liderança"/>
    <m/>
    <s v="00.360.305/0198-08"/>
    <s v="CAIXA ECONOMICA FEDERAL"/>
    <s v="geduc01@caixa.gov.br"/>
    <s v="2133200550"/>
    <s v="2133200550"/>
    <s v="20050008"/>
    <s v="DA CARIOCA"/>
    <s v="00027"/>
    <s v="NUM 00029. NUM 00031. NUM 00033"/>
    <s v="CENTRO"/>
    <s v="Rio de Janeiro"/>
    <s v="RJ"/>
    <s v="Filial(São Paulo)"/>
    <s v="Nº da Autorização: 0925/2026 - 13 participantes Imersão MultiAgentes - Dados Bancários para pagamento: Banco Itaú (341) – Agência 0185 – Conta Corrente 37248-9 Observação de solicitação de cancelamento: VENDA FOI SUBSTITUÍDA PELA GUID COM698B54B458AF9"/>
    <m/>
    <m/>
    <m/>
    <s v="a26413e0e52063c3d3fc18efbb8105f7"/>
    <m/>
    <s v="Nao"/>
    <x v="7"/>
    <m/>
    <s v="27/02/2026"/>
    <m/>
    <m/>
    <m/>
    <m/>
    <s v="KAM"/>
    <s v="24/02/2026"/>
    <s v="ID-00360305019808"/>
    <s v="Aguardando recebimento"/>
    <m/>
    <x v="3"/>
  </r>
  <r>
    <s v="COM699E0613C21D8"/>
    <n v="243324"/>
    <s v="24/02/2026 17:12"/>
    <x v="3"/>
    <m/>
    <s v="25/02/2026"/>
    <s v="Aprovado"/>
    <n v="13"/>
    <n v="1"/>
    <n v="37700"/>
    <m/>
    <n v="34137.35"/>
    <s v=""/>
    <s v="TED"/>
    <s v="ted"/>
    <s v="Imersão Multiagentes - Presencial - 27 de Fevereiro de 2026"/>
    <s v="imersao-multiagentes-ed13a26"/>
    <s v="CAIXA ECONOMICA FEDERAL - GEDUC01 - Soluções Educacionais - Liderança"/>
    <m/>
    <s v="00.360.305/0198-08"/>
    <s v="CAIXA ECONOMICA FEDERAL"/>
    <s v="geduc01@caixa.gov.br"/>
    <s v="2133200550"/>
    <s v="2133200550"/>
    <s v="20050008"/>
    <s v="DA CARIOCA"/>
    <s v="00027"/>
    <s v="NUM 00029. NUM 00031. NUM 00033"/>
    <s v="CENTRO"/>
    <s v="Rio de Janeiro"/>
    <s v="RJ"/>
    <s v="Filial(São Paulo)"/>
    <s v="Nº da Autorização: 0925/2026 - 13 participantes Imersão MultiAgentes - Dados Bancários para pagamento: Banco Itaú (341) – Agência 0185 – Conta Corrente 37248-9 Observação de solicitação de cancelamento: VENDA FOI SUBSTITUÍDA PELA GUID COM698B54B458AF9"/>
    <m/>
    <m/>
    <m/>
    <s v="a26413e0e52063c3d3fc18efbb8105f7"/>
    <m/>
    <s v="Nao"/>
    <x v="7"/>
    <m/>
    <s v="27/02/2026"/>
    <m/>
    <m/>
    <m/>
    <m/>
    <s v="KAM"/>
    <s v="24/02/2026"/>
    <s v="ID-00360305019808"/>
    <s v="Aguardando recebimento"/>
    <m/>
    <x v="3"/>
  </r>
  <r>
    <s v="COM699DF4F95D23C"/>
    <n v="243313"/>
    <s v="24/02/2026 15:59"/>
    <x v="3"/>
    <m/>
    <s v="25/02/2026"/>
    <s v="Aprovado"/>
    <n v="1"/>
    <n v="1"/>
    <n v="37500"/>
    <m/>
    <n v="175968.75"/>
    <s v=""/>
    <s v="TED"/>
    <s v="ted"/>
    <s v="Sest Senat | 1º Aditivo Contratual - Jornada IA e Dados"/>
    <s v="corporate-jornada-ed14a26_pagamento-01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12500"/>
    <m/>
    <n v="175968.75"/>
    <s v=""/>
    <s v="TED"/>
    <s v="ted"/>
    <s v="Sest Senat | 1º Aditivo Contratual - Jornada IA e Dados"/>
    <s v="corporate-jornada-ed14a26_pagamento-02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25000"/>
    <m/>
    <n v="175968.75"/>
    <s v=""/>
    <s v="TED"/>
    <s v="ted"/>
    <s v="Sest Senat | 1º Aditivo Contratual - Jornada IA e Dados"/>
    <s v="corporate-jornada-ed14a26_pagamento-03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25000"/>
    <m/>
    <n v="175968.75"/>
    <s v=""/>
    <s v="TED"/>
    <s v="ted"/>
    <s v="Sest Senat | 1º Aditivo Contratual - Jornada IA e Dados"/>
    <s v="corporate-jornada-ed14a26_pagamento-04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25000"/>
    <m/>
    <n v="175968.75"/>
    <s v=""/>
    <s v="TED"/>
    <s v="ted"/>
    <s v="Sest Senat | 1º Aditivo Contratual - Jornada IA e Dados"/>
    <s v="corporate-jornada-ed14a26_pagamento-05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25000"/>
    <m/>
    <n v="175968.75"/>
    <s v=""/>
    <s v="TED"/>
    <s v="ted"/>
    <s v="Sest Senat | 1º Aditivo Contratual - Jornada IA e Dados"/>
    <s v="corporate-jornada-ed14a26_pagamento-06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9DF4F95D23C"/>
    <n v="243313"/>
    <s v="24/02/2026 15:59"/>
    <x v="3"/>
    <m/>
    <s v="25/02/2026"/>
    <s v="Aprovado"/>
    <n v="1"/>
    <n v="1"/>
    <n v="37500"/>
    <m/>
    <n v="175968.75"/>
    <s v=""/>
    <s v="TED"/>
    <s v="ted"/>
    <s v="Sest Senat | 1º Aditivo Contratual - Jornada IA e Dados"/>
    <s v="corporate-jornada-ed14a26_pagamento-07"/>
    <s v="Nicole Goulart"/>
    <m/>
    <s v="73.471.963/0001-47"/>
    <s v="SENAT SERVICO NACIONAL DE APRENDIZAGEM DO TRANSPORTE"/>
    <s v="laianabrito@sestsenat.org.br"/>
    <s v="8899742284"/>
    <s v="6133157000"/>
    <s v="70070944"/>
    <s v="SAUS Q.1 B.J SL.1 2 TERREO ED.CLESIO ANDRADE ENT.10 SL.201"/>
    <s v="S/N"/>
    <s v="SLJ 301 401 501 601 A605SLJ 701 702 801 901"/>
    <s v="ASA SUL"/>
    <s v="Brasília"/>
    <s v="DF"/>
    <s v="Filial(São Paulo)"/>
    <s v="Sest Senat | 1º Aditivo Contratual - Jornada IA e Dados - Contrato nº 01 – Processo nº 000006714-9/2025_x000a_Contrato nº 01 – Processo nº 000006714-9/2025"/>
    <m/>
    <m/>
    <m/>
    <s v="9341c093fac940533976d2c251a46c4b"/>
    <m/>
    <s v="Nao"/>
    <x v="2"/>
    <m/>
    <s v="31/12/2099"/>
    <m/>
    <m/>
    <m/>
    <m/>
    <s v="KAM"/>
    <s v="13/03/2023"/>
    <s v="ID-73471963000147"/>
    <s v="Aguardando recebimento"/>
    <m/>
    <x v="4"/>
  </r>
  <r>
    <s v="COM69CC20CF86D13"/>
    <n v="246462"/>
    <s v="24/02/2026 15:13"/>
    <x v="3"/>
    <m/>
    <s v="31/03/2026"/>
    <s v="Aprovado"/>
    <n v="1"/>
    <n v="1"/>
    <n v="400000"/>
    <m/>
    <n v="375400"/>
    <s v=""/>
    <s v="TED"/>
    <s v="ted"/>
    <s v="Jornada Liderança JDE_São Paulo / SP"/>
    <s v="corporate-jornada-ed15a26"/>
    <s v="Beatriz Pereira"/>
    <m/>
    <s v="02.333.707/0001-45"/>
    <s v="JACOBS DOUWE EGBERTS BR COMERCIALIZACAO DE CAFES LTDA."/>
    <s v="beatriz.pereira@jdecoffee.com"/>
    <s v="11990025531"/>
    <s v="1145256264"/>
    <s v="06460000"/>
    <s v="TAMBORE"/>
    <s v="267"/>
    <s v="TERREOCOMPLEXO DE REUNIAO LOJA 14"/>
    <s v="TAMBORE"/>
    <s v="Barueri"/>
    <s v="SP"/>
    <s v="Filial(São Paulo)"/>
    <s v="Jornada Liderança JDE_São Paulo / SP | PO 5401164686"/>
    <m/>
    <m/>
    <m/>
    <s v="4c027a6e4067fd07ba9ec6864f0b5314"/>
    <m/>
    <s v="Nao"/>
    <x v="4"/>
    <m/>
    <s v="14/05/2026"/>
    <m/>
    <m/>
    <m/>
    <m/>
    <s v="KAM"/>
    <s v="24/02/2026"/>
    <s v="ID-02333707000145"/>
    <s v="Aguardando recebimento"/>
    <m/>
    <x v="2"/>
  </r>
  <r>
    <s v="ORDVCC4N4COQ45PZ"/>
    <n v="243301"/>
    <s v="24/02/2026 14:40"/>
    <x v="3"/>
    <m/>
    <s v="24/02/2026"/>
    <s v="Aprovado"/>
    <n v="3"/>
    <n v="1"/>
    <n v="2397.54"/>
    <s v="Braintree"/>
    <n v="2397.54"/>
    <s v="28974115835G7JCA91UE"/>
    <s v="Crédito à Vista"/>
    <s v="mastercard"/>
    <s v="RH Leadership Xperience 2026 - Ingresso Explorer"/>
    <s v="evento-rh-ed1a26_explorer"/>
    <s v="Priscila Hellen Stahl David"/>
    <s v="37002891898"/>
    <m/>
    <m/>
    <s v="stahldavidpriscilah@johndeere.com"/>
    <s v="19971212092"/>
    <m/>
    <s v="13331720"/>
    <s v="Rua Rosendo Rodrigues da Silva"/>
    <s v="122"/>
    <s v="Condominio Di Roma"/>
    <s v="Di Roma"/>
    <s v="Indaiatuba"/>
    <s v="SP"/>
    <s v="Filial(São Paulo)"/>
    <m/>
    <m/>
    <m/>
    <m/>
    <s v="bffd21b9f222499ff4db86289461f56d"/>
    <s v="JOHNDEERERH"/>
    <s v="Nao"/>
    <x v="6"/>
    <m/>
    <s v="26/03/2026"/>
    <m/>
    <m/>
    <m/>
    <m/>
    <s v="KAM"/>
    <s v="24/02/2026"/>
    <s v="ID-37002891898"/>
    <m/>
    <m/>
    <x v="0"/>
  </r>
  <r>
    <s v="COM6984DE5FB29BB"/>
    <n v="242042"/>
    <s v="23/02/2026 16:37"/>
    <x v="3"/>
    <m/>
    <s v="23/02/2026"/>
    <s v="Aprovado"/>
    <n v="1"/>
    <n v="4"/>
    <n v="34999.99"/>
    <s v="Braintree"/>
    <n v="34999.99"/>
    <s v="28987210985G751O7D5C"/>
    <s v="Crédito Parcelado"/>
    <s v="mastercard"/>
    <s v="Imersão China Exclusiva | Franqueados MC Donalds"/>
    <s v="corporate-china-xperience-ed2a26"/>
    <s v="Carlos Eduardo Murrer Gomes"/>
    <s v="31065126875"/>
    <s v="66.631.854/0002-65"/>
    <s v="PRO-FOOD COMERCIO DE ALIMENTOS LTDA"/>
    <s v="carlos@protrade.com.br"/>
    <s v="19981616125"/>
    <s v="19981616125"/>
    <s v="13092123"/>
    <s v="JOSE DE SOUZA CAMPOS"/>
    <s v="44"/>
    <m/>
    <s v="JARDIM PARAISO"/>
    <s v="Campinas"/>
    <s v="SP"/>
    <s v="Turismo - 50%"/>
    <s v="Imersão China Exclusiva | Franqueados MC Donalds"/>
    <m/>
    <m/>
    <m/>
    <s v="e97782e4caca20c7307b8ae59ca37cfa"/>
    <s v="OFFMCFRANQUEADOS"/>
    <s v="Nao"/>
    <x v="0"/>
    <m/>
    <s v="07/09/2026"/>
    <m/>
    <m/>
    <s v="https://loja.startse.com.br//processamento/fatura/e97782e4caca20c7307b8ae59ca37cfa"/>
    <s v="China"/>
    <s v="KAM"/>
    <s v="04/11/2025"/>
    <s v="ID-66631854000265"/>
    <s v="A pagar"/>
    <m/>
    <x v="0"/>
  </r>
  <r>
    <s v="ORDJEUGZ0ZOHZ7K6"/>
    <n v="243230"/>
    <s v="23/02/2026 15:45"/>
    <x v="3"/>
    <m/>
    <s v="23/02/2026"/>
    <s v="Aprovado"/>
    <n v="2"/>
    <n v="1"/>
    <n v="1918.8"/>
    <s v="Braintree"/>
    <n v="1800.79"/>
    <s v="28974115835G6LGLA01E"/>
    <s v="Crédito à Vista"/>
    <s v="amex"/>
    <s v="RH Leadership Xperience 2026 - Ingresso Explorer"/>
    <s v="evento-rh-ed1a26_explorer"/>
    <s v="Mariane Oliveira"/>
    <s v="13537026692"/>
    <s v="71.208.516/0001-74"/>
    <s v="ALGAR TELECOM S/A"/>
    <s v="mariane.oliveira@algar.com.br"/>
    <s v="34998883650"/>
    <s v="34998883650"/>
    <s v="38400668"/>
    <s v="JOSE ALVES GARCIA"/>
    <s v="415"/>
    <s v="n/a"/>
    <s v="BRASIL"/>
    <s v="Uberlândia"/>
    <s v="MG"/>
    <s v="Filial(São Paulo)"/>
    <m/>
    <m/>
    <m/>
    <m/>
    <s v="7a900e13be0de83721fa93177663be39"/>
    <s v="PATRICIAALGAR_0"/>
    <s v="Nao"/>
    <x v="6"/>
    <m/>
    <s v="26/03/2026"/>
    <m/>
    <m/>
    <m/>
    <m/>
    <s v="KAM"/>
    <s v="16/03/2018"/>
    <s v="ID-71208516000174"/>
    <m/>
    <m/>
    <x v="0"/>
  </r>
  <r>
    <s v="COM699C94A97DB2E"/>
    <n v="243226"/>
    <s v="23/02/2026 14:55"/>
    <x v="3"/>
    <m/>
    <m/>
    <s v="Aprovado"/>
    <n v="2"/>
    <n v="1"/>
    <n v="0"/>
    <m/>
    <n v="0"/>
    <s v=""/>
    <s v="Cortesia"/>
    <s v="cortesia"/>
    <s v="AI para Negócios - Imersão Presencial -  26 e 27 de Fevereiro de 2026"/>
    <s v="imersao-presencial-de-ai-ed3a26"/>
    <s v="Eliezer Oliveira Santos"/>
    <s v="00539859079"/>
    <m/>
    <m/>
    <s v="eliezer.santos@iatec.com"/>
    <s v="5519983170122"/>
    <m/>
    <s v="04578-910"/>
    <s v="Avenida das Nações Unidas"/>
    <s v="12901"/>
    <m/>
    <s v="Brooklin Paulista"/>
    <s v="São Paulo"/>
    <s v="SP"/>
    <s v="Filial(São Paulo)"/>
    <s v="AI para Negócios - Imersão Presencial - 26 e 27 de Fevereiro de 2026"/>
    <m/>
    <m/>
    <m/>
    <s v="99048326ccb851e3a944481221e9ce7a"/>
    <m/>
    <s v="Nao"/>
    <x v="8"/>
    <m/>
    <s v="26/02/2026"/>
    <m/>
    <m/>
    <m/>
    <m/>
    <s v="KAM"/>
    <s v="05/12/2025"/>
    <s v="ID-00539859079"/>
    <m/>
    <m/>
    <x v="1"/>
  </r>
  <r>
    <s v="COM699C92B54FE83"/>
    <n v="243225"/>
    <s v="23/02/2026 14:47"/>
    <x v="3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Luciana Pinto Coelho Alde"/>
    <s v="26447776822"/>
    <m/>
    <m/>
    <s v="luciana.alde@grupovamos.com.br"/>
    <s v="5511960595720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eb05c11b65358d3af6eaf869633e794e"/>
    <m/>
    <s v="Nao"/>
    <x v="5"/>
    <m/>
    <s v="26/03/2026"/>
    <m/>
    <m/>
    <m/>
    <m/>
    <s v="KAM"/>
    <s v="30/10/2019"/>
    <s v="ID-26447776822"/>
    <m/>
    <m/>
    <x v="1"/>
  </r>
  <r>
    <s v="COM699C616D220B1"/>
    <n v="243205"/>
    <s v="23/02/2026 11:17"/>
    <x v="3"/>
    <m/>
    <s v="24/02/2026"/>
    <s v="Aprovado"/>
    <n v="4"/>
    <n v="1"/>
    <n v="3230.01"/>
    <s v="Boleto Bradesco"/>
    <n v="3031.36"/>
    <s v=""/>
    <s v="Boleto"/>
    <s v="boleto"/>
    <s v="RH Leadership Xperience 2026 - Ingresso Explorer"/>
    <s v="evento-rh-ed1a26_explorer"/>
    <s v="Elaine Domingos"/>
    <m/>
    <s v="61.198.164/0001-60"/>
    <s v="PORTO SEGURO COMPANHIA DE SEGUROS GERAIS"/>
    <s v="elaine.domingos@portoseguro.com.br"/>
    <s v="11966558926"/>
    <s v="1123936762"/>
    <s v="01205001"/>
    <s v="RIO BRANCO"/>
    <s v="1489"/>
    <s v="RUA GUAIANASES, 1238"/>
    <s v="CAMPOS ELISEOS"/>
    <s v="São Paulo"/>
    <s v="SP"/>
    <s v="Filial(São Paulo)"/>
    <s v="RH Leadership Xperience 2026 - Ingresso Explorer"/>
    <m/>
    <m/>
    <m/>
    <s v="de58e3b6b05164631e1916c138b29a45"/>
    <m/>
    <s v="Nao"/>
    <x v="6"/>
    <m/>
    <s v="26/03/2026"/>
    <m/>
    <m/>
    <m/>
    <m/>
    <s v="KAM"/>
    <s v="19/06/2017"/>
    <s v="ID-61198164000160"/>
    <s v="Pago"/>
    <m/>
    <x v="0"/>
  </r>
  <r>
    <s v="ORDTHL4YNEL9UHKR"/>
    <n v="243201"/>
    <s v="23/02/2026 11:00"/>
    <x v="3"/>
    <m/>
    <s v="23/02/2026"/>
    <s v="Aprovado"/>
    <n v="1"/>
    <n v="6"/>
    <n v="20000"/>
    <s v="Braintree"/>
    <n v="18770"/>
    <s v="28974115835G6LG69OEE"/>
    <s v="Crédito Parcelado"/>
    <s v="mastercard"/>
    <s v="New Brokers 2026 - Nestlé &amp;amp; Brokers: Construindo o Futuro Juntos"/>
    <s v="corporate-jornada-ed13a26"/>
    <s v="Igor Inácio Dupont"/>
    <s v="01802787038"/>
    <s v="89.194.377/0001-32"/>
    <s v="DUPONT DISTRIBUIDORA DE ALIMENTOS LTDA"/>
    <s v="igor@grupodupont.com.br"/>
    <s v="51999970486"/>
    <m/>
    <s v="96814400"/>
    <s v="Avenida João Pessoa"/>
    <s v="1"/>
    <s v="KM 122 3"/>
    <s v="Santo Inácio"/>
    <s v="Santa Cruz do Sul"/>
    <s v="RS"/>
    <s v="Filial(São Paulo)"/>
    <m/>
    <m/>
    <m/>
    <m/>
    <s v="e3fdcb985f7be93626626ba89d372313"/>
    <s v="Dupont_Broker"/>
    <s v="Nao"/>
    <x v="7"/>
    <m/>
    <s v="06/04/2026"/>
    <m/>
    <m/>
    <m/>
    <m/>
    <s v="KAM"/>
    <s v="26/08/2025"/>
    <s v="ID-89194377000132"/>
    <m/>
    <m/>
    <x v="0"/>
  </r>
  <r>
    <s v="ORDGI2LNRYVXJJR4"/>
    <n v="243188"/>
    <s v="23/02/2026 09:04"/>
    <x v="3"/>
    <m/>
    <s v="23/02/2026"/>
    <s v="Aprovado"/>
    <n v="1"/>
    <n v="0"/>
    <n v="0"/>
    <m/>
    <n v="0"/>
    <m/>
    <s v="Cortesia"/>
    <s v="cortesia"/>
    <s v="AI for Leaders - 2ª edição - 2025"/>
    <s v="ai-for-leaders-ed2a25"/>
    <s v="Juliana de Oliveira Resende"/>
    <s v="03520804697"/>
    <m/>
    <m/>
    <s v="jresende@tribanco.com.br"/>
    <s v="34984066718"/>
    <m/>
    <s v="38411159"/>
    <s v="Avenida dos Vinhedos"/>
    <s v="900"/>
    <m/>
    <s v="Morada da Colina"/>
    <s v="Uberlândia"/>
    <s v="MG"/>
    <s v="Filial(São Paulo)"/>
    <m/>
    <m/>
    <m/>
    <m/>
    <s v="0085cf4a4f69fd42a0e8325099942b5d"/>
    <s v="OFFTRIBANCO"/>
    <s v="Nao"/>
    <x v="0"/>
    <m/>
    <s v="15/05/2025"/>
    <m/>
    <m/>
    <m/>
    <s v="Brasil"/>
    <s v="KAM"/>
    <m/>
    <s v="ID-03520804697"/>
    <m/>
    <m/>
    <x v="1"/>
  </r>
  <r>
    <s v="ORD7WTP45DFZOMJ9"/>
    <n v="243187"/>
    <s v="23/02/2026 09:01"/>
    <x v="3"/>
    <m/>
    <s v="23/02/2026"/>
    <s v="Aprovado"/>
    <n v="1"/>
    <n v="0"/>
    <n v="0"/>
    <m/>
    <n v="0"/>
    <m/>
    <s v="Cortesia"/>
    <s v="cortesia"/>
    <s v="AI for Leaders - 2ª edição - 2025"/>
    <s v="ai-for-leaders-ed2a25"/>
    <s v="Juliana de Oliveira Resende"/>
    <s v="03520804697"/>
    <m/>
    <m/>
    <s v="jresende@tribanco.com.br"/>
    <s v="34984066718"/>
    <m/>
    <s v="38411159"/>
    <s v="Avenida dos Vinhedos"/>
    <s v="900"/>
    <m/>
    <s v="Morada da Colina"/>
    <s v="Uberlândia"/>
    <s v="MG"/>
    <s v="Filial(São Paulo)"/>
    <m/>
    <m/>
    <m/>
    <m/>
    <s v="bf9898bbae1d86f94f781d19e9e371e3"/>
    <s v="OFFTRIBANCO"/>
    <s v="Nao"/>
    <x v="0"/>
    <m/>
    <s v="15/05/2025"/>
    <m/>
    <m/>
    <m/>
    <s v="Brasil"/>
    <s v="KAM"/>
    <m/>
    <s v="ID-03520804697"/>
    <m/>
    <m/>
    <x v="1"/>
  </r>
  <r>
    <s v="ORDOM5HF3L2LAZTS"/>
    <n v="243159"/>
    <s v="22/02/2026 10:24"/>
    <x v="3"/>
    <m/>
    <s v="22/02/2026"/>
    <s v="Aprovado"/>
    <n v="1"/>
    <n v="0"/>
    <n v="0"/>
    <m/>
    <n v="0"/>
    <m/>
    <s v="Cortesia"/>
    <s v="cortesia"/>
    <s v="AI for Leaders - 2ª edição - 2025"/>
    <s v="ai-for-leaders-ed2a25"/>
    <s v="Silvia Carla Gomes Buiatti"/>
    <s v="04268280626"/>
    <m/>
    <m/>
    <s v="silviac@tribanco.com.br"/>
    <s v="34999774971"/>
    <m/>
    <s v="38400754"/>
    <s v="Avenida Mauá"/>
    <s v="524"/>
    <m/>
    <s v="Bom Jesus"/>
    <s v="Uberlândia"/>
    <s v="MG"/>
    <s v="Filial(São Paulo)"/>
    <m/>
    <m/>
    <m/>
    <m/>
    <s v="abfff7c9938b3aca082cc46669e04033"/>
    <s v="OFFTRIBANCO"/>
    <s v="Nao"/>
    <x v="0"/>
    <m/>
    <s v="15/05/2025"/>
    <m/>
    <m/>
    <m/>
    <s v="Brasil"/>
    <s v="KAM"/>
    <m/>
    <s v="ID-04268280626"/>
    <m/>
    <m/>
    <x v="1"/>
  </r>
  <r>
    <s v="COM6998CCD82E08D"/>
    <n v="243136"/>
    <s v="20/02/2026 18:06"/>
    <x v="3"/>
    <m/>
    <s v="20/02/2026"/>
    <s v="Aprovado"/>
    <n v="2"/>
    <n v="1"/>
    <n v="0"/>
    <m/>
    <n v="0"/>
    <s v=""/>
    <s v="Cortesia"/>
    <s v="cortesia"/>
    <s v="AI Agentic Commerce - 23 e 24 de Fevereiro de 2026"/>
    <s v="ai-agentic-commerce-ed1a26"/>
    <s v="ANTONIO MARCUS BLANSKI MANDALOZZO"/>
    <s v="85702161904"/>
    <s v="76.487.032/0001-25"/>
    <s v="ELECTROLUX DO BRASIL S/A"/>
    <s v="antonio.mandalozzo@electrolux.com"/>
    <s v="41992311982"/>
    <s v="41992311982"/>
    <s v="81520-900"/>
    <s v="Rua Ministro Gabriel Passos"/>
    <s v="360"/>
    <m/>
    <s v="Guabirotuba"/>
    <s v="Curitiba"/>
    <s v="PR"/>
    <s v="Filial(São Paulo)"/>
    <s v="Electrolux"/>
    <m/>
    <m/>
    <m/>
    <s v="e2fca248fa169ce6ed106eca913518c8"/>
    <m/>
    <s v="Nao"/>
    <x v="10"/>
    <m/>
    <s v="23/02/2026"/>
    <m/>
    <m/>
    <m/>
    <m/>
    <s v="KAM"/>
    <s v="31/05/2024"/>
    <s v="ID-76487032000125"/>
    <m/>
    <m/>
    <x v="1"/>
  </r>
  <r>
    <s v="COM6998C75FB0A9D"/>
    <n v="243130"/>
    <s v="20/02/2026 17:43"/>
    <x v="3"/>
    <m/>
    <s v="20/02/2026"/>
    <s v="Aprovado"/>
    <n v="1"/>
    <n v="1"/>
    <n v="0"/>
    <m/>
    <n v="0"/>
    <s v=""/>
    <s v="Cortesia"/>
    <s v="cortesia"/>
    <s v="AI Agentic Commerce - 23 e 24 de Fevereiro de 2026"/>
    <s v="ai-agentic-commerce-ed1a26"/>
    <s v="gustavo almeida"/>
    <s v="34458803875"/>
    <m/>
    <m/>
    <s v="gustavo.almeida@startse.com"/>
    <s v="5511992814491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4aa5c63c2677531632de9df436ba8343"/>
    <m/>
    <s v="Nao"/>
    <x v="4"/>
    <m/>
    <s v="23/02/2026"/>
    <m/>
    <m/>
    <m/>
    <m/>
    <s v="KAM"/>
    <m/>
    <s v="ID-34458803875"/>
    <m/>
    <m/>
    <x v="1"/>
  </r>
  <r>
    <s v="COM6998C6F198E26"/>
    <n v="243129"/>
    <s v="20/02/2026 17:41"/>
    <x v="3"/>
    <m/>
    <s v="23/02/2026"/>
    <s v="Aprovado"/>
    <n v="2"/>
    <n v="1"/>
    <n v="2564.94"/>
    <s v="Boleto Bradesco"/>
    <n v="2407.1999999999998"/>
    <s v=""/>
    <s v="Boleto"/>
    <s v="boleto"/>
    <s v="RH Leadership Xperience 2026 - Ingresso Interactive"/>
    <s v="evento-rh-ed1a26_interactive"/>
    <s v="Maria Paiva"/>
    <m/>
    <s v="13.673.743/0004-17"/>
    <s v="BOM NEGOCIO ATIVIDADES DE INTERNET LTDA"/>
    <s v="maria.paiva@olxbr.com"/>
    <s v="21970226307"/>
    <s v="1131504646"/>
    <s v="01310914"/>
    <s v="PAULISTA"/>
    <s v="1106"/>
    <s v="CONJ 151 152 E 153"/>
    <s v="BELA VISTA"/>
    <s v="São Paulo"/>
    <s v="SP"/>
    <s v="Filial(São Paulo)"/>
    <s v="RH Leadership Xperience 2026 - Ingresso Interactive"/>
    <m/>
    <m/>
    <m/>
    <s v="f327565e0c88ccac08183fba3b4e4c46"/>
    <m/>
    <s v="Nao"/>
    <x v="8"/>
    <m/>
    <s v="26/03/2026"/>
    <m/>
    <m/>
    <m/>
    <m/>
    <s v="KAM"/>
    <s v="21/08/2024"/>
    <s v="ID-13673743000417"/>
    <s v="Aguardando recebimento"/>
    <m/>
    <x v="3"/>
  </r>
  <r>
    <s v="COM6998C5F75BA96"/>
    <n v="243128"/>
    <s v="20/02/2026 17:37"/>
    <x v="3"/>
    <m/>
    <s v="23/02/2026"/>
    <s v="Aprovado"/>
    <n v="5"/>
    <n v="1"/>
    <n v="5175.1499999999996"/>
    <s v="Boleto Bradesco"/>
    <n v="4856.88"/>
    <s v=""/>
    <s v="Boleto"/>
    <s v="boleto"/>
    <s v="RH Leadership Xperience 2026 - Ingresso Explorer"/>
    <s v="evento-rh-ed1a26_explorer"/>
    <s v="Maria Paiva"/>
    <m/>
    <s v="13.673.743/0004-17"/>
    <s v="BOM NEGOCIO ATIVIDADES DE INTERNET LTDA"/>
    <s v="maria.paiva@olxbr.com"/>
    <s v="21970226307"/>
    <s v="1131504646"/>
    <s v="01310914"/>
    <s v="PAULISTA"/>
    <s v="1106"/>
    <s v="CONJ 151 152 E 153"/>
    <s v="BELA VISTA"/>
    <s v="São Paulo"/>
    <s v="SP"/>
    <s v="Filial(São Paulo)"/>
    <s v="RH Leadership Xperience 2026 - Ingresso Explorer"/>
    <m/>
    <m/>
    <m/>
    <s v="913971e110e87567ca145c6538fb7830"/>
    <m/>
    <s v="Nao"/>
    <x v="8"/>
    <m/>
    <s v="26/03/2026"/>
    <m/>
    <m/>
    <m/>
    <m/>
    <s v="KAM"/>
    <s v="21/08/2024"/>
    <s v="ID-13673743000417"/>
    <s v="Aguardando recebimento"/>
    <m/>
    <x v="3"/>
  </r>
  <r>
    <s v="COM6998C34101E05"/>
    <n v="243126"/>
    <s v="20/02/2026 17:25"/>
    <x v="3"/>
    <m/>
    <m/>
    <s v="Aprovado"/>
    <n v="1"/>
    <n v="1"/>
    <n v="0"/>
    <m/>
    <n v="0"/>
    <s v=""/>
    <s v="Cortesia"/>
    <s v="cortesia"/>
    <s v="AI para Negócios - Imersão Presencial -  30 e 31 de Março de 2026"/>
    <s v="imersao-presencial-de-ai-ed5a26"/>
    <s v="Viviane Blois"/>
    <s v="29226436894"/>
    <m/>
    <m/>
    <s v="viviane.p.depardoblois@haleon.com"/>
    <s v="5511972643155"/>
    <m/>
    <s v="04578-910"/>
    <s v="Avenida das Nações Unidas"/>
    <s v="12901"/>
    <m/>
    <s v="Brooklin Paulista"/>
    <s v="São Paulo"/>
    <s v="SP"/>
    <s v="Filial(São Paulo)"/>
    <s v="AI para Negócios - Imersão Presencial - 30 e 31 de Março de 2026"/>
    <m/>
    <m/>
    <m/>
    <s v="d3a9ae11a35662057d15e92d803e0f3d"/>
    <m/>
    <s v="Nao"/>
    <x v="3"/>
    <m/>
    <s v="30/03/2026"/>
    <m/>
    <m/>
    <m/>
    <m/>
    <s v="KAM"/>
    <m/>
    <s v="ID-29226436894"/>
    <m/>
    <m/>
    <x v="1"/>
  </r>
  <r>
    <s v="COM6998C25F8E4C6"/>
    <n v="243125"/>
    <s v="20/02/2026 17:21"/>
    <x v="3"/>
    <m/>
    <s v="20/02/2026"/>
    <s v="Aprovado"/>
    <n v="1"/>
    <n v="1"/>
    <n v="0"/>
    <m/>
    <n v="0"/>
    <s v=""/>
    <s v="Cortesia"/>
    <s v="cortesia"/>
    <s v="Executive Program - 23 a 25 de Março de 2026"/>
    <s v="executive-program-ed3a26"/>
    <s v="Cibele Vieira Cunha Rudge"/>
    <s v="27834517864"/>
    <m/>
    <m/>
    <s v="Cibele.x.rudge@haleon.com"/>
    <s v="5513997653010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4e46f0af1f0bda6ecc53672a8bdf8511"/>
    <m/>
    <s v="Nao"/>
    <x v="3"/>
    <m/>
    <s v="23/03/2026"/>
    <m/>
    <m/>
    <m/>
    <m/>
    <s v="KAM"/>
    <s v="14/11/2025"/>
    <s v="ID-27834517864"/>
    <m/>
    <m/>
    <x v="1"/>
  </r>
  <r>
    <s v="COM6998BC1A0590C"/>
    <n v="243122"/>
    <s v="20/02/2026 16:55"/>
    <x v="3"/>
    <m/>
    <s v="20/02/2026"/>
    <s v="Aprovado"/>
    <n v="1"/>
    <n v="1"/>
    <n v="0"/>
    <m/>
    <n v="0"/>
    <s v=""/>
    <s v="Cortesia"/>
    <s v="cortesia"/>
    <s v="AI Agentic Commerce - 23 e 24 de Fevereiro de 2026"/>
    <s v="ai-agentic-commerce-ed1a26"/>
    <s v="Paulo Cesar Augusto Miranda"/>
    <s v="38441388890"/>
    <m/>
    <m/>
    <s v="paulo.miranda@br.nestle.com"/>
    <s v="5511961839848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f65df9d3196f5bfb04c26f4303430f9d"/>
    <m/>
    <s v="Nao"/>
    <x v="7"/>
    <m/>
    <s v="23/02/2026"/>
    <m/>
    <m/>
    <m/>
    <m/>
    <s v="KAM"/>
    <s v="15/06/2021"/>
    <s v="ID-38441388890"/>
    <m/>
    <m/>
    <x v="1"/>
  </r>
  <r>
    <s v="ORDR9MYZQHGH6GJD"/>
    <n v="243115"/>
    <s v="20/02/2026 16:21"/>
    <x v="3"/>
    <m/>
    <s v="20/02/2026"/>
    <s v="Aprovado"/>
    <n v="1"/>
    <n v="12"/>
    <n v="70000"/>
    <s v="Braintree"/>
    <n v="65695"/>
    <s v="28974115835G3RTP87RE"/>
    <s v="Crédito Parcelado"/>
    <s v="visa"/>
    <s v="New Brokers 2026 - Nestlé &amp;amp; Brokers: Construindo o Futuro Juntos"/>
    <s v="corporate-jornada-ed13a26"/>
    <s v="MATHEUS DA GAMA FAGUNDES"/>
    <s v="15541796709"/>
    <s v="10.593.629/0001-46"/>
    <s v="FAST BROKER COMERCIO E REPRESENTACAO LTDA"/>
    <s v="matheus@fastbrokerr.com.br"/>
    <s v="24992660028"/>
    <m/>
    <s v="27258000"/>
    <s v="DOS METALURGICOS"/>
    <s v="10"/>
    <s v="EMPRESA"/>
    <s v="CASA DE PEDRA"/>
    <s v="Volta Redonda"/>
    <s v="RJ"/>
    <s v="Filial(São Paulo)"/>
    <m/>
    <m/>
    <m/>
    <m/>
    <s v="813e2f308d8c45729fbfa52b01d6e8f2"/>
    <s v="NewBroker2026"/>
    <s v="Nao"/>
    <x v="7"/>
    <m/>
    <s v="06/04/2026"/>
    <m/>
    <m/>
    <m/>
    <m/>
    <s v="KAM"/>
    <s v="28/08/2025"/>
    <s v="ID-10593629000146"/>
    <m/>
    <m/>
    <x v="0"/>
  </r>
  <r>
    <s v="ORDAZV083LQEHP1O"/>
    <n v="243111"/>
    <s v="20/02/2026 16:13"/>
    <x v="3"/>
    <m/>
    <s v="20/02/2026"/>
    <s v="Aprovado"/>
    <n v="1"/>
    <n v="12"/>
    <n v="70000"/>
    <s v="Braintree"/>
    <n v="70000"/>
    <s v="28974115835G3RTPF38E"/>
    <s v="Crédito Parcelado"/>
    <s v="visa"/>
    <s v="New Brokers 2026 - Nestlé &amp;amp; Brokers: Construindo o Futuro Juntos"/>
    <s v="corporate-jornada-ed13a26"/>
    <s v="Jorge Yamashita"/>
    <s v="58179429172"/>
    <m/>
    <m/>
    <s v="jorge@disnorteagil.com.br"/>
    <s v="66981119901"/>
    <m/>
    <s v="78556062"/>
    <s v="Avenida dos Tarumãs"/>
    <s v="1443"/>
    <s v="Casa"/>
    <s v="Jardim Botânico"/>
    <s v="Sinop"/>
    <s v="MT"/>
    <s v="Filial(São Paulo)"/>
    <m/>
    <m/>
    <m/>
    <m/>
    <s v="e93a67dead084f504454b1b6079e22f7"/>
    <s v="NewBroker2026"/>
    <s v="Nao"/>
    <x v="7"/>
    <m/>
    <s v="06/04/2026"/>
    <m/>
    <m/>
    <m/>
    <m/>
    <s v="KAM"/>
    <s v="20/02/2026"/>
    <s v="ID-58179429172"/>
    <m/>
    <m/>
    <x v="0"/>
  </r>
  <r>
    <s v="COM6998B12D84CD9"/>
    <n v="243110"/>
    <s v="20/02/2026 16:08"/>
    <x v="3"/>
    <m/>
    <s v="20/02/2026"/>
    <s v="Aprovado"/>
    <n v="1"/>
    <n v="1"/>
    <n v="0"/>
    <m/>
    <n v="0"/>
    <s v=""/>
    <s v="Cortesia"/>
    <s v="cortesia"/>
    <s v="AI Agentic Commerce - 23 e 24 de Fevereiro de 2026"/>
    <s v="ai-agentic-commerce-ed1a26"/>
    <s v="Júlia Vannucci"/>
    <m/>
    <s v="33.009.911/0001-39"/>
    <s v="SOUZA CRUZ LTDA"/>
    <s v="julia_vannucci@bat.com"/>
    <s v="21988911020"/>
    <s v="2138499047"/>
    <s v="20031170"/>
    <s v="REPUBLICA DO CHILE"/>
    <s v="330"/>
    <s v="BLOCO 1 SALA 3001 SALA 3101"/>
    <s v="CENTRO"/>
    <s v="Rio de Janeiro"/>
    <s v="RJ"/>
    <s v="Filial(São Paulo)"/>
    <s v="Claudia Woods - BAT"/>
    <m/>
    <m/>
    <m/>
    <s v="e6729598d33a22e1587c7a7c15016a9d"/>
    <m/>
    <s v="Nao"/>
    <x v="10"/>
    <m/>
    <s v="23/02/2026"/>
    <m/>
    <m/>
    <m/>
    <m/>
    <s v="KAM"/>
    <s v="07/05/2018"/>
    <s v="ID-33009911000139"/>
    <m/>
    <m/>
    <x v="1"/>
  </r>
  <r>
    <s v="ORD382DILNVDB793"/>
    <n v="243109"/>
    <s v="20/02/2026 16:01"/>
    <x v="3"/>
    <m/>
    <s v="20/02/2026"/>
    <s v="Aprovado"/>
    <n v="2"/>
    <n v="12"/>
    <n v="140000"/>
    <s v="Braintree"/>
    <n v="140000"/>
    <s v="28974115835G3RTON6LE"/>
    <s v="Crédito Parcelado"/>
    <s v="visa"/>
    <s v="New Brokers 2026 - Nestlé &amp;amp; Brokers: Construindo o Futuro Juntos"/>
    <s v="corporate-jornada-ed13a26"/>
    <s v="Jorge Yamashita"/>
    <s v="58179429172"/>
    <m/>
    <m/>
    <s v="jorge@disnorteagil.com.br"/>
    <s v="66981119901"/>
    <m/>
    <s v="78556062"/>
    <s v="Avenida dos Tarumãs"/>
    <s v="1443"/>
    <s v="Casa"/>
    <s v="Jardim Botânico"/>
    <s v="Sinop"/>
    <s v="MT"/>
    <s v="Filial(São Paulo)"/>
    <m/>
    <m/>
    <m/>
    <m/>
    <s v="e66eb4a8fdfe86cf21635d1479cdffaa"/>
    <s v="NewBroker2026"/>
    <s v="Nao"/>
    <x v="7"/>
    <m/>
    <s v="06/04/2026"/>
    <m/>
    <m/>
    <m/>
    <m/>
    <s v="KAM"/>
    <s v="20/02/2026"/>
    <s v="ID-58179429172"/>
    <m/>
    <m/>
    <x v="0"/>
  </r>
  <r>
    <s v="COM6998A69A541F9"/>
    <n v="243089"/>
    <s v="20/02/2026 15:23"/>
    <x v="3"/>
    <m/>
    <s v="20/02/2026"/>
    <s v="Aprovado"/>
    <n v="2"/>
    <n v="1"/>
    <n v="140000"/>
    <s v="Boleto Bradesco"/>
    <n v="131390"/>
    <s v=""/>
    <s v="Boleto"/>
    <s v="boleto"/>
    <s v="New Brokers 2026 - Nestlé &amp;amp; Brokers: Construindo o Futuro Juntos"/>
    <s v="corporate-jornada-ed13a26"/>
    <s v="GERIBA ALIMENTOS"/>
    <m/>
    <s v="77.980.639/0001-05"/>
    <s v="GERIBA DISTRIBUIDORA LTDA"/>
    <s v="tiago@geriba.com.br"/>
    <s v="45999621609"/>
    <s v="4532283515"/>
    <s v="85804603"/>
    <s v="DOUTOR EZUEL PORTES"/>
    <s v="21759"/>
    <m/>
    <s v="GUARUJA"/>
    <s v="Cascavel"/>
    <s v="PR"/>
    <s v="Filial(São Paulo)"/>
    <s v="New Brokers 2026 - Nestlé &amp;amp; Brokers: Construindo o Futuro Juntos - 2 participantes"/>
    <m/>
    <m/>
    <m/>
    <s v="d8cd65a144dc28000513cad814839ae8"/>
    <m/>
    <s v="Nao"/>
    <x v="7"/>
    <m/>
    <s v="06/04/2026"/>
    <m/>
    <m/>
    <m/>
    <m/>
    <s v="KAM"/>
    <s v="20/02/2026"/>
    <s v="ID-77980639000105"/>
    <s v="Aguardando recebimento"/>
    <m/>
    <x v="4"/>
  </r>
  <r>
    <s v="COM69989C88EBA71"/>
    <n v="243081"/>
    <s v="20/02/2026 14:40"/>
    <x v="3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Tatiana Batistela"/>
    <s v="03382725932"/>
    <m/>
    <m/>
    <s v="Tati.s.batistela@gmail.com"/>
    <s v="11933845578"/>
    <m/>
    <s v="04794-000"/>
    <s v="Avenida das Nações Unidas"/>
    <s v="14171"/>
    <m/>
    <s v="Vila Gertrudes"/>
    <s v="São Paulo"/>
    <s v="SP"/>
    <s v="Filial(São Paulo)"/>
    <s v="Tatiana Batistela"/>
    <m/>
    <m/>
    <m/>
    <s v="e50d06069f936c7754f396d6fbf307d6"/>
    <m/>
    <s v="Nao"/>
    <x v="10"/>
    <m/>
    <s v="26/03/2026"/>
    <m/>
    <m/>
    <m/>
    <m/>
    <s v="KAM"/>
    <s v="10/02/2026"/>
    <s v="ID-03382725932"/>
    <m/>
    <m/>
    <x v="1"/>
  </r>
  <r>
    <s v="COM6998984E3FDDF"/>
    <n v="243075"/>
    <s v="20/02/2026 14:22"/>
    <x v="3"/>
    <m/>
    <m/>
    <s v="Aprovado"/>
    <n v="1"/>
    <n v="1"/>
    <n v="0"/>
    <m/>
    <n v="0"/>
    <s v=""/>
    <s v="Cortesia"/>
    <s v="cortesia"/>
    <s v="AI para Negócios - Imersão Presencial -  26 e 27 de Fevereiro de 2026"/>
    <s v="imersao-presencial-de-ai-ed3a26"/>
    <s v="Kleyton Fazolin"/>
    <s v="69124671215"/>
    <m/>
    <m/>
    <s v="kleyton.fazolin@iatec.com"/>
    <s v="5519981334102"/>
    <m/>
    <s v="04578-910"/>
    <s v="Avenida das Nações Unidas"/>
    <s v="12901"/>
    <m/>
    <s v="Brooklin Paulista"/>
    <s v="São Paulo"/>
    <s v="SP"/>
    <s v="Filial(São Paulo)"/>
    <s v="AI para Negócios - Imersão Presencial - 26 e 27 de Fevereiro de 2026"/>
    <m/>
    <m/>
    <m/>
    <s v="ba53d8b5eac5fbcfbccb44f4cfe9ff98"/>
    <m/>
    <s v="Nao"/>
    <x v="8"/>
    <m/>
    <s v="26/02/2026"/>
    <m/>
    <m/>
    <m/>
    <m/>
    <s v="KAM"/>
    <m/>
    <s v="ID-69124671215"/>
    <m/>
    <m/>
    <x v="1"/>
  </r>
  <r>
    <s v="COM6998705455DF6"/>
    <n v="243067"/>
    <s v="20/02/2026 11:31"/>
    <x v="3"/>
    <m/>
    <s v="23/02/2026"/>
    <s v="Aprovado"/>
    <n v="1"/>
    <n v="1"/>
    <n v="80000"/>
    <s v="Boleto Bradesco"/>
    <n v="75080"/>
    <s v=""/>
    <s v="Boleto"/>
    <s v="boleto"/>
    <s v="Workshop Gestão por Contexto | Estapar"/>
    <s v="corporate-workshop-ed15a26"/>
    <s v="Rosimery Santos"/>
    <m/>
    <s v="01.808.151/0001-33"/>
    <s v="HORA PARK SISTEMA DE ESTACIONAMENTO ROTATIVO LTDA"/>
    <s v="rosimery.o@estapar.com.br"/>
    <s v="11918762546"/>
    <s v="1121618000"/>
    <s v="04543900"/>
    <s v="PRES JUSCELINO KUBITSCHEK"/>
    <s v="1830"/>
    <s v="ANDAR 2 A BLOCO 3"/>
    <s v="VILA NOVA CONCEICAO"/>
    <s v="São Paulo"/>
    <s v="SP"/>
    <s v="Filial(São Paulo)"/>
    <s v="Workshop Gestão por Contexto | Estapar_x000a_Número do Pedido OC16014320 (constar na NF)"/>
    <m/>
    <m/>
    <m/>
    <s v="1073b261105c4157bb02c11d0138113e"/>
    <m/>
    <s v="Nao"/>
    <x v="6"/>
    <m/>
    <s v="27/02/2026"/>
    <m/>
    <m/>
    <m/>
    <m/>
    <s v="KAM"/>
    <s v="13/08/2018"/>
    <s v="ID-01808151000133"/>
    <s v="Pago"/>
    <m/>
    <x v="0"/>
  </r>
  <r>
    <s v="COM69986AEB8514C"/>
    <n v="243063"/>
    <s v="20/02/2026 11:08"/>
    <x v="3"/>
    <m/>
    <s v="20/02/2026"/>
    <s v="Aprovado"/>
    <n v="1"/>
    <n v="1"/>
    <n v="30000"/>
    <s v="Boleto Bradesco"/>
    <n v="70387.5"/>
    <s v=""/>
    <s v="Boleto"/>
    <s v="boleto"/>
    <s v="Workshop IA - Wheaton - pagamento 01"/>
    <s v="corporate-workshop-ed14a26_pagamento-01"/>
    <s v="Fábio Alexandrino dos Santos"/>
    <m/>
    <s v="60.750.056/0001-95"/>
    <s v="WHEATON BRASIL VIDROS LTDA."/>
    <s v="fabio.alexandrino@wheaton.com.br"/>
    <s v="11994453586"/>
    <s v="1143551800"/>
    <s v="09810010"/>
    <s v="ALVARO GUIMARAES"/>
    <s v="2502"/>
    <s v="BLOCO A 1 ANDAR"/>
    <s v="VILA EURO"/>
    <s v="São Bernardo do Campo"/>
    <s v="SP"/>
    <s v="Filial(São Paulo)"/>
    <s v="Workshop IA - Wheaton"/>
    <m/>
    <m/>
    <m/>
    <s v="965ea13c7d57d0bbee19ffc7edb6dbcf"/>
    <m/>
    <s v="Nao"/>
    <x v="8"/>
    <m/>
    <s v="04/03/2026"/>
    <m/>
    <m/>
    <m/>
    <m/>
    <s v="KAM"/>
    <s v="02/06/2021"/>
    <s v="ID-60750056000195"/>
    <s v="Pago"/>
    <m/>
    <x v="0"/>
  </r>
  <r>
    <s v="COM69986AEB8514C"/>
    <n v="243063"/>
    <s v="20/02/2026 11:08"/>
    <x v="3"/>
    <m/>
    <s v="20/02/2026"/>
    <s v="Aprovado"/>
    <n v="1"/>
    <n v="1"/>
    <n v="45000"/>
    <s v="Boleto Bradesco"/>
    <n v="70387.5"/>
    <s v=""/>
    <s v="Boleto"/>
    <s v="boleto"/>
    <s v="Workshop IA - Wheaton - pagamento 02"/>
    <s v="corporate-workshop-ed14a26_pagamento-02-"/>
    <s v="Fábio Alexandrino dos Santos"/>
    <m/>
    <s v="60.750.056/0001-95"/>
    <s v="WHEATON BRASIL VIDROS LTDA."/>
    <s v="fabio.alexandrino@wheaton.com.br"/>
    <s v="11994453586"/>
    <s v="1143551800"/>
    <s v="09810010"/>
    <s v="ALVARO GUIMARAES"/>
    <s v="2502"/>
    <s v="BLOCO A 1 ANDAR"/>
    <s v="VILA EURO"/>
    <s v="São Bernardo do Campo"/>
    <s v="SP"/>
    <s v="Filial(São Paulo)"/>
    <s v="Workshop IA - Wheaton"/>
    <m/>
    <m/>
    <m/>
    <s v="965ea13c7d57d0bbee19ffc7edb6dbcf"/>
    <m/>
    <s v="Nao"/>
    <x v="8"/>
    <m/>
    <s v="18/03/2026"/>
    <m/>
    <m/>
    <m/>
    <m/>
    <s v="KAM"/>
    <s v="02/06/2021"/>
    <s v="ID-60750056000195"/>
    <s v="Pago"/>
    <m/>
    <x v="0"/>
  </r>
  <r>
    <s v="ORDF4F828M55KXDV"/>
    <n v="243056"/>
    <s v="20/02/2026 09:21"/>
    <x v="3"/>
    <m/>
    <s v="20/02/2026"/>
    <s v="Aprovado"/>
    <n v="1"/>
    <n v="12"/>
    <n v="70000"/>
    <s v="Braintree"/>
    <n v="65695"/>
    <s v="28974115835G3RSMH16E"/>
    <s v="Crédito Parcelado"/>
    <s v="visa"/>
    <s v="New Brokers 2026 - Nestlé &amp;amp; Brokers: Construindo o Futuro Juntos"/>
    <s v="corporate-jornada-ed13a26"/>
    <s v="LDA REPRESENTAÇÕES LTDA"/>
    <s v="09698744134"/>
    <s v="09.197.077/0001-78"/>
    <s v="LDA REPRESENTACOES LTDA"/>
    <s v="thalles.faria@ldalogistica.com.br"/>
    <s v="81994699698"/>
    <m/>
    <s v="53030010"/>
    <s v="PRES GETULIO VARGAS"/>
    <s v="1781"/>
    <s v="SALAS 11 E 12             GALERIA ETE CENTER"/>
    <s v="BAIRRO NOVO"/>
    <s v="Olinda"/>
    <s v="PE"/>
    <s v="Filial(São Paulo)"/>
    <m/>
    <m/>
    <m/>
    <m/>
    <s v="736fdd9534a17f95e734accf61af0ff4"/>
    <s v="NewBroker2026"/>
    <s v="Nao"/>
    <x v="7"/>
    <m/>
    <s v="06/04/2026"/>
    <m/>
    <m/>
    <m/>
    <m/>
    <s v="KAM"/>
    <s v="20/02/2026"/>
    <s v="ID-09197077000178"/>
    <m/>
    <m/>
    <x v="0"/>
  </r>
  <r>
    <s v="COM69984DB83056E"/>
    <n v="243052"/>
    <s v="20/02/2026 09:04"/>
    <x v="3"/>
    <m/>
    <s v="20/02/2026"/>
    <s v="Aprovado"/>
    <n v="1"/>
    <n v="1"/>
    <n v="2800"/>
    <s v="Boleto Bradesco"/>
    <n v="2627.8"/>
    <s v=""/>
    <s v="Boleto"/>
    <s v="boleto"/>
    <s v="AI Agentic Commerce - 23 e 24 de Fevereiro de 2026"/>
    <s v="ai-agentic-commerce-ed1a26"/>
    <s v="Rafael Passarelli"/>
    <m/>
    <s v="01.098.290/0001-10"/>
    <s v="RM - REDE MOURA PARTICIPACOES S.A."/>
    <s v="rafael.passarelli@grupomoura.com"/>
    <s v="11984436726"/>
    <s v="8121211600"/>
    <s v="51020280"/>
    <s v="PADRE CARAPUCEIRO"/>
    <s v="706"/>
    <s v="SALA 901 EDF CTR EMP TORRE CARLOS PENA FILHO"/>
    <s v="BOA VIAGEM"/>
    <s v="Recife"/>
    <s v="PE"/>
    <s v="Filial(São Paulo)"/>
    <s v="AI Agentic Commerce - 23 e 24 de Fevereiro de 2026"/>
    <m/>
    <m/>
    <m/>
    <s v="9c76227ff6bf840cc7fd12b3533b93d1"/>
    <m/>
    <s v="Nao"/>
    <x v="0"/>
    <m/>
    <s v="23/02/2026"/>
    <m/>
    <m/>
    <m/>
    <m/>
    <s v="KAM"/>
    <s v="30/11/2017"/>
    <s v="ID-01098290000110"/>
    <s v="Pago"/>
    <m/>
    <x v="0"/>
  </r>
  <r>
    <s v="COM69977A061C670"/>
    <n v="243030"/>
    <s v="19/02/2026 18:00"/>
    <x v="3"/>
    <m/>
    <s v="20/02/2026"/>
    <s v="Aprovado"/>
    <n v="2"/>
    <n v="1"/>
    <n v="1800"/>
    <s v="Boleto Bradesco"/>
    <n v="1689.3"/>
    <s v=""/>
    <s v="Boleto"/>
    <s v="boleto"/>
    <s v="RH Leadership Xperience 2026 - Ingresso Interactive"/>
    <s v="evento-rh-ed1a26_interactive"/>
    <s v="CONFEDERAÇÃO SICREDI"/>
    <m/>
    <s v="03.795.072/0001-60"/>
    <s v="CONFEDERACAO DAS COOPERATIVAS DO SICREDI - CONFEDERACAO SICREDI"/>
    <s v="patricia_rossi@sicredi.com.br"/>
    <s v="51991488031"/>
    <s v="5133584700"/>
    <s v="91060900"/>
    <s v="ASSIS BRASIL"/>
    <s v="3940"/>
    <s v="ANDAR 6"/>
    <s v="SAO SEBASTIAO"/>
    <s v="Porto Alegre"/>
    <s v="RS"/>
    <s v="Filial(São Paulo)"/>
    <s v="Ingressos StartSe RH Leadership Xperience - 2 participantes"/>
    <m/>
    <m/>
    <m/>
    <s v="8ee30cc2ab5a916bd80fc8d134658d93"/>
    <m/>
    <s v="Nao"/>
    <x v="7"/>
    <m/>
    <s v="26/03/2026"/>
    <m/>
    <m/>
    <m/>
    <m/>
    <s v="KAM"/>
    <s v="08/05/2018"/>
    <s v="ID-03795072000160"/>
    <s v="Aguardando recebimento"/>
    <m/>
    <x v="3"/>
  </r>
  <r>
    <s v="COM699765FAA7704"/>
    <n v="243017"/>
    <s v="19/02/2026 16:35"/>
    <x v="3"/>
    <m/>
    <s v="19/02/2026"/>
    <s v="Aprovado"/>
    <n v="2"/>
    <n v="1"/>
    <n v="0"/>
    <m/>
    <n v="0"/>
    <s v=""/>
    <s v="Cortesia"/>
    <s v="cortesia"/>
    <s v="AI Agentic Commerce - 23 e 24 de Fevereiro de 2026"/>
    <s v="ai-agentic-commerce-ed1a26"/>
    <s v="Rafael Passarelli"/>
    <s v="34130547836"/>
    <m/>
    <m/>
    <s v="rafael.passarelli@grupomoura.com"/>
    <s v="5511984436726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079ed8079d4b901e887dba0998ac440a"/>
    <m/>
    <s v="Nao"/>
    <x v="0"/>
    <m/>
    <s v="23/02/2026"/>
    <m/>
    <m/>
    <m/>
    <m/>
    <s v="KAM"/>
    <m/>
    <s v="ID-34130547836"/>
    <m/>
    <m/>
    <x v="1"/>
  </r>
  <r>
    <s v="COM6997652CC5BC0"/>
    <n v="243016"/>
    <s v="19/02/2026 16:31"/>
    <x v="3"/>
    <m/>
    <s v="19/02/2026"/>
    <s v="Aprovado"/>
    <n v="1"/>
    <n v="1"/>
    <n v="0"/>
    <m/>
    <n v="0"/>
    <s v=""/>
    <s v="Cortesia"/>
    <s v="cortesia"/>
    <s v="AI Festival 2026 - Ingresso Interactive"/>
    <s v="evento-ia-ed1a26_interactive"/>
    <s v="Daniel Faria"/>
    <s v="30192410814"/>
    <m/>
    <m/>
    <s v="ddfaria@sofisa.com.br"/>
    <s v="5511999999999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eb5ea09f6482a18608ab3d58d474755a"/>
    <m/>
    <s v="Nao"/>
    <x v="6"/>
    <m/>
    <s v="13/05/2026"/>
    <m/>
    <m/>
    <m/>
    <m/>
    <s v="KAM"/>
    <s v="17/09/2025"/>
    <s v="ID-30192410814"/>
    <m/>
    <m/>
    <x v="1"/>
  </r>
  <r>
    <s v="COM699764A76D679"/>
    <n v="243015"/>
    <s v="19/02/2026 16:29"/>
    <x v="3"/>
    <m/>
    <s v="19/02/2026"/>
    <s v="Aprovado"/>
    <n v="1"/>
    <n v="1"/>
    <n v="0"/>
    <m/>
    <n v="0"/>
    <s v=""/>
    <s v="Cortesia"/>
    <s v="cortesia"/>
    <s v="AI Festival 2026 - Ingresso Interactive"/>
    <s v="evento-ia-ed1a26_interactive"/>
    <s v="Matheus Define Perossi"/>
    <s v="30003303802"/>
    <m/>
    <m/>
    <s v="mdperossi@sofisa.com.br"/>
    <s v="5511999999999"/>
    <m/>
    <s v="04578-910"/>
    <s v="Avenida das Nações Unidas"/>
    <s v="12901"/>
    <m/>
    <s v="Brooklin Paulista"/>
    <s v="São Paulo"/>
    <s v="SP"/>
    <s v="Filial(São Paulo)"/>
    <s v="AI Festival 2026 - Ingresso Interactive"/>
    <m/>
    <m/>
    <m/>
    <s v="66cf483fb18faa9339fa509ca5cc6398"/>
    <m/>
    <s v="Nao"/>
    <x v="6"/>
    <m/>
    <s v="13/05/2026"/>
    <m/>
    <m/>
    <m/>
    <m/>
    <s v="KAM"/>
    <m/>
    <s v="ID-30003303802"/>
    <m/>
    <m/>
    <x v="1"/>
  </r>
  <r>
    <s v="COM6997634623B77"/>
    <n v="243014"/>
    <s v="19/02/2026 16:23"/>
    <x v="3"/>
    <m/>
    <s v="19/02/2026"/>
    <s v="Aprovado"/>
    <n v="1"/>
    <n v="1"/>
    <n v="0"/>
    <m/>
    <n v="0"/>
    <s v=""/>
    <s v="Cortesia"/>
    <s v="cortesia"/>
    <s v="AI Agentic Commerce - 23 e 24 de Fevereiro de 2026"/>
    <s v="ai-agentic-commerce-ed1a26"/>
    <s v="Stephanie Teixeira"/>
    <s v="36856012888"/>
    <m/>
    <m/>
    <s v="stephanie.teixeira@galderma.com"/>
    <s v="5511956882189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ed1ca41b4c99031da301435824a9f21e"/>
    <m/>
    <s v="Nao"/>
    <x v="0"/>
    <m/>
    <s v="23/02/2026"/>
    <m/>
    <m/>
    <m/>
    <m/>
    <s v="KAM"/>
    <s v="23/06/2024"/>
    <s v="ID-36856012888"/>
    <m/>
    <m/>
    <x v="1"/>
  </r>
  <r>
    <s v="ORD73XCJ0QCYSNG4"/>
    <n v="243001"/>
    <s v="19/02/2026 14:19"/>
    <x v="3"/>
    <m/>
    <s v="19/02/2026"/>
    <s v="Aprovado"/>
    <n v="1"/>
    <n v="1"/>
    <n v="70000"/>
    <s v="Boleto Bradesco"/>
    <n v="65695"/>
    <m/>
    <s v="Boleto"/>
    <s v="boleto"/>
    <s v="New Brokers 2026 - Nestlé &amp;amp; Brokers: Construindo o Futuro Juntos"/>
    <s v="corporate-jornada-ed13a26"/>
    <s v="Amir Frederico Carneiro Faria"/>
    <s v="01393906699"/>
    <s v="25.515.453/0001-81"/>
    <s v="MIRAMAR PRODUTOS ALIMENTICIOS LTDA"/>
    <s v="amir.faria@miramarltda.com.br"/>
    <s v="31997943099"/>
    <m/>
    <s v="35020220"/>
    <s v="ISRAEL PINHEIRO"/>
    <s v="425"/>
    <s v="Sem Complemento"/>
    <s v="SAO PEDRO"/>
    <s v="Governador Valadares"/>
    <s v="MG"/>
    <s v="Filial(São Paulo)"/>
    <m/>
    <m/>
    <m/>
    <m/>
    <s v="7db65172bfad44a6bfa94aed9f051e73"/>
    <s v="NewBroker2026"/>
    <s v="Nao"/>
    <x v="7"/>
    <m/>
    <s v="06/04/2026"/>
    <m/>
    <m/>
    <m/>
    <m/>
    <s v="KAM"/>
    <s v="19/02/2026"/>
    <s v="ID-25515453000181"/>
    <m/>
    <m/>
    <x v="4"/>
  </r>
  <r>
    <s v="COM699714C5A778C"/>
    <n v="242980"/>
    <s v="19/02/2026 10:48"/>
    <x v="3"/>
    <m/>
    <s v="19/02/2026"/>
    <s v="Aprovado"/>
    <n v="1"/>
    <n v="1"/>
    <n v="70000"/>
    <m/>
    <n v="65695"/>
    <s v=""/>
    <m/>
    <s v="cielo"/>
    <s v="New Brokers 2026 - Nestlé &amp;amp; Brokers: Construindo o Futuro Juntos"/>
    <s v="corporate-jornada-ed13a26"/>
    <s v="BROKER DISTLE"/>
    <m/>
    <s v="02.016.821/0001-41"/>
    <s v="DISTLE DISTRIBUICAO E LOGISTICA LTDA"/>
    <s v="marcelo@distle.com.br"/>
    <s v="48988130900"/>
    <s v="4840013000"/>
    <s v="88103482"/>
    <s v="JACI SCHLICHTING"/>
    <s v="1800"/>
    <s v="SALA 03"/>
    <s v="PRAIA COMPRIDA"/>
    <s v="São José"/>
    <s v="SC"/>
    <s v="Filial(São Paulo)"/>
    <s v="New Brokers 2026 - Nestlé &amp;amp; Brokers: Construindo o Futuro Juntos"/>
    <m/>
    <m/>
    <m/>
    <s v="34e0393803a2241f57ba537733dfd77b"/>
    <m/>
    <s v="Nao"/>
    <x v="7"/>
    <m/>
    <s v="06/04/2026"/>
    <m/>
    <m/>
    <m/>
    <m/>
    <s v="KAM"/>
    <s v="26/08/2025"/>
    <s v="ID-02016821000141"/>
    <s v="Pago"/>
    <m/>
    <x v="0"/>
  </r>
  <r>
    <s v="COM69970DE51A9B6"/>
    <n v="242977"/>
    <s v="19/02/2026 10:19"/>
    <x v="3"/>
    <m/>
    <s v="19/02/2026"/>
    <s v="Aprovado"/>
    <n v="2"/>
    <n v="1"/>
    <n v="140000"/>
    <m/>
    <n v="0"/>
    <s v=""/>
    <s v="Multimeios"/>
    <s v="multimeios"/>
    <s v="New Brokers 2026 - Nestlé &amp;amp; Brokers: Construindo o Futuro Juntos"/>
    <s v="corporate-jornada-ed13a26"/>
    <s v="BROKER NORTE"/>
    <m/>
    <s v="18.848.896/0001-29"/>
    <s v="BROKER NORTE REPRESENTACOES COMERCIAIS LTDA"/>
    <s v="bruna.menezes@brokernorte.com.br"/>
    <s v="69984090831"/>
    <s v="6921820182"/>
    <s v="76812003"/>
    <s v="DA BEIRA LADO E FUNDOS"/>
    <s v="6671"/>
    <s v="SALA C"/>
    <s v="LAGOA"/>
    <s v="Porto Velho"/>
    <s v="RO"/>
    <s v="Filial(São Paulo)"/>
    <s v="New Brokers 2026 - Nestlé &amp;amp; Brokers: Construindo o Futuro Juntos - 2 participantes"/>
    <m/>
    <m/>
    <m/>
    <s v="686e3162b3d1740479069f2a6df0fdb2"/>
    <m/>
    <s v="Nao"/>
    <x v="7"/>
    <m/>
    <s v="06/04/2026"/>
    <m/>
    <m/>
    <m/>
    <m/>
    <s v="KAM"/>
    <s v="28/08/2025"/>
    <s v="ID-18848896000129"/>
    <s v="Aguardando recebimento"/>
    <m/>
    <x v="4"/>
  </r>
  <r>
    <s v="ORD2VXOGFGW0BR6T"/>
    <n v="242964"/>
    <s v="19/02/2026 09:40"/>
    <x v="3"/>
    <m/>
    <s v="19/02/2026"/>
    <s v="Aprovado"/>
    <n v="1"/>
    <n v="12"/>
    <n v="70000"/>
    <s v="Braintree"/>
    <n v="65695"/>
    <s v="28974115835G2U052CJE"/>
    <s v="Crédito Parcelado"/>
    <s v="visa"/>
    <s v="New Brokers 2026 - Nestlé &amp;amp; Brokers: Construindo o Futuro Juntos"/>
    <s v="corporate-jornada-ed13a26"/>
    <s v="Alexandre Amaral"/>
    <s v="03997460566"/>
    <s v="07.112.198/0001-44"/>
    <s v="MB LOGISTICA E REPRESENTACAO LTDA"/>
    <s v="alexandre@mblogistica-se.com.br"/>
    <s v="55799998210"/>
    <m/>
    <s v="49160000"/>
    <s v="BR 235 KM 05"/>
    <m/>
    <s v="GALPAO04"/>
    <s v="POVOADO SOBRADO"/>
    <s v="Nossa Senhora do Socorro"/>
    <s v="SE"/>
    <s v="Filial(São Paulo)"/>
    <m/>
    <m/>
    <m/>
    <m/>
    <s v="ef1b93bf89f3a76a49036edfb9702f66"/>
    <s v="NewBroker2026"/>
    <s v="Nao"/>
    <x v="7"/>
    <m/>
    <s v="06/04/2026"/>
    <m/>
    <m/>
    <m/>
    <m/>
    <s v="KAM"/>
    <s v="29/08/2025"/>
    <s v="ID-07112198000144"/>
    <m/>
    <m/>
    <x v="0"/>
  </r>
  <r>
    <s v="ORDKNJNCEVLBT7FE"/>
    <n v="242937"/>
    <s v="18/02/2026 18:16"/>
    <x v="3"/>
    <m/>
    <s v="18/02/2026"/>
    <s v="Aprovado"/>
    <n v="1"/>
    <n v="1"/>
    <n v="70000"/>
    <s v="Multimeios"/>
    <n v="65695"/>
    <m/>
    <s v="Multimeios"/>
    <s v="multimeios"/>
    <s v="New Brokers 2026 - Nestlé &amp;amp; Brokers: Construindo o Futuro Juntos"/>
    <s v="corporate-jornada-ed13a26"/>
    <s v="GUSTAVO BIANCHI SILVEIRA"/>
    <s v="04914808650"/>
    <s v="12.973.813/0001-47"/>
    <s v="SILVEIRA REPRESENTACAO COMERCIAL LTDA"/>
    <s v="gustavo@silveiralogistica.com.br"/>
    <s v="34991566100"/>
    <m/>
    <s v="38402340"/>
    <s v="IGNEZ FAVATO"/>
    <s v="385"/>
    <s v="SALA: 01"/>
    <s v="DISTRITO INDUSTRIAL"/>
    <s v="Uberlândia"/>
    <s v="MG"/>
    <s v="Filial(São Paulo)"/>
    <m/>
    <m/>
    <m/>
    <m/>
    <s v="cbc8aa688604a46172ebaa7c030a8b79"/>
    <s v="NewBroker2026"/>
    <s v="Nao"/>
    <x v="7"/>
    <m/>
    <s v="06/04/2026"/>
    <m/>
    <m/>
    <m/>
    <m/>
    <s v="KAM"/>
    <s v="27/08/2025"/>
    <s v="ID-12973813000147"/>
    <m/>
    <m/>
    <x v="0"/>
  </r>
  <r>
    <s v="COM69962981B82E5"/>
    <n v="242935"/>
    <s v="18/02/2026 18:05"/>
    <x v="3"/>
    <m/>
    <s v="19/02/2026"/>
    <s v="Aprovado"/>
    <n v="1"/>
    <n v="1"/>
    <n v="15500"/>
    <s v="Boleto Bradesco"/>
    <n v="14546.75"/>
    <s v=""/>
    <s v="Boleto"/>
    <s v="boleto"/>
    <s v="Executive Program - 25 a 27 de Maio de 2026"/>
    <s v="executive-program-ed5a26"/>
    <s v="SICREDI PLANALTO RS/MG"/>
    <m/>
    <s v="88.038.260/0027-36"/>
    <s v="COOPERATIVA DE CREDITO, POUPANCA E INVESTIMENTO PLANALTO - SICREDI PLANALTO RS/MG"/>
    <s v="julia_bazzanella@sicredi.com.br"/>
    <s v="54992065185"/>
    <s v="5533219200"/>
    <s v="38400154"/>
    <s v="CLARIMUNDO CARNEIRO"/>
    <s v="15"/>
    <s v="ANDAR 2"/>
    <s v="CENTRO"/>
    <s v="Uberlândia"/>
    <s v="MG"/>
    <s v="Filial(São Paulo)"/>
    <s v="Participante: Bruno Cardoso Miranda"/>
    <m/>
    <m/>
    <m/>
    <s v="d334d0ece34cae98b1402402d252d615"/>
    <m/>
    <s v="Nao"/>
    <x v="7"/>
    <m/>
    <s v="25/05/2026"/>
    <m/>
    <m/>
    <m/>
    <m/>
    <s v="KAM"/>
    <s v="18/02/2026"/>
    <s v="ID-88038260002736"/>
    <s v="Aguardando recebimento"/>
    <m/>
    <x v="2"/>
  </r>
  <r>
    <s v="COM699609AA71541"/>
    <n v="242923"/>
    <s v="18/02/2026 15:49"/>
    <x v="3"/>
    <m/>
    <s v="18/02/2026"/>
    <s v="Aprovado"/>
    <n v="1"/>
    <n v="1"/>
    <n v="70000"/>
    <s v="Boleto Bradesco"/>
    <n v="65695"/>
    <s v=""/>
    <s v="Boleto"/>
    <s v="boleto"/>
    <s v="New Brokers 2026 - Nestlé &amp;amp; Brokers: Construindo o Futuro Juntos"/>
    <s v="corporate-jornada-ed13a26"/>
    <s v="Orlando Filho"/>
    <m/>
    <s v="05.975.316/0001-12"/>
    <s v="VICTORIA LOGISTICA E TRANSPORTES LTDA"/>
    <s v="orlandopmfilho27@gmail.com"/>
    <s v="8596057490"/>
    <s v="8534444500"/>
    <s v="61700000"/>
    <s v="BR 116 KM 23"/>
    <s v="SN"/>
    <s v="GALPAO9 ANEXO 2 SALA 1"/>
    <s v="CAMARA"/>
    <s v="Aquiraz"/>
    <s v="CE"/>
    <s v="Filial(São Paulo)"/>
    <s v="New Brokers 2026 - Nestlé &amp;amp; Brokers: Construindo o Futuro Juntos - 1 participante"/>
    <m/>
    <m/>
    <m/>
    <s v="ba01848ee2595287819a9aa5bf870610"/>
    <m/>
    <s v="Nao"/>
    <x v="7"/>
    <m/>
    <s v="06/04/2026"/>
    <m/>
    <m/>
    <m/>
    <m/>
    <s v="KAM"/>
    <s v="27/08/2025"/>
    <s v="ID-05975316000112"/>
    <s v="Aguardando recebimento"/>
    <m/>
    <x v="4"/>
  </r>
  <r>
    <s v="ORDEBABW8RQV6UPD"/>
    <n v="242919"/>
    <s v="18/02/2026 15:29"/>
    <x v="3"/>
    <m/>
    <s v="18/02/2026"/>
    <s v="Aprovado"/>
    <n v="1"/>
    <n v="12"/>
    <n v="70000"/>
    <s v="Braintree"/>
    <n v="65695"/>
    <s v="28974115835G20590SEE"/>
    <s v="Crédito Parcelado"/>
    <s v="visa"/>
    <s v="New Brokers 2026 - Nestlé &amp;amp; Brokers: Construindo o Futuro Juntos"/>
    <s v="corporate-jornada-ed13a26"/>
    <s v="MARIA LUISA PORTO DE SOUZA"/>
    <s v="07338758158"/>
    <s v="10.608.184/0001-20"/>
    <s v="DESTAQUE DO NORTE LOGÍSTICA E DISTRIBUIÇÃO LTDA"/>
    <s v="maria.luisa@dtno.com.br"/>
    <s v="63992288723"/>
    <s v="63992288723"/>
    <s v="77020528"/>
    <s v="Quadra ARSE 22 Alameda 12"/>
    <s v="1301"/>
    <s v="ed saint martin blue"/>
    <s v="Plano Diretor Sul"/>
    <s v="Palmas"/>
    <s v="TO"/>
    <s v="Filial(São Paulo)"/>
    <m/>
    <m/>
    <m/>
    <m/>
    <s v="43de8519aea2e8d128dc33f65aa47853"/>
    <s v="NewBroker2026"/>
    <s v="Nao"/>
    <x v="7"/>
    <m/>
    <s v="06/04/2026"/>
    <m/>
    <m/>
    <m/>
    <m/>
    <s v="KAM"/>
    <s v="29/04/2025"/>
    <s v="ID-10608184000120"/>
    <m/>
    <m/>
    <x v="0"/>
  </r>
  <r>
    <s v="COM6995FCE98A6DF"/>
    <n v="242905"/>
    <s v="18/02/2026 14:54"/>
    <x v="3"/>
    <m/>
    <m/>
    <s v="Aprovado"/>
    <n v="1"/>
    <n v="1"/>
    <n v="0"/>
    <m/>
    <n v="0"/>
    <s v=""/>
    <s v="Cortesia"/>
    <s v="cortesia"/>
    <s v="RH Leadership Xperience 2026 - Ingresso Explorer"/>
    <s v="evento-rh-ed1a26_explorer"/>
    <s v="Fabiana Meneses"/>
    <s v="32101598825"/>
    <m/>
    <m/>
    <s v="Fabiana.meneses@omni.com.br"/>
    <s v="5511981520887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536fd4cc2c67ed2210a14153352ca6bc"/>
    <m/>
    <s v="Nao"/>
    <x v="8"/>
    <m/>
    <s v="26/03/2026"/>
    <m/>
    <m/>
    <m/>
    <m/>
    <s v="KAM"/>
    <s v="29/10/2019"/>
    <s v="ID-32101598825"/>
    <m/>
    <m/>
    <x v="1"/>
  </r>
  <r>
    <s v="COM6995FB6F0A6BC"/>
    <n v="242903"/>
    <s v="18/02/2026 14:48"/>
    <x v="3"/>
    <m/>
    <m/>
    <s v="Aprovado"/>
    <n v="1"/>
    <n v="1"/>
    <n v="0"/>
    <m/>
    <n v="0"/>
    <s v=""/>
    <s v="Cortesia"/>
    <s v="cortesia"/>
    <s v="RH Leadership Xperience 2026 - Ingresso Platinum"/>
    <s v="evento-rh-ed1a26_platinum"/>
    <s v="Denise Paludetto"/>
    <s v="25840773883"/>
    <m/>
    <m/>
    <s v="Denise.paludetto@omni.com.be"/>
    <s v="5511999012060"/>
    <m/>
    <s v="04578-910"/>
    <s v="Avenida das Nações Unidas"/>
    <s v="12901"/>
    <m/>
    <s v="Brooklin Paulista"/>
    <s v="São Paulo"/>
    <s v="SP"/>
    <s v="Filial(São Paulo)"/>
    <s v="RH Leadership Xperience 2026 - Ingresso Platinum"/>
    <m/>
    <m/>
    <m/>
    <s v="8abb09679d7b13197844c2d7df0fa451"/>
    <m/>
    <s v="Nao"/>
    <x v="8"/>
    <m/>
    <s v="26/03/2026"/>
    <m/>
    <m/>
    <m/>
    <m/>
    <s v="KAM"/>
    <s v="15/10/2019"/>
    <s v="ID-25840773883"/>
    <m/>
    <m/>
    <x v="1"/>
  </r>
  <r>
    <s v="COM6995F12B58875"/>
    <n v="242900"/>
    <s v="18/02/2026 14:04"/>
    <x v="3"/>
    <m/>
    <s v="18/02/2026"/>
    <s v="Aprovado"/>
    <n v="1"/>
    <n v="1"/>
    <n v="65000"/>
    <m/>
    <n v="61002.5"/>
    <s v=""/>
    <s v="TED"/>
    <s v="ted"/>
    <s v="Workshop Convenção de Líderança 5A&amp;#039;s - Sênior Sistemas"/>
    <s v="corporate-workshop-ed13a26"/>
    <s v="Aline Ras"/>
    <m/>
    <s v="80.680.093/0001-81"/>
    <s v="SENIOR SISTEMAS S/A"/>
    <s v="aline.ras@senior.com.br"/>
    <s v="47984744000"/>
    <s v="4732213300"/>
    <s v="89012001"/>
    <s v="SAO PAULO"/>
    <s v="825"/>
    <m/>
    <s v="VICTOR KONDER"/>
    <s v="Blumenau"/>
    <s v="SC"/>
    <s v="Filial(São Paulo)"/>
    <s v="StartSe Workshop Lideranças Sênior_x000a_Dados Bancários:_x000a_Banco: ITAÚ (341)_x000a_Agência: 0185_x000a_Conta Corrente: 37248-9"/>
    <m/>
    <m/>
    <m/>
    <s v="f57656e3d658bc50e5367ca9b034a2e0"/>
    <m/>
    <s v="Nao"/>
    <x v="5"/>
    <m/>
    <s v="03/03/2026"/>
    <m/>
    <m/>
    <m/>
    <m/>
    <s v="KAM"/>
    <s v="31/01/2018"/>
    <s v="ID-80680093000181"/>
    <s v="Pago"/>
    <m/>
    <x v="0"/>
  </r>
  <r>
    <s v="COM6995F0CA8788A"/>
    <n v="242898"/>
    <s v="18/02/2026 14:03"/>
    <x v="3"/>
    <m/>
    <s v="18/02/2026"/>
    <s v="Aprovado"/>
    <n v="1"/>
    <n v="1"/>
    <n v="65000"/>
    <m/>
    <n v="61002.5"/>
    <s v=""/>
    <s v="TED"/>
    <s v="ted"/>
    <s v="Daiichi Sankyo | Workshop e talk | SP"/>
    <s v="corporate-workshop-ed11a26"/>
    <s v="Bruna Lima"/>
    <m/>
    <s v="60.874.187/0001-84"/>
    <s v="DAIICHI SANKYO BRASIL FARMACEUTICA LTDA."/>
    <s v="Bruna.lima@daiichisankyo.com"/>
    <s v="11950463048"/>
    <s v="1141914522"/>
    <s v="06455030"/>
    <s v="XINGU"/>
    <s v="766"/>
    <m/>
    <s v="ALPHAVILLE INDUSTRIAL"/>
    <s v="Barueri"/>
    <s v="SP"/>
    <s v="Filial(São Paulo)"/>
    <s v="Daiichi Sankyo | Workshop e talk | SP_x000a_teremos número de PO para a NF, mas ainda não possuimos"/>
    <m/>
    <m/>
    <m/>
    <s v="8d6285cedcdcccf284ca62dc14d4e25b"/>
    <m/>
    <s v="Nao"/>
    <x v="4"/>
    <m/>
    <s v="13/03/2026"/>
    <m/>
    <m/>
    <m/>
    <m/>
    <s v="KAM"/>
    <s v="23/01/2026"/>
    <s v="ID-60874187000184"/>
    <s v="Aguardando recebimento"/>
    <m/>
    <x v="3"/>
  </r>
  <r>
    <s v="COM69936E46DFFFE"/>
    <n v="242847"/>
    <s v="16/02/2026 16:21"/>
    <x v="3"/>
    <m/>
    <s v="18/02/2026"/>
    <s v="Aprovado"/>
    <n v="1"/>
    <n v="3"/>
    <n v="35000"/>
    <s v="Boleto Bradesco"/>
    <n v="35000"/>
    <s v=""/>
    <s v="Boleto"/>
    <s v="boleto"/>
    <s v="Imersão China Exclusiva | Franqueados MC Donalds"/>
    <s v="corporate-china-xperience-ed2a26"/>
    <s v="Carlos Emilio Cavaliere Sartorio"/>
    <s v="79597408791"/>
    <s v="01.422.664/0001-01"/>
    <s v="CEJASA COMERCIO DE ALIMENTOS LTDA"/>
    <s v="cemiliosartorio@uol.com.br"/>
    <s v="21999735025"/>
    <s v="2131146938"/>
    <s v="25581325"/>
    <s v="MARIA SOARES SENDAS"/>
    <s v="111"/>
    <s v="LOJA LUC A15"/>
    <s v="VENDA VELHA"/>
    <s v="São João de Meriti"/>
    <s v="RJ"/>
    <s v="Turismo - 50%"/>
    <s v="Inscrição Imersão China McDonald&amp;#039;s"/>
    <m/>
    <m/>
    <m/>
    <s v="e49240c4a97217b6bdfd761c6931e7b5"/>
    <m/>
    <s v="Nao"/>
    <x v="0"/>
    <m/>
    <s v="07/09/2026"/>
    <m/>
    <m/>
    <s v="https://loja.startse.com.br//processamento/fatura/e49240c4a97217b6bdfd761c6931e7b5"/>
    <s v="China"/>
    <s v="KAM"/>
    <s v="16/02/2026"/>
    <s v="ID-01422664000101"/>
    <s v="Pago"/>
    <m/>
    <x v="0"/>
  </r>
  <r>
    <s v="ORD02BIXRWJ2J4QV"/>
    <n v="242833"/>
    <s v="15/02/2026 11:39"/>
    <x v="3"/>
    <m/>
    <s v="15/02/2026"/>
    <s v="Aprovado"/>
    <n v="1"/>
    <n v="0"/>
    <n v="0"/>
    <m/>
    <n v="0"/>
    <m/>
    <s v="Cortesia"/>
    <s v="cortesia"/>
    <s v="AI for Leaders - 2ª edição - 2025"/>
    <s v="ai-for-leaders-ed2a25"/>
    <s v="Pedro Pinto Zanni"/>
    <s v="25728110819"/>
    <s v="17.351.180/0001-59"/>
    <s v="Banco Triângulo Ltda"/>
    <s v="pedroz@tribanco.com.br"/>
    <s v="11982027674"/>
    <m/>
    <s v="13342311"/>
    <s v="Rua Minho"/>
    <s v="268"/>
    <m/>
    <s v="Vale das Laranjeiras"/>
    <s v="Indaiatuba"/>
    <s v="SP"/>
    <s v="Filial(São Paulo)"/>
    <m/>
    <m/>
    <m/>
    <m/>
    <s v="2b5b3d98a71ad1a949d96fdf3db24321"/>
    <s v="OFFTRIBANCO"/>
    <s v="Nao"/>
    <x v="0"/>
    <m/>
    <s v="15/05/2025"/>
    <m/>
    <m/>
    <m/>
    <s v="Brasil"/>
    <s v="KAM"/>
    <s v="06/03/2017"/>
    <s v="ID-17351180000159"/>
    <m/>
    <m/>
    <x v="1"/>
  </r>
  <r>
    <s v="ORDAI3NHUINPKIBP"/>
    <n v="242820"/>
    <s v="14/02/2026 11:16"/>
    <x v="3"/>
    <m/>
    <s v="14/02/2026"/>
    <s v="Aprovado"/>
    <n v="1"/>
    <n v="12"/>
    <n v="70000"/>
    <s v="Braintree"/>
    <n v="65695"/>
    <s v="28974115835FU8N80L7E"/>
    <s v="Crédito Parcelado"/>
    <s v="visa"/>
    <s v="New Brokers 2026 - Nestlé &amp;amp; Brokers: Construindo o Futuro Juntos"/>
    <s v="corporate-jornada-ed13a26"/>
    <s v="Ultra Comércio e Distribuição Ltda"/>
    <s v="04916698444"/>
    <s v="09.236.632/0001-23"/>
    <s v="ULTRA COMERCIO E DISTRIBUICAO LTDA"/>
    <s v="henrique@ultracd.com.br"/>
    <s v="83999212100"/>
    <m/>
    <s v="58082014"/>
    <s v="INDUSTRIAL ABELARDO ALVIM GOMES SCHIMMELPFENG"/>
    <s v="118"/>
    <s v="GALPAO01"/>
    <s v="DISTRITO INDUSTRIAL"/>
    <s v="João Pessoa"/>
    <s v="PB"/>
    <s v="Filial(São Paulo)"/>
    <m/>
    <m/>
    <m/>
    <m/>
    <s v="f6695b5a35d4449e48d52a14cdcdce1b"/>
    <s v="NewBroker2026"/>
    <s v="Nao"/>
    <x v="7"/>
    <m/>
    <s v="06/04/2026"/>
    <m/>
    <m/>
    <m/>
    <m/>
    <s v="KAM"/>
    <s v="28/06/2019"/>
    <s v="ID-09236632000123"/>
    <m/>
    <m/>
    <x v="0"/>
  </r>
  <r>
    <s v="COM698F8B0A7A930"/>
    <n v="242805"/>
    <s v="13/02/2026 17:35"/>
    <x v="3"/>
    <m/>
    <s v="13/02/2026"/>
    <s v="Aprovado"/>
    <n v="1"/>
    <n v="1"/>
    <n v="70000"/>
    <s v="Boleto Bradesco"/>
    <n v="65695"/>
    <s v=""/>
    <s v="Boleto"/>
    <s v="boleto"/>
    <s v="New Brokers 2026 - Nestlé &amp;amp; Brokers: Construindo o Futuro Juntos"/>
    <s v="corporate-jornada-ed13a26"/>
    <s v="Horizonte Broker Distribuiçao ltda"/>
    <m/>
    <s v="47.232.709/0001-86"/>
    <s v="HORIZONTE BROKER DISTRIBUICAO LTDA"/>
    <s v="lorenzo@brokerhorizonte.com.br"/>
    <s v="31998933676"/>
    <s v="3131572757"/>
    <s v="32183680"/>
    <s v="WILSON TAVARES RIBEIRO"/>
    <s v="800"/>
    <s v="GALPAO01"/>
    <s v="CHACARAS REUNIDAS SANTA TEREZINHA"/>
    <s v="Contagem"/>
    <s v="MG"/>
    <s v="Filial(São Paulo)"/>
    <s v="New Brokers 2026 - Nestlé &amp;amp; Brokers: Construindo o Futuro Juntos"/>
    <m/>
    <m/>
    <m/>
    <s v="41c2de138c1f6f9b609e761a725cf6fd"/>
    <m/>
    <s v="Nao"/>
    <x v="7"/>
    <m/>
    <s v="06/04/2026"/>
    <m/>
    <m/>
    <m/>
    <m/>
    <s v="KAM"/>
    <s v="13/02/2026"/>
    <s v="ID-47232709000186"/>
    <s v="Aguardando recebimento"/>
    <m/>
    <x v="4"/>
  </r>
  <r>
    <s v="COM698F888B68769"/>
    <n v="242803"/>
    <s v="13/02/2026 17:24"/>
    <x v="3"/>
    <m/>
    <s v="13/02/2026"/>
    <s v="Aprovado"/>
    <n v="1"/>
    <n v="5"/>
    <n v="70000"/>
    <s v="Boleto Bradesco"/>
    <n v="65695"/>
    <s v=""/>
    <s v="Boleto"/>
    <s v="boleto"/>
    <s v="New Brokers 2026 - Nestlé &amp;amp; Brokers: Construindo o Futuro Juntos"/>
    <s v="corporate-jornada-ed13a26"/>
    <s v="MEGADAN BROKER REPRESENTACAO COMERCIAL LTDA"/>
    <m/>
    <s v="26.919.347/0001-26"/>
    <s v="MEGADAN BROKER REPRESENTACAO COMERCIAL LTDA"/>
    <s v="deise.tarraf@megadan.com.br"/>
    <s v="17991140049"/>
    <s v="1721220999"/>
    <s v="15133286"/>
    <s v="DOUTOR ERNANI DA GAMA CORREA"/>
    <s v="3500F"/>
    <s v="SALAO 06"/>
    <s v="PORTAL DA CIDADE AMIGA"/>
    <s v="Mirassol"/>
    <s v="SP"/>
    <s v="Filial(São Paulo)"/>
    <s v="New Brokers 2026 - Nestlé &amp;amp; Brokers: Construindo o Futuro Juntos"/>
    <m/>
    <m/>
    <m/>
    <s v="8aecbf5c69e3201ae26228955f18699e"/>
    <m/>
    <s v="Nao"/>
    <x v="7"/>
    <m/>
    <s v="06/04/2026"/>
    <m/>
    <m/>
    <m/>
    <m/>
    <s v="KAM"/>
    <s v="30/04/2025"/>
    <s v="ID-26919347000126"/>
    <s v="Aguardando recebimento"/>
    <m/>
    <x v="4"/>
  </r>
  <r>
    <s v="COM698F86A1B0024"/>
    <n v="242800"/>
    <s v="13/02/2026 17:16"/>
    <x v="3"/>
    <m/>
    <s v="13/02/2026"/>
    <s v="Aprovado"/>
    <n v="2"/>
    <n v="1"/>
    <n v="140000"/>
    <s v="Boleto Bradesco"/>
    <n v="131390"/>
    <s v=""/>
    <s v="Boleto"/>
    <s v="boleto"/>
    <s v="New Brokers 2026 - Nestlé &amp;amp; Brokers: Construindo o Futuro Juntos"/>
    <s v="corporate-jornada-ed13a26"/>
    <s v="STAMPA REPRESENTACOES COMERCIAIS LTDA"/>
    <m/>
    <s v="14.488.462/0001-04"/>
    <s v="STAMPA REPRESENTACOES COMERCIAIS LTDA"/>
    <s v="eloisa@stampanet.com.br"/>
    <s v="41999154601"/>
    <s v="4133814500"/>
    <s v="83015810"/>
    <s v="BOM PASTOR"/>
    <s v="3250"/>
    <s v="SALA 01 MODULO 01 ANDAR 03"/>
    <s v="BARRO PRETO"/>
    <s v="São José dos Pinhais"/>
    <s v="PR"/>
    <s v="Filial(São Paulo)"/>
    <s v="New Brokers 2026 - Nestlé &amp;amp; Brokers: Construindo o Futuro Juntos"/>
    <m/>
    <m/>
    <m/>
    <s v="35b6fcca047edd8bdb6fd52825335d03"/>
    <m/>
    <s v="Nao"/>
    <x v="7"/>
    <m/>
    <s v="06/04/2026"/>
    <m/>
    <m/>
    <m/>
    <m/>
    <s v="KAM"/>
    <s v="29/07/2025"/>
    <s v="ID-14488462000104"/>
    <s v="Aguardando recebimento"/>
    <m/>
    <x v="4"/>
  </r>
  <r>
    <s v="ORD8Y75G0RRBZFIF"/>
    <n v="242799"/>
    <s v="13/02/2026 17:13"/>
    <x v="3"/>
    <m/>
    <s v="13/02/2026"/>
    <s v="Aprovado"/>
    <n v="1"/>
    <n v="12"/>
    <n v="70000"/>
    <s v="Braintree"/>
    <n v="65695"/>
    <s v="28974115835FTAQLLOJE"/>
    <s v="Crédito Parcelado"/>
    <s v="visa"/>
    <s v="New Brokers 2026 - Nestlé &amp;amp; Brokers: Construindo o Futuro Juntos"/>
    <s v="corporate-jornada-ed13a26"/>
    <s v="Thales Amaral Targino"/>
    <s v="82379386234"/>
    <s v="05.021.725/0003-41"/>
    <s v="Grão Pará Representação Ltda"/>
    <s v="thales@brokergraopara.com.br"/>
    <s v="91991069062"/>
    <m/>
    <s v="66093005"/>
    <s v="Rod BR 316 km 25"/>
    <m/>
    <s v="Ao lado posto Marajó"/>
    <s v="Santa Rosa"/>
    <s v="Benevides"/>
    <s v="PA"/>
    <s v="Filial(São Paulo)"/>
    <m/>
    <m/>
    <m/>
    <m/>
    <s v="7a37fa92e67e3051b4a23e0f27906ffa"/>
    <s v="NewBroker2026"/>
    <s v="Nao"/>
    <x v="7"/>
    <m/>
    <s v="06/04/2026"/>
    <m/>
    <m/>
    <m/>
    <m/>
    <s v="KAM"/>
    <s v="13/02/2026"/>
    <s v="ID-05021725000341"/>
    <m/>
    <m/>
    <x v="0"/>
  </r>
  <r>
    <s v="ORDCW2SZ7SVI4V94"/>
    <n v="242785"/>
    <s v="13/02/2026 16:43"/>
    <x v="3"/>
    <m/>
    <s v="13/02/2026"/>
    <s v="Aprovado"/>
    <n v="1"/>
    <n v="12"/>
    <n v="70000"/>
    <s v="Braintree"/>
    <n v="65695"/>
    <s v="28974115835FTAQJERBE"/>
    <s v="Crédito Parcelado"/>
    <s v="amex"/>
    <s v="New Brokers 2026 - Nestlé &amp;amp; Brokers: Construindo o Futuro Juntos"/>
    <s v="corporate-jornada-ed13a26"/>
    <s v="IRMAOS SWIECH LTDA"/>
    <s v="82380589020"/>
    <s v="08.219.855/0001-10"/>
    <s v="IRMAOS SWIECH LTDA."/>
    <s v="jean.torii@santarosanestle.com.br"/>
    <s v="43991523343"/>
    <m/>
    <s v="86183759"/>
    <s v="JOSE GASPARINI"/>
    <s v="396"/>
    <s v="ARMZ  02                  BLOCO 1 - ADMINISTRATIVO"/>
    <s v="PARQUE INDUSTRIAL JOSE GARCIA GIMENES"/>
    <s v="Cambé"/>
    <s v="PR"/>
    <s v="Filial(São Paulo)"/>
    <m/>
    <m/>
    <m/>
    <m/>
    <s v="052e17d2f47d59e7d12f498adfed122a"/>
    <s v="NewBroker2026"/>
    <s v="Nao"/>
    <x v="7"/>
    <m/>
    <s v="06/04/2026"/>
    <m/>
    <m/>
    <m/>
    <m/>
    <s v="KAM"/>
    <s v="28/08/2025"/>
    <s v="ID-08219855000110"/>
    <m/>
    <m/>
    <x v="0"/>
  </r>
  <r>
    <s v="COM698F7C7E64755"/>
    <n v="242784"/>
    <s v="13/02/2026 16:33"/>
    <x v="3"/>
    <m/>
    <s v="13/02/2026"/>
    <s v="Aprovado"/>
    <n v="1"/>
    <n v="1"/>
    <n v="70000"/>
    <s v="Boleto Bradesco"/>
    <n v="65695"/>
    <s v=""/>
    <s v="Boleto"/>
    <s v="boleto"/>
    <s v="New Brokers 2026 - Nestlé &amp;amp; Brokers: Construindo o Futuro Juntos"/>
    <s v="corporate-jornada-ed13a26"/>
    <s v="Vinicius - Broker Mais"/>
    <m/>
    <s v="29.440.540/0001-78"/>
    <s v="BROKER MAIS REPRESENTACOES LTDA"/>
    <s v="vinicius@brokermais.com.br"/>
    <s v="14981361300"/>
    <s v="1421056700"/>
    <s v="17539028"/>
    <s v="JOAO RIBEIRO DE BARROS"/>
    <s v="S/ N"/>
    <s v="KM 439 ANEXO III"/>
    <s v="CENTRO (LACIO)"/>
    <s v="Marília"/>
    <s v="SP"/>
    <s v="Filial(São Paulo)"/>
    <s v="New Brokers 2026 - Nestlé &amp;amp; Brokers: Construindo o Futuro Juntos"/>
    <m/>
    <m/>
    <m/>
    <s v="b7e38c6d1b2c18e20f1f75ad66332b56"/>
    <m/>
    <s v="Nao"/>
    <x v="7"/>
    <m/>
    <s v="06/04/2026"/>
    <m/>
    <m/>
    <m/>
    <m/>
    <s v="KAM"/>
    <s v="13/02/2026"/>
    <s v="ID-29440540000178"/>
    <s v="Aguardando recebimento"/>
    <m/>
    <x v="4"/>
  </r>
  <r>
    <s v="COM698F7AC7ABE37"/>
    <n v="242783"/>
    <s v="13/02/2026 16:25"/>
    <x v="3"/>
    <m/>
    <s v="13/02/2026"/>
    <s v="Aprovado"/>
    <n v="27"/>
    <n v="1"/>
    <n v="64800"/>
    <s v="Boleto Bradesco"/>
    <n v="60814.8"/>
    <s v=""/>
    <s v="Boleto"/>
    <s v="boleto"/>
    <s v="AI Festival 2026 - Ingresso Interactive"/>
    <s v="evento-ia-ed1a26_interactive"/>
    <s v="Fabio Domingues Ibers"/>
    <m/>
    <s v="03.407.049/0002-32"/>
    <s v="VOTORANTIM S.A."/>
    <s v="fabio.ibers@votorantim.com"/>
    <s v="41991848257"/>
    <s v="41991848257"/>
    <s v="82130570"/>
    <s v="CURITIBA /RIO BRANCO DO SUL-PR 092"/>
    <s v="1303"/>
    <s v="BLOCO A"/>
    <s v="ABRANCHES"/>
    <s v="Curitiba"/>
    <s v="PR"/>
    <s v="Filial(São Paulo)"/>
    <s v="AI Festival 2026 - Ingresso Interactive"/>
    <m/>
    <m/>
    <m/>
    <s v="0be443637866ccee5ce9fd1c4bf348b6"/>
    <m/>
    <s v="Nao"/>
    <x v="0"/>
    <m/>
    <s v="13/05/2026"/>
    <m/>
    <m/>
    <m/>
    <m/>
    <s v="KAM"/>
    <s v="27/10/2021"/>
    <s v="ID-03407049000232"/>
    <s v="Pago"/>
    <m/>
    <x v="0"/>
  </r>
  <r>
    <s v="ORDRXMVUVKKRYCQO"/>
    <n v="242773"/>
    <s v="13/02/2026 15:31"/>
    <x v="3"/>
    <m/>
    <s v="13/02/2026"/>
    <s v="Aprovado"/>
    <n v="1"/>
    <n v="12"/>
    <n v="70000"/>
    <s v="Braintree"/>
    <n v="65695"/>
    <s v="28974115835FTAQGDTVE"/>
    <s v="Crédito Parcelado"/>
    <s v="mastercard"/>
    <s v="New Brokers 2026 - Nestlé &amp;amp; Brokers: Construindo o Futuro Juntos"/>
    <s v="corporate-jornada-ed13a26"/>
    <s v="Alexandre de Moraes Batista"/>
    <s v="09166176700"/>
    <s v="13.031.500/0001-32"/>
    <s v="BATISTA COMERCIAL E REPRESENTACOES LTDA"/>
    <s v="diretoria@grupobatista.com"/>
    <s v="27999326491"/>
    <m/>
    <s v="29104360"/>
    <s v="DARLY SANTOS"/>
    <s v="2650"/>
    <s v="GALPAO01"/>
    <s v="POLO EMPRESARIAL NOVO MEXICO"/>
    <s v="Vila Velha"/>
    <s v="ES"/>
    <s v="Filial(São Paulo)"/>
    <m/>
    <m/>
    <m/>
    <m/>
    <s v="8b539e7e216eaf1f934fb32101a8254e"/>
    <s v="NewBroker2026"/>
    <s v="Nao"/>
    <x v="7"/>
    <m/>
    <s v="06/04/2026"/>
    <m/>
    <m/>
    <m/>
    <m/>
    <s v="KAM"/>
    <s v="26/08/2025"/>
    <s v="ID-13031500000132"/>
    <m/>
    <m/>
    <x v="0"/>
  </r>
  <r>
    <s v="COM698F58CB8B626"/>
    <n v="242752"/>
    <s v="13/02/2026 14:00"/>
    <x v="3"/>
    <m/>
    <s v="13/02/2026"/>
    <s v="Aprovado"/>
    <n v="1"/>
    <n v="4"/>
    <n v="50000"/>
    <s v="Boleto Bradesco"/>
    <n v="46925"/>
    <s v=""/>
    <s v="Boleto"/>
    <s v="boleto"/>
    <s v="New Brokers 2026 - Nestlé &amp;amp; Brokers: Construindo o Futuro Juntos"/>
    <s v="corporate-jornada-ed13a26"/>
    <s v="IGOR INACIO DUPONT"/>
    <m/>
    <s v="89.194.377/0001-32"/>
    <s v="DUPONT DISTRIBUIDORA DE ALIMENTOS LTDA"/>
    <s v="igor@grupodupont.com.br"/>
    <s v="51999970486"/>
    <s v="5121075800"/>
    <s v="96814400"/>
    <s v="BR-471"/>
    <s v="S/N"/>
    <s v="KM 122 3"/>
    <s v="VARZEA"/>
    <s v="Santa Cruz do Sul"/>
    <s v="RS"/>
    <s v="Filial(São Paulo)"/>
    <s v="New Brokers | Nestlé &amp;amp; Brokers: Construindo o Futuro Juntos"/>
    <m/>
    <m/>
    <m/>
    <s v="454b03d1e278f6b63cd9fb8594eff089"/>
    <m/>
    <s v="Nao"/>
    <x v="7"/>
    <m/>
    <s v="06/04/2026"/>
    <m/>
    <m/>
    <m/>
    <m/>
    <s v="KAM"/>
    <s v="26/08/2025"/>
    <s v="ID-89194377000132"/>
    <s v="Aguardando recebimento"/>
    <m/>
    <x v="4"/>
  </r>
  <r>
    <s v="ORD5BRXD4JQA17G4"/>
    <n v="242750"/>
    <s v="13/02/2026 13:25"/>
    <x v="3"/>
    <m/>
    <s v="13/02/2026"/>
    <s v="Aprovado"/>
    <n v="1"/>
    <n v="12"/>
    <n v="70000"/>
    <s v="Braintree"/>
    <n v="65695"/>
    <s v="28974115835FTAQALVCE"/>
    <s v="Crédito Parcelado"/>
    <s v="amex"/>
    <s v="New Brokers 2026 - Nestlé &amp;amp; Brokers: Construindo o Futuro Juntos"/>
    <s v="corporate-jornada-ed13a26"/>
    <s v="Luca Manassero Podkolinski de Almeida Queiroz"/>
    <s v="46641898857"/>
    <s v="06.180.912/0001-79"/>
    <s v="DISO - COMERCIO DE ALIMENTOS LTDA"/>
    <s v="gerente.adm@diso.com.br"/>
    <s v="15997001283"/>
    <m/>
    <s v="13337200"/>
    <s v="JOSE COSTA DE MESQUITA"/>
    <s v="691"/>
    <s v="GALPAO01 AO 07            ANEXO N. 787 - GALPAO 01"/>
    <s v="CHACARA ALVORADA"/>
    <s v="Indaiatuba"/>
    <s v="SP"/>
    <s v="Filial(São Paulo)"/>
    <m/>
    <m/>
    <m/>
    <m/>
    <s v="7e4aa9edae2bb26ff511354c868b881a"/>
    <s v="NewBroker2026"/>
    <s v="Nao"/>
    <x v="7"/>
    <m/>
    <s v="06/04/2026"/>
    <m/>
    <m/>
    <m/>
    <m/>
    <s v="KAM"/>
    <s v="30/04/2025"/>
    <s v="ID-06180912000179"/>
    <m/>
    <m/>
    <x v="0"/>
  </r>
  <r>
    <s v="ORDQ9WC2TVI6P9V9"/>
    <n v="242749"/>
    <s v="13/02/2026 13:15"/>
    <x v="3"/>
    <m/>
    <s v="13/02/2026"/>
    <s v="Aprovado"/>
    <n v="1"/>
    <n v="12"/>
    <n v="70000"/>
    <s v="Braintree"/>
    <n v="65695"/>
    <s v="28974115835FTAQAIP7E"/>
    <s v="Crédito Parcelado"/>
    <s v="visa"/>
    <s v="New Brokers 2026 - Nestlé &amp;amp; Brokers: Construindo o Futuro Juntos"/>
    <s v="corporate-jornada-ed13a26"/>
    <s v="PAMC Distribuição e Logística Ltda."/>
    <s v="94931640125"/>
    <s v="42.515.614/0001-56"/>
    <s v="PAMC DISTRIBUICAO E LOGISTICA LTDA"/>
    <s v="marcello@pamc.com.br"/>
    <s v="61992134040"/>
    <m/>
    <s v="71988360"/>
    <s v="ADE CONJUNTO 18 LOTE 14 E"/>
    <s v="15"/>
    <s v="Galpão Pamc"/>
    <s v="AREA DE DESENVOLVIMENTO ECONOMICO (AGUAS CLAR"/>
    <s v="Brasília"/>
    <s v="DF"/>
    <s v="Filial(São Paulo)"/>
    <m/>
    <m/>
    <m/>
    <m/>
    <s v="bb914f3a4190b320c442ec0a493076e6"/>
    <s v="NewBroker2026"/>
    <s v="Nao"/>
    <x v="7"/>
    <m/>
    <s v="06/04/2026"/>
    <m/>
    <m/>
    <m/>
    <m/>
    <s v="KAM"/>
    <s v="13/02/2026"/>
    <s v="ID-42515614000156"/>
    <m/>
    <m/>
    <x v="0"/>
  </r>
  <r>
    <s v="ORD6NXH9WAS63WN9"/>
    <n v="242747"/>
    <s v="13/02/2026 13:10"/>
    <x v="3"/>
    <m/>
    <s v="13/02/2026"/>
    <s v="Aprovado"/>
    <n v="1"/>
    <n v="12"/>
    <n v="70000"/>
    <s v="Braintree"/>
    <n v="65695"/>
    <s v="28974115835FTAQ90DUE"/>
    <s v="Crédito Parcelado"/>
    <s v="visa"/>
    <s v="New Brokers 2026 - Nestlé &amp;amp; Brokers: Construindo o Futuro Juntos"/>
    <s v="corporate-jornada-ed13a26"/>
    <s v="PAMC Distribuição e Logística Ltda"/>
    <s v="26087663827"/>
    <s v="42.515.614/0001-56"/>
    <s v="PAMC DISTRIBUICAO E LOGISTICA LTDA"/>
    <s v="carlos.pamc@gmail.com"/>
    <s v="61992197313"/>
    <m/>
    <s v="71988360"/>
    <s v="ADE CONJUNTO 18 LOTE 14 E"/>
    <s v="15"/>
    <s v="Galpão Pamc"/>
    <s v="AREA DE DESENVOLVIMENTO ECONOMICO (AGUAS CLAR"/>
    <s v="Brasília"/>
    <s v="DF"/>
    <s v="Filial(São Paulo)"/>
    <m/>
    <m/>
    <m/>
    <m/>
    <s v="3592652c044e52e09a18a87f06e2c4a9"/>
    <s v="NewBroker2026"/>
    <s v="Nao"/>
    <x v="7"/>
    <m/>
    <s v="06/04/2026"/>
    <m/>
    <m/>
    <m/>
    <m/>
    <s v="KAM"/>
    <s v="13/02/2026"/>
    <s v="ID-42515614000156"/>
    <m/>
    <m/>
    <x v="0"/>
  </r>
  <r>
    <s v="ORDSLAEO6EE4C2NR"/>
    <n v="242744"/>
    <s v="13/02/2026 12:41"/>
    <x v="3"/>
    <m/>
    <s v="13/02/2026"/>
    <s v="Aprovado"/>
    <n v="1"/>
    <n v="12"/>
    <n v="70000"/>
    <s v="Braintree"/>
    <n v="65695"/>
    <s v="28974115835FTAQ7DDCE"/>
    <s v="Crédito Parcelado"/>
    <s v="visa"/>
    <s v="New Brokers 2026 - Nestlé &amp;amp; Brokers: Construindo o Futuro Juntos"/>
    <s v="corporate-jornada-ed13a26"/>
    <s v="Hyltom Pinto de Castro Filho"/>
    <s v="26925552874"/>
    <s v="42.515.614/0001-56"/>
    <s v="Pamc Distribuição e Logística Ltda."/>
    <s v="hyltom@pamc.com.br"/>
    <s v="61992653303"/>
    <m/>
    <s v="71988360"/>
    <s v="Área ADE Conjunto 18"/>
    <s v="14"/>
    <m/>
    <s v="Área de Desenvolvimento Econômico (Águas Clar"/>
    <s v="Brasília"/>
    <s v="DF"/>
    <s v="Filial(São Paulo)"/>
    <m/>
    <m/>
    <m/>
    <m/>
    <s v="397f0d422cea60854ff36381809ee619"/>
    <s v="NewBroker2026"/>
    <s v="Nao"/>
    <x v="7"/>
    <m/>
    <s v="06/04/2026"/>
    <m/>
    <m/>
    <m/>
    <m/>
    <s v="KAM"/>
    <s v="13/02/2026"/>
    <s v="ID-42515614000156"/>
    <m/>
    <m/>
    <x v="0"/>
  </r>
  <r>
    <s v="ORDF19BL8T6K82FV"/>
    <n v="242730"/>
    <s v="13/02/2026 10:55"/>
    <x v="3"/>
    <m/>
    <s v="13/02/2026"/>
    <s v="Aprovado"/>
    <n v="1"/>
    <n v="12"/>
    <n v="70000"/>
    <s v="Braintree"/>
    <n v="65695"/>
    <s v="28974115835FTAQ0V6NE"/>
    <s v="Crédito Parcelado"/>
    <s v="visa"/>
    <s v="New Brokers 2026 - Nestlé &amp;amp; Brokers: Construindo o Futuro Juntos"/>
    <s v="corporate-jornada-ed13a26"/>
    <s v="Rio Sul Representação e Participações Ltda."/>
    <s v="02812408766"/>
    <s v="11.126.946/0001-15"/>
    <s v="RIO SUL REPRESENTACAO COMERCIAL E PARTICIPACOES LTDA,"/>
    <s v="edward@riosul.rio.br"/>
    <s v="21996168000"/>
    <m/>
    <s v="21073160"/>
    <s v="JOAO REGO"/>
    <s v="77"/>
    <s v="Galpão"/>
    <s v="OLARIA"/>
    <s v="Rio de Janeiro"/>
    <s v="RJ"/>
    <s v="Filial(São Paulo)"/>
    <m/>
    <m/>
    <m/>
    <m/>
    <s v="97e5f641f9d337aa3d94af0cd1f21339"/>
    <s v="NewBroker2026"/>
    <s v="Nao"/>
    <x v="7"/>
    <m/>
    <s v="06/04/2026"/>
    <m/>
    <m/>
    <m/>
    <m/>
    <s v="KAM"/>
    <s v="27/08/2025"/>
    <s v="ID-11126946000115"/>
    <m/>
    <m/>
    <x v="0"/>
  </r>
  <r>
    <s v="COM6984E2B0B3402"/>
    <n v="242053"/>
    <s v="13/02/2026 10:28"/>
    <x v="3"/>
    <m/>
    <s v="13/02/2026"/>
    <s v="Aprovado"/>
    <n v="2"/>
    <n v="10"/>
    <n v="69999.98"/>
    <s v="Braintree"/>
    <n v="69999.98"/>
    <s v="28987210985FTOINO61C"/>
    <s v="Crédito Parcelado"/>
    <s v="visa"/>
    <s v="Imersão China Exclusiva | Franqueados MC Donalds"/>
    <s v="corporate-china-xperience-ed2a26"/>
    <s v="FREDERICO CAVALCANTI PINTO DA CARVALHEIRA NETO"/>
    <s v="96225718400"/>
    <s v="41.062.183/0001-57"/>
    <s v="MARALCO COMERCIO DE ALIMENTOS LTDA"/>
    <s v="frederico.carvalheira@mcdpe.com.br"/>
    <s v="81971146888"/>
    <s v="8133261553"/>
    <s v="51020280"/>
    <s v="PADRE CARAPUCEIRO"/>
    <s v="733"/>
    <s v="SALA 0502 EMP CENTER l"/>
    <s v="BOA VIAGEM"/>
    <s v="Recife"/>
    <s v="PE"/>
    <s v="Turismo - 50%"/>
    <s v="Imersão China Exclusiva | Franqueados MC Donalds"/>
    <m/>
    <m/>
    <m/>
    <s v="7f694b92200cfda1e45b1987feba22bd"/>
    <s v="OFFMCFRANQUEADOS"/>
    <s v="Nao"/>
    <x v="0"/>
    <m/>
    <s v="07/09/2026"/>
    <m/>
    <m/>
    <s v="https://loja.startse.com.br//processamento/fatura/7f694b92200cfda1e45b1987feba22bd"/>
    <s v="China"/>
    <s v="KAM"/>
    <s v="13/02/2026"/>
    <s v="ID-41062183000157"/>
    <s v="A pagar"/>
    <m/>
    <x v="0"/>
  </r>
  <r>
    <s v="COM698CC85E87E65"/>
    <n v="242529"/>
    <s v="12/02/2026 21:03"/>
    <x v="3"/>
    <m/>
    <s v="12/02/2026"/>
    <s v="Aprovado"/>
    <n v="1"/>
    <n v="12"/>
    <n v="34999.99"/>
    <s v="Braintree"/>
    <n v="34999.99"/>
    <s v="28987210985FSQKVSMMC"/>
    <s v="Crédito Parcelado"/>
    <s v="elo"/>
    <s v="Imersão China Exclusiva | Franqueados MC Donalds"/>
    <s v="corporate-china-xperience-ed2a26"/>
    <s v="Isabella Farina Fernandes"/>
    <s v="13361364728"/>
    <s v="35.356.893/0001-97"/>
    <s v="ISALCO OESTE COMERCIO DE ALIMENTOS LTDA"/>
    <s v="isabella@isalco.com"/>
    <s v="21994384904"/>
    <s v="2124502238"/>
    <s v="23070221"/>
    <s v="DO CAMPINHO"/>
    <s v="735"/>
    <m/>
    <s v="CAMPO GRANDE"/>
    <s v="Rio de Janeiro"/>
    <s v="RJ"/>
    <s v="Turismo - 50%"/>
    <s v="Imersão China Exclusiva | Franqueados MC Donalds"/>
    <m/>
    <m/>
    <m/>
    <s v="c5483166611e938eca174fd609bc1b45"/>
    <s v="OFFMCFRANQUEADOS"/>
    <s v="Nao"/>
    <x v="0"/>
    <m/>
    <s v="07/09/2026"/>
    <m/>
    <m/>
    <s v="https://loja.startse.com.br//processamento/fatura/c5483166611e938eca174fd609bc1b45"/>
    <s v="China"/>
    <s v="KAM"/>
    <s v="12/02/2026"/>
    <s v="ID-35356893000197"/>
    <s v="A pagar"/>
    <m/>
    <x v="0"/>
  </r>
  <r>
    <s v="COM698E2B25490A7"/>
    <n v="242678"/>
    <s v="12/02/2026 16:33"/>
    <x v="3"/>
    <m/>
    <s v="13/02/2026"/>
    <s v="Aprovado"/>
    <n v="1"/>
    <n v="1"/>
    <n v="31500"/>
    <s v="Boleto Bradesco"/>
    <n v="29562.75"/>
    <s v=""/>
    <s v="Boleto"/>
    <s v="boleto"/>
    <s v="StartSe Board Program - Turma 14 - 2026"/>
    <s v="board-program-ed2a26"/>
    <s v="Gabriela Perrud da Silva"/>
    <m/>
    <s v="11.969.853/0001-52"/>
    <s v="COOPERATIVA DE CREDITO E INVESTIMENTO COM INTERACAO SOLIDARIA CONEXAO - CRESOL CONEXAO"/>
    <s v="gabriela.perrud@cresol.com.br"/>
    <s v="45988040768"/>
    <s v="4534221702"/>
    <s v="85720256"/>
    <s v="BRASILIA"/>
    <s v="2610"/>
    <m/>
    <s v="BAIRRO CIDADE ALTA"/>
    <s v="Medianeira"/>
    <s v="PR"/>
    <s v="Filial(São Paulo)"/>
    <s v="StartSe Board Program - Turma 14 - 2026"/>
    <m/>
    <m/>
    <m/>
    <s v="58f2d069af91040a2d3947f7613e3a52"/>
    <m/>
    <s v="Nao"/>
    <x v="0"/>
    <m/>
    <s v="04/05/2026"/>
    <m/>
    <m/>
    <m/>
    <s v="Brasil"/>
    <s v="KAM"/>
    <s v="09/12/2024"/>
    <s v="ID-11969853000152"/>
    <s v="Pago"/>
    <m/>
    <x v="0"/>
  </r>
  <r>
    <s v="COM698E2A6523BFC"/>
    <n v="242677"/>
    <s v="12/02/2026 16:30"/>
    <x v="3"/>
    <m/>
    <s v="13/02/2026"/>
    <s v="Aprovado"/>
    <n v="1"/>
    <n v="1"/>
    <n v="31500"/>
    <s v="Boleto Bradesco"/>
    <n v="29562.75"/>
    <s v=""/>
    <s v="Boleto"/>
    <s v="boleto"/>
    <s v="StartSe Board Program - Turma 13 - 2026"/>
    <s v="board-program-ed1a26"/>
    <s v="Gabriela Perrud da Silva"/>
    <m/>
    <s v="11.969.853/0001-52"/>
    <s v="COOPERATIVA DE CREDITO E INVESTIMENTO COM INTERACAO SOLIDARIA CONEXAO - CRESOL CONEXAO"/>
    <s v="gabriela.perrud@cresol.com.br"/>
    <s v="45988040768"/>
    <s v="4534221702"/>
    <s v="85720256"/>
    <s v="BRASILIA"/>
    <s v="2610"/>
    <m/>
    <s v="BAIRRO CIDADE ALTA"/>
    <s v="Medianeira"/>
    <s v="PR"/>
    <s v="Filial(São Paulo)"/>
    <s v="StartSe Board Program - Turma 13 - 2026"/>
    <m/>
    <m/>
    <m/>
    <s v="6e6004ce33ecae44ae090e195602b2b5"/>
    <m/>
    <s v="Nao"/>
    <x v="0"/>
    <m/>
    <s v="02/03/2026"/>
    <m/>
    <m/>
    <m/>
    <s v="Brasil"/>
    <s v="KAM"/>
    <s v="09/12/2024"/>
    <s v="ID-11969853000152"/>
    <s v="Pago"/>
    <m/>
    <x v="0"/>
  </r>
  <r>
    <s v="COM698E24ED9E342"/>
    <n v="242674"/>
    <s v="12/02/2026 16:07"/>
    <x v="3"/>
    <m/>
    <s v="12/02/2026"/>
    <s v="Aprovado"/>
    <n v="1"/>
    <n v="1"/>
    <n v="0"/>
    <m/>
    <n v="0"/>
    <s v=""/>
    <s v="Cortesia"/>
    <s v="cortesia"/>
    <s v="AI Agentic Commerce - 23 e 24 de Fevereiro de 2026"/>
    <s v="ai-agentic-commerce-ed1a26"/>
    <s v="Deborah Huff"/>
    <s v="31638242852"/>
    <m/>
    <m/>
    <s v="deborah@beautyfair.com.br"/>
    <s v="5511977355325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5ae9559e12569bb497fb4860b016aaa8"/>
    <m/>
    <s v="Nao"/>
    <x v="7"/>
    <m/>
    <s v="23/02/2026"/>
    <m/>
    <m/>
    <m/>
    <m/>
    <s v="KAM"/>
    <s v="29/03/2026"/>
    <s v="ID-31638242852"/>
    <m/>
    <m/>
    <x v="1"/>
  </r>
  <r>
    <s v="COM698E086A792E2"/>
    <n v="242642"/>
    <s v="12/02/2026 14:05"/>
    <x v="3"/>
    <m/>
    <s v="12/02/2026"/>
    <s v="Aprovado"/>
    <n v="1"/>
    <n v="1"/>
    <n v="0"/>
    <m/>
    <n v="0"/>
    <s v=""/>
    <s v="Cortesia"/>
    <s v="cortesia"/>
    <s v="AI Agentic Commerce - 23 e 24 de Fevereiro de 2026"/>
    <s v="ai-agentic-commerce-ed1a26"/>
    <s v="Fernando Guglielmetti"/>
    <s v="22023743885"/>
    <m/>
    <m/>
    <s v="fernando.guglielmetti@gmail.com"/>
    <s v="5511987354324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07c845d7716cbe38dd5486215d5046a6"/>
    <m/>
    <s v="Nao"/>
    <x v="7"/>
    <m/>
    <s v="23/02/2026"/>
    <m/>
    <m/>
    <m/>
    <m/>
    <s v="KAM"/>
    <s v="21/05/2021"/>
    <s v="ID-22023743885"/>
    <m/>
    <m/>
    <x v="1"/>
  </r>
  <r>
    <s v="COM698CC99544661"/>
    <n v="242531"/>
    <s v="12/02/2026 13:25"/>
    <x v="3"/>
    <m/>
    <s v="12/02/2026"/>
    <s v="Aprovado"/>
    <n v="1"/>
    <n v="12"/>
    <n v="34999.99"/>
    <s v="Braintree"/>
    <n v="34999.99"/>
    <s v="28987210985FSQIIJ5QC"/>
    <s v="Crédito Parcelado"/>
    <s v="mastercard"/>
    <s v="Imersão China Exclusiva | Franqueados MC Donalds"/>
    <s v="corporate-china-xperience-ed2a26"/>
    <s v="Nina Comércio de Alimentos Ltda"/>
    <s v="09296628814"/>
    <s v="02.686.933/0001-00"/>
    <s v="NINA COMERCIO DE ALIMENTOS LTDA"/>
    <s v="lsadalla@uol.com.br"/>
    <s v="16997737783"/>
    <s v="16997737783"/>
    <s v="14802396"/>
    <s v="BENTO DE ABREU"/>
    <s v="180"/>
    <m/>
    <s v="JARDIM PRIMAVERA"/>
    <s v="Araraquara"/>
    <s v="SP"/>
    <s v="Turismo - 50%"/>
    <s v="Imersão China Exclusiva | Franqueados MC Donalds"/>
    <m/>
    <m/>
    <m/>
    <s v="df2954d914b5de2dca9a2036cc5ac3a7"/>
    <s v="OFFMCFRANQUEADOS"/>
    <s v="Nao"/>
    <x v="0"/>
    <m/>
    <s v="07/09/2026"/>
    <m/>
    <m/>
    <s v="https://loja.startse.com.br//processamento/fatura/df2954d914b5de2dca9a2036cc5ac3a7"/>
    <s v="China"/>
    <s v="KAM"/>
    <s v="12/02/2026"/>
    <s v="ID-02686933000100"/>
    <s v="A pagar"/>
    <m/>
    <x v="0"/>
  </r>
  <r>
    <s v="COM698CE7C95C1F4"/>
    <n v="242557"/>
    <s v="12/02/2026 10:21"/>
    <x v="3"/>
    <m/>
    <s v="12/02/2026"/>
    <s v="Aprovado"/>
    <n v="1"/>
    <n v="12"/>
    <n v="34999.99"/>
    <s v="Braintree"/>
    <n v="34999.99"/>
    <s v="28987210985FSQHH177C"/>
    <s v="Crédito Parcelado"/>
    <s v="visa"/>
    <s v="Imersão China Exclusiva | Franqueados MC Donalds"/>
    <s v="corporate-china-xperience-ed2a26"/>
    <s v="Lucas Shirai Pires"/>
    <s v="09387317935"/>
    <s v="13.627.491/0001-47"/>
    <s v="IVASP COMERCIO DE ALIMENTOS LTDA"/>
    <s v="lucas.pires@mcdonaldsbcsc.com.br"/>
    <s v="47991732005"/>
    <s v="4733687720"/>
    <s v="88339060"/>
    <s v="DO ESTADO"/>
    <s v="4888"/>
    <m/>
    <s v="DOS ESTADOS"/>
    <s v="Balneário Camboriú"/>
    <s v="SC"/>
    <s v="Turismo - 50%"/>
    <s v="Imersão China Exclusiva | Franqueados MC Donalds"/>
    <m/>
    <m/>
    <m/>
    <s v="b7594e6e848086c99a6e648f31ba994b"/>
    <s v="OFFMCFRANQUEADOS"/>
    <s v="Nao"/>
    <x v="0"/>
    <m/>
    <s v="07/09/2026"/>
    <m/>
    <m/>
    <s v="https://loja.startse.com.br//processamento/fatura/b7594e6e848086c99a6e648f31ba994b"/>
    <s v="China"/>
    <s v="KAM"/>
    <s v="12/02/2026"/>
    <s v="ID-13627491000147"/>
    <s v="A pagar"/>
    <m/>
    <x v="0"/>
  </r>
  <r>
    <s v="COM6984D8B724EC6"/>
    <n v="242028"/>
    <s v="11/02/2026 21:12"/>
    <x v="3"/>
    <m/>
    <s v="11/02/2026"/>
    <s v="Aprovado"/>
    <n v="1"/>
    <n v="12"/>
    <n v="34999.99"/>
    <s v="Braintree"/>
    <n v="34999.99"/>
    <s v="28987210985FRSK134VC"/>
    <s v="Crédito Parcelado"/>
    <s v="mastercard"/>
    <s v="Imersão China Exclusiva | Franqueados MC Donalds"/>
    <s v="corporate-china-xperience-ed2a26"/>
    <s v="Bruno Rios Gomes"/>
    <s v="49743618805"/>
    <s v="03.449.275/0001-03"/>
    <s v="MMB COMERCIO DE ALIMENTOS LTDA."/>
    <s v="brunogomes2c03@gmail.com"/>
    <s v="11964223171"/>
    <s v="11964223171"/>
    <s v="03318000"/>
    <s v="SERRA DE BRAGANCA"/>
    <s v="395"/>
    <m/>
    <s v="TATUAPE"/>
    <s v="São Paulo"/>
    <s v="SP"/>
    <s v="Turismo - 50%"/>
    <s v="Imersão China Exclusiva | Franqueados MC Donalds"/>
    <m/>
    <m/>
    <m/>
    <s v="364c8872d7c3fb8a4bcfd42f9f1be343"/>
    <s v="OFFMCFRANQUEADOS"/>
    <s v="Nao"/>
    <x v="0"/>
    <m/>
    <s v="07/09/2026"/>
    <m/>
    <m/>
    <s v="https://loja.startse.com.br//processamento/fatura/364c8872d7c3fb8a4bcfd42f9f1be343"/>
    <s v="China"/>
    <s v="KAM"/>
    <s v="11/02/2026"/>
    <s v="ID-03449275000103"/>
    <s v="A pagar"/>
    <m/>
    <x v="0"/>
  </r>
  <r>
    <s v="COM698CF0B03C2CC"/>
    <n v="242564"/>
    <s v="11/02/2026 18:12"/>
    <x v="3"/>
    <m/>
    <s v="13/02/2026"/>
    <s v="Aprovado"/>
    <n v="50"/>
    <n v="1"/>
    <n v="0"/>
    <s v="Boleto Bradesco"/>
    <n v="305951"/>
    <s v=""/>
    <s v="Boleto"/>
    <s v="boleto"/>
    <s v="Jornada Liderança Feminina | AON"/>
    <s v="corporate-jornada-ed10a26"/>
    <s v="Flavia Garzia"/>
    <m/>
    <s v="48.102.552/0001-37"/>
    <s v="AON HOLDINGS CORRETORES DE SEGUROS LTDA"/>
    <s v="gustavo.almeida@startse.com"/>
    <s v="11972551590"/>
    <s v="1147004700"/>
    <s v="04730903"/>
    <s v="DR RUBENS GOMES BUENO"/>
    <s v="691"/>
    <s v="ANDAR 16 AO18"/>
    <s v="VARZEA DE BAIXO"/>
    <s v="São Paulo"/>
    <s v="SP"/>
    <s v="Filial(São Paulo)"/>
    <s v="Jornada Liderança Feminina | AON"/>
    <m/>
    <m/>
    <m/>
    <s v="065595206c3afa59b3dc7c8056a96af1"/>
    <m/>
    <s v="Nao"/>
    <x v="4"/>
    <m/>
    <s v="01/06/2026"/>
    <m/>
    <m/>
    <m/>
    <m/>
    <s v="KAM"/>
    <s v="25/09/2018"/>
    <s v="ID-48102552000137"/>
    <s v="Aguardando recebimento"/>
    <m/>
    <x v="2"/>
  </r>
  <r>
    <s v="COM698CF0B03C2CC"/>
    <n v="242564"/>
    <s v="11/02/2026 18:12"/>
    <x v="3"/>
    <m/>
    <s v="13/02/2026"/>
    <s v="Aprovado"/>
    <n v="1"/>
    <n v="1"/>
    <n v="130400"/>
    <s v="Boleto Bradesco"/>
    <n v="305951"/>
    <s v=""/>
    <s v="Boleto"/>
    <s v="boleto"/>
    <s v="Jornada Liderança Feminina | AON - Pagamento 01"/>
    <s v="corporate-jornada-ed10a26_pagamento01"/>
    <s v="Flavia Garzia"/>
    <m/>
    <s v="48.102.552/0001-37"/>
    <s v="AON HOLDINGS CORRETORES DE SEGUROS LTDA"/>
    <s v="gustavo.almeida@startse.com"/>
    <s v="11972551590"/>
    <s v="1147004700"/>
    <s v="04730903"/>
    <s v="DR RUBENS GOMES BUENO"/>
    <s v="691"/>
    <s v="ANDAR 16 AO18"/>
    <s v="VARZEA DE BAIXO"/>
    <s v="São Paulo"/>
    <s v="SP"/>
    <s v="Filial(São Paulo)"/>
    <s v="Jornada Liderança Feminina | AON"/>
    <m/>
    <m/>
    <m/>
    <s v="065595206c3afa59b3dc7c8056a96af1"/>
    <m/>
    <s v="Nao"/>
    <x v="4"/>
    <m/>
    <s v="01/06/2026"/>
    <m/>
    <m/>
    <m/>
    <m/>
    <s v="KAM"/>
    <s v="25/09/2018"/>
    <s v="ID-48102552000137"/>
    <s v="Aguardando recebimento"/>
    <m/>
    <x v="2"/>
  </r>
  <r>
    <s v="COM698CF0B03C2CC"/>
    <n v="242564"/>
    <s v="11/02/2026 18:12"/>
    <x v="3"/>
    <m/>
    <s v="13/02/2026"/>
    <s v="Aprovado"/>
    <n v="1"/>
    <n v="1"/>
    <n v="195600"/>
    <s v="Boleto Bradesco"/>
    <n v="305951"/>
    <s v=""/>
    <s v="Boleto"/>
    <s v="boleto"/>
    <s v="Jornada Liderança Feminina | AON - Pagamento 02"/>
    <s v="corporate-jornada-ed10a26_pagamento02"/>
    <s v="Flavia Garzia"/>
    <m/>
    <s v="48.102.552/0001-37"/>
    <s v="AON HOLDINGS CORRETORES DE SEGUROS LTDA"/>
    <s v="gustavo.almeida@startse.com"/>
    <s v="11972551590"/>
    <s v="1147004700"/>
    <s v="04730903"/>
    <s v="DR RUBENS GOMES BUENO"/>
    <s v="691"/>
    <s v="ANDAR 16 AO18"/>
    <s v="VARZEA DE BAIXO"/>
    <s v="São Paulo"/>
    <s v="SP"/>
    <s v="Filial(São Paulo)"/>
    <s v="Jornada Liderança Feminina | AON"/>
    <m/>
    <m/>
    <m/>
    <s v="065595206c3afa59b3dc7c8056a96af1"/>
    <m/>
    <s v="Nao"/>
    <x v="4"/>
    <m/>
    <s v="01/06/2026"/>
    <m/>
    <m/>
    <m/>
    <m/>
    <s v="KAM"/>
    <s v="25/09/2018"/>
    <s v="ID-48102552000137"/>
    <s v="Aguardando recebimento"/>
    <m/>
    <x v="2"/>
  </r>
  <r>
    <s v="COM698CEAB79A3D5"/>
    <n v="242560"/>
    <s v="11/02/2026 17:46"/>
    <x v="3"/>
    <m/>
    <s v="13/02/2026"/>
    <s v="Aprovado"/>
    <n v="1"/>
    <n v="1"/>
    <n v="169920"/>
    <s v="Boleto Bradesco"/>
    <n v="398674.8"/>
    <s v=""/>
    <s v="Boleto"/>
    <s v="boleto"/>
    <s v="SLD | ELO"/>
    <s v="consulting-strategy-xprint-ed4a26_Pagamento-01"/>
    <s v="Felipe Costa"/>
    <m/>
    <s v="09.227.084/0001-75"/>
    <s v="ELO SERVICOS S.A."/>
    <s v="felipe.costa@elo.com.br"/>
    <s v="11930659175"/>
    <s v="1152423300"/>
    <s v="06455030"/>
    <s v="XINGU"/>
    <s v="512"/>
    <s v="ANDAR 5 E 6"/>
    <s v="ALPHAVILLE"/>
    <s v="Barueri"/>
    <s v="SP"/>
    <s v="Filial(São Paulo)"/>
    <s v="SLD ELO - Sergio Rinaldi"/>
    <m/>
    <m/>
    <m/>
    <s v="412b22b620b23a0db14a75daf21f560a"/>
    <m/>
    <s v="Nao"/>
    <x v="4"/>
    <m/>
    <s v="20/02/2026"/>
    <m/>
    <m/>
    <m/>
    <s v="StartSe Consulting,StartSe Consulting"/>
    <s v="KAM"/>
    <s v="10/09/2018"/>
    <s v="ID-09227084000175"/>
    <s v="Aguardando recebimento"/>
    <m/>
    <x v="3"/>
  </r>
  <r>
    <s v="COM698CEAB79A3D5"/>
    <n v="242560"/>
    <s v="11/02/2026 17:46"/>
    <x v="3"/>
    <m/>
    <s v="13/02/2026"/>
    <s v="Aprovado"/>
    <n v="1"/>
    <n v="1"/>
    <n v="169920"/>
    <s v="Boleto Bradesco"/>
    <n v="398674.8"/>
    <s v=""/>
    <s v="Boleto"/>
    <s v="boleto"/>
    <s v="SLD | ELO"/>
    <s v="consulting-strategy-xprint-ed4a26_Pagamento-01"/>
    <s v="Felipe Costa"/>
    <m/>
    <s v="09.227.084/0001-75"/>
    <s v="ELO SERVICOS S.A."/>
    <s v="felipe.costa@elo.com.br"/>
    <s v="11930659175"/>
    <s v="1152423300"/>
    <s v="06455030"/>
    <s v="XINGU"/>
    <s v="512"/>
    <s v="ANDAR 5 E 6"/>
    <s v="ALPHAVILLE"/>
    <s v="Barueri"/>
    <s v="SP"/>
    <s v="Filial(São Paulo)"/>
    <s v="SLD ELO - Sergio Rinaldi"/>
    <m/>
    <m/>
    <m/>
    <s v="412b22b620b23a0db14a75daf21f560a"/>
    <m/>
    <s v="Nao"/>
    <x v="4"/>
    <m/>
    <s v="20/02/2026"/>
    <m/>
    <m/>
    <m/>
    <s v="StartSe Consulting,StartSe Consulting"/>
    <s v="KAM"/>
    <s v="10/09/2018"/>
    <s v="ID-09227084000175"/>
    <s v="Aguardando recebimento"/>
    <m/>
    <x v="3"/>
  </r>
  <r>
    <s v="COM698CEAB79A3D5"/>
    <n v="242560"/>
    <s v="11/02/2026 17:46"/>
    <x v="3"/>
    <m/>
    <s v="13/02/2026"/>
    <s v="Aprovado"/>
    <n v="1"/>
    <n v="1"/>
    <n v="254880"/>
    <s v="Boleto Bradesco"/>
    <n v="398674.8"/>
    <s v=""/>
    <s v="Boleto"/>
    <s v="boleto"/>
    <s v="SLD | ELO"/>
    <s v="consulting-strategy-xprint-ed4a26_Pagamento-02"/>
    <s v="Felipe Costa"/>
    <m/>
    <s v="09.227.084/0001-75"/>
    <s v="ELO SERVICOS S.A."/>
    <s v="felipe.costa@elo.com.br"/>
    <s v="11930659175"/>
    <s v="1152423300"/>
    <s v="06455030"/>
    <s v="XINGU"/>
    <s v="512"/>
    <s v="ANDAR 5 E 6"/>
    <s v="ALPHAVILLE"/>
    <s v="Barueri"/>
    <s v="SP"/>
    <s v="Filial(São Paulo)"/>
    <s v="SLD ELO - Sergio Rinaldi"/>
    <m/>
    <m/>
    <m/>
    <s v="412b22b620b23a0db14a75daf21f560a"/>
    <m/>
    <s v="Nao"/>
    <x v="4"/>
    <m/>
    <s v="20/03/2026"/>
    <m/>
    <m/>
    <m/>
    <s v="StartSe Consulting,StartSe Consulting"/>
    <s v="KAM"/>
    <s v="10/09/2018"/>
    <s v="ID-09227084000175"/>
    <s v="Aguardando recebimento"/>
    <m/>
    <x v="3"/>
  </r>
  <r>
    <s v="COM698CE3E76F46C"/>
    <n v="242552"/>
    <s v="11/02/2026 17:17"/>
    <x v="3"/>
    <m/>
    <s v="11/02/2026"/>
    <s v="Aprovado"/>
    <n v="1"/>
    <n v="1"/>
    <n v="0"/>
    <m/>
    <n v="0"/>
    <s v=""/>
    <s v="Cortesia"/>
    <s v="cortesia"/>
    <s v="Talks Executive Program - Piero - SLD"/>
    <s v="startse-talks-executive-program-ed1a26"/>
    <s v="Leonardo Azevedo"/>
    <s v="02549002750"/>
    <m/>
    <m/>
    <s v="leonardo.azevedo@savencia.com"/>
    <s v="5511972776865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20ee890e3ee987eb6f785596d3f621e0"/>
    <m/>
    <s v="Nao"/>
    <x v="4"/>
    <m/>
    <s v="11/02/2026"/>
    <m/>
    <m/>
    <m/>
    <s v="Brasil"/>
    <s v="KAM"/>
    <m/>
    <s v="ID-02549002750"/>
    <m/>
    <m/>
    <x v="1"/>
  </r>
  <r>
    <s v="COM698CC696ACC8B"/>
    <n v="242528"/>
    <s v="11/02/2026 16:46"/>
    <x v="3"/>
    <m/>
    <s v="11/02/2026"/>
    <s v="Aprovado"/>
    <n v="1"/>
    <n v="10"/>
    <n v="34999.99"/>
    <s v="Braintree"/>
    <n v="34999.99"/>
    <s v="28987210985FRSHH6A1C"/>
    <s v="Crédito Parcelado"/>
    <s v="elo"/>
    <s v="Imersão China Exclusiva | Franqueados MC Donalds"/>
    <s v="corporate-china-xperience-ed2a26"/>
    <s v="Matheus Tunhollo Martins"/>
    <s v="38989353882"/>
    <s v="01.836.357/0001-77"/>
    <s v="GRAN ROMA COMERCIO DE ALIMENTOS LTDA"/>
    <s v="math_tunhollo@hotmail.com"/>
    <s v="13988771406"/>
    <s v="1133841331"/>
    <s v="11410002"/>
    <s v="PUGLISI"/>
    <s v="530"/>
    <m/>
    <s v="PITANGUEIRAS"/>
    <s v="Guarujá"/>
    <s v="SP"/>
    <s v="Turismo - 50%"/>
    <s v="Imersão China Exclusiva | Franqueados MC Donalds"/>
    <m/>
    <m/>
    <m/>
    <s v="741af20a5676c70b2b3713e44a98f1b1"/>
    <s v="OFFMCFRANQUEADOS"/>
    <s v="Nao"/>
    <x v="0"/>
    <m/>
    <s v="07/09/2026"/>
    <m/>
    <m/>
    <s v="https://loja.startse.com.br//processamento/fatura/741af20a5676c70b2b3713e44a98f1b1"/>
    <s v="China"/>
    <s v="KAM"/>
    <s v="11/02/2026"/>
    <s v="ID-01836357000177"/>
    <s v="A pagar"/>
    <m/>
    <x v="0"/>
  </r>
  <r>
    <s v="COM698CD60963140"/>
    <n v="242544"/>
    <s v="11/02/2026 16:18"/>
    <x v="3"/>
    <m/>
    <s v="11/02/2026"/>
    <s v="Aprovado"/>
    <n v="1"/>
    <n v="1"/>
    <n v="0"/>
    <m/>
    <n v="0"/>
    <s v=""/>
    <s v="Cortesia"/>
    <s v="cortesia"/>
    <s v="Talks Executive Program - Piero - SLD"/>
    <s v="startse-talks-executive-program-ed1a26"/>
    <s v="Hiara Peixoto"/>
    <s v="05530853447"/>
    <m/>
    <m/>
    <s v="hiara.peixoto@matera.com"/>
    <s v="5511966363603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2247a8db72d41a82d4dfae1fb908cd6e"/>
    <m/>
    <s v="Nao"/>
    <x v="4"/>
    <m/>
    <s v="11/02/2026"/>
    <m/>
    <m/>
    <m/>
    <s v="Brasil"/>
    <s v="KAM"/>
    <m/>
    <s v="ID-05530853447"/>
    <m/>
    <m/>
    <x v="1"/>
  </r>
  <r>
    <s v="COM698CD4A5C8528"/>
    <n v="242539"/>
    <s v="11/02/2026 16:12"/>
    <x v="3"/>
    <m/>
    <s v="11/02/2026"/>
    <s v="Aprovado"/>
    <n v="1"/>
    <n v="1"/>
    <n v="0"/>
    <m/>
    <n v="0"/>
    <s v=""/>
    <s v="Cortesia"/>
    <s v="cortesia"/>
    <s v="Talks Executive Program - Piero - SLD"/>
    <s v="startse-talks-executive-program-ed1a26"/>
    <s v="Guilherme Ramos Moura"/>
    <s v="34168035824"/>
    <m/>
    <m/>
    <s v="guilherme.moura@lusobank.com.br"/>
    <s v="5519981110200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c2012eef69e6c2643973f599bafad752"/>
    <m/>
    <s v="Nao"/>
    <x v="4"/>
    <m/>
    <s v="11/02/2026"/>
    <m/>
    <m/>
    <m/>
    <s v="Brasil"/>
    <s v="KAM"/>
    <s v="24/07/2025"/>
    <s v="ID-34168035824"/>
    <m/>
    <m/>
    <x v="1"/>
  </r>
  <r>
    <s v="ORDZSVSSBFY5DT8V"/>
    <n v="242485"/>
    <s v="11/02/2026 08:47"/>
    <x v="3"/>
    <m/>
    <s v="11/02/2026"/>
    <s v="Aprovado"/>
    <n v="1"/>
    <n v="0"/>
    <n v="0"/>
    <m/>
    <n v="0"/>
    <m/>
    <s v="Cortesia"/>
    <s v="cortesia"/>
    <s v="AI for Leaders - 2026"/>
    <s v="ai-for-leaders-ed1a26"/>
    <s v="Antonio Felipe Fonseca"/>
    <s v="33363762895"/>
    <m/>
    <m/>
    <s v="felipe.fonseca@grupovamos.com.br"/>
    <s v="11941699166"/>
    <m/>
    <s v="12246140"/>
    <s v="Avenida do Tubarão"/>
    <s v="120"/>
    <s v="Ap 33"/>
    <s v="Parque Residencial Aquarius"/>
    <s v="São José dos Campos"/>
    <s v="SP"/>
    <s v="Filial(São Paulo)"/>
    <m/>
    <m/>
    <m/>
    <m/>
    <s v="a6dc998c49bd5ec084396e28d3d855fa"/>
    <s v="Cupom_100"/>
    <s v="Nao"/>
    <x v="5"/>
    <m/>
    <s v="13/01/2026"/>
    <m/>
    <m/>
    <m/>
    <s v="Brasil"/>
    <s v="KAM"/>
    <m/>
    <s v="ID-33363762895"/>
    <m/>
    <m/>
    <x v="1"/>
  </r>
  <r>
    <s v="ORDQFSNTSP6XC0ET"/>
    <n v="242472"/>
    <s v="10/02/2026 19:51"/>
    <x v="3"/>
    <m/>
    <s v="10/02/2026"/>
    <s v="Aprovado"/>
    <n v="1"/>
    <n v="0"/>
    <n v="0"/>
    <m/>
    <n v="0"/>
    <m/>
    <s v="Cortesia"/>
    <s v="cortesia"/>
    <s v="AI for Leaders - 2026"/>
    <s v="ai-for-leaders-ed1a26"/>
    <s v="Antonio Felipe Fonseca"/>
    <s v="33363762895"/>
    <m/>
    <m/>
    <s v="felipe.fonseca@grupovamos.com.br"/>
    <s v="11941699166"/>
    <m/>
    <s v="12246140"/>
    <s v="Avenida do Tubarão"/>
    <s v="120"/>
    <s v="Ap 33"/>
    <s v="Parque Residencial Aquarius"/>
    <s v="São José dos Campos"/>
    <s v="SP"/>
    <s v="Filial(São Paulo)"/>
    <m/>
    <m/>
    <m/>
    <m/>
    <s v="ad1e8d892a1a62492aac16c5a5f5a18a"/>
    <s v="Cupom_100"/>
    <s v="Nao"/>
    <x v="5"/>
    <m/>
    <s v="13/01/2026"/>
    <m/>
    <m/>
    <m/>
    <s v="Brasil"/>
    <s v="KAM"/>
    <m/>
    <s v="ID-33363762895"/>
    <m/>
    <m/>
    <x v="1"/>
  </r>
  <r>
    <s v="ORDTUQF9BIO2H7FM"/>
    <n v="242470"/>
    <s v="10/02/2026 19:40"/>
    <x v="3"/>
    <m/>
    <s v="10/02/2026"/>
    <s v="Aprovado"/>
    <n v="1"/>
    <n v="0"/>
    <n v="0"/>
    <m/>
    <n v="0"/>
    <m/>
    <s v="Cortesia"/>
    <s v="cortesia"/>
    <s v="AI for Leaders - 2026"/>
    <s v="ai-for-leaders-ed1a26"/>
    <s v="Antonio Felipe Fonseca"/>
    <s v="33363762895"/>
    <m/>
    <m/>
    <s v="felipe.fonseca@grupovamos.com.br"/>
    <s v="11941699166"/>
    <m/>
    <s v="12246140"/>
    <s v="Avenida do Tubarão"/>
    <s v="120"/>
    <s v="Ap 33"/>
    <s v="Parque Residencial Aquarius"/>
    <s v="São José dos Campos"/>
    <s v="SP"/>
    <s v="Filial(São Paulo)"/>
    <m/>
    <m/>
    <m/>
    <m/>
    <s v="2bdd4335dd01d502c8d1ceea9efab368"/>
    <s v="Cupom_100"/>
    <s v="Nao"/>
    <x v="5"/>
    <m/>
    <s v="13/01/2026"/>
    <m/>
    <m/>
    <m/>
    <s v="Brasil"/>
    <s v="KAM"/>
    <m/>
    <s v="ID-33363762895"/>
    <m/>
    <m/>
    <x v="1"/>
  </r>
  <r>
    <s v="COM698BA082A6FA5"/>
    <n v="242455"/>
    <s v="10/02/2026 18:17"/>
    <x v="3"/>
    <m/>
    <s v="10/02/2026"/>
    <s v="Aprovado"/>
    <n v="2"/>
    <n v="1"/>
    <n v="0"/>
    <m/>
    <n v="0"/>
    <s v=""/>
    <s v="Cortesia"/>
    <s v="cortesia"/>
    <s v="RH Leadership Xperience 2026 - Ingresso Interactive"/>
    <s v="evento-rh-ed1a26_interactive"/>
    <s v="KAROLINE RIBEIRO DE CASTRO"/>
    <s v="38352131800"/>
    <m/>
    <m/>
    <s v="karoline.ribeiro@goodstorage.com.br"/>
    <s v="5521981020455"/>
    <m/>
    <s v="04578-910"/>
    <s v="Avenida das Nações Unidas"/>
    <s v="12901"/>
    <m/>
    <s v="Brooklin Paulista"/>
    <s v="São Paulo"/>
    <s v="SP"/>
    <s v="Filial(São Paulo)"/>
    <s v="RH Leadership Xperience 2026 - Ingresso Interactive"/>
    <m/>
    <m/>
    <m/>
    <s v="05395f06c9339a059815864e9332fde3"/>
    <m/>
    <s v="Nao"/>
    <x v="4"/>
    <m/>
    <s v="26/03/2026"/>
    <m/>
    <m/>
    <m/>
    <m/>
    <s v="KAM"/>
    <m/>
    <s v="ID-38352131800"/>
    <m/>
    <m/>
    <x v="1"/>
  </r>
  <r>
    <s v="COM698BA013989A6"/>
    <n v="242454"/>
    <s v="10/02/2026 18:16"/>
    <x v="3"/>
    <m/>
    <s v="10/02/2026"/>
    <s v="Aprovado"/>
    <n v="1"/>
    <n v="1"/>
    <n v="0"/>
    <m/>
    <n v="0"/>
    <s v=""/>
    <s v="Cortesia"/>
    <s v="cortesia"/>
    <s v="RH Leadership Xperience 2026 - Ingresso Interactive"/>
    <s v="evento-rh-ed1a26_interactive"/>
    <s v="BRUNA HERBER BENDER"/>
    <s v="39657741823"/>
    <m/>
    <m/>
    <s v="bruna.bender@goodstorage.com.br"/>
    <s v="5511966400227"/>
    <m/>
    <s v="04578-910"/>
    <s v="Avenida das Nações Unidas"/>
    <s v="12901"/>
    <m/>
    <s v="Brooklin Paulista"/>
    <s v="São Paulo"/>
    <s v="SP"/>
    <s v="Filial(São Paulo)"/>
    <s v="RH Leadership Xperience 2026 - Ingresso Interactive"/>
    <m/>
    <m/>
    <m/>
    <s v="32b058c49880a08a65d4a5c99969b96b"/>
    <m/>
    <s v="Nao"/>
    <x v="4"/>
    <m/>
    <s v="26/03/2026"/>
    <m/>
    <m/>
    <m/>
    <m/>
    <s v="KAM"/>
    <m/>
    <s v="ID-39657741823"/>
    <m/>
    <m/>
    <x v="1"/>
  </r>
  <r>
    <s v="COM698B87745255C"/>
    <n v="242441"/>
    <s v="10/02/2026 16:31"/>
    <x v="3"/>
    <m/>
    <s v="10/02/2026"/>
    <s v="Aprovado"/>
    <n v="1"/>
    <n v="1"/>
    <n v="0"/>
    <m/>
    <n v="0"/>
    <s v=""/>
    <s v="Cortesia"/>
    <s v="cortesia"/>
    <s v="Talks Executive Program - Piero - SLD"/>
    <s v="startse-talks-executive-program-ed1a26"/>
    <s v="Leonardo Schenkel"/>
    <s v="03701184054"/>
    <m/>
    <m/>
    <s v="schenkel262@gmail.com"/>
    <s v="5511999999999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89e8dfe692522543085074480c57279a"/>
    <m/>
    <s v="Nao"/>
    <x v="11"/>
    <m/>
    <s v="11/02/2026"/>
    <m/>
    <m/>
    <m/>
    <s v="Brasil"/>
    <s v="KAM"/>
    <m/>
    <s v="ID-03701184054"/>
    <m/>
    <m/>
    <x v="1"/>
  </r>
  <r>
    <s v="COM698B6900B5E5D"/>
    <n v="242422"/>
    <s v="10/02/2026 14:21"/>
    <x v="3"/>
    <m/>
    <s v="10/02/2026"/>
    <s v="Aprovado"/>
    <n v="1"/>
    <n v="1"/>
    <n v="0"/>
    <m/>
    <n v="0"/>
    <s v=""/>
    <s v="Cortesia"/>
    <s v="cortesia"/>
    <s v="Executive Program - 23 a 25 de Março de 2026"/>
    <s v="executive-program-ed3a26"/>
    <s v="MARCOS ALESSANDRO DA SILVA"/>
    <s v="91136741968"/>
    <m/>
    <m/>
    <s v="masilva@copacol.com.br"/>
    <s v="5545999818940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c885d7f70e0a16135571375c48a9fc0b"/>
    <m/>
    <s v="Nao"/>
    <x v="4"/>
    <m/>
    <s v="23/03/2026"/>
    <m/>
    <m/>
    <m/>
    <m/>
    <s v="KAM"/>
    <m/>
    <s v="ID-91136741968"/>
    <m/>
    <m/>
    <x v="1"/>
  </r>
  <r>
    <s v="COM698B6786C4F3A"/>
    <n v="242420"/>
    <s v="10/02/2026 14:14"/>
    <x v="3"/>
    <m/>
    <s v="10/02/2026"/>
    <s v="Aprovado"/>
    <n v="1"/>
    <n v="1"/>
    <n v="0"/>
    <m/>
    <n v="0"/>
    <s v=""/>
    <s v="Cortesia"/>
    <s v="cortesia"/>
    <s v="AI Agentic Commerce - 23 e 24 de Fevereiro de 2026"/>
    <s v="ai-agentic-commerce-ed1a26"/>
    <s v="Camilla da Cunha Castro"/>
    <s v="00905956370"/>
    <m/>
    <m/>
    <s v="eventos@abrafarma.com.br"/>
    <s v="5511949049306"/>
    <m/>
    <s v="04578-910"/>
    <s v="Avenida das Nações Unidas"/>
    <s v="12901"/>
    <m/>
    <s v="Brooklin Paulista"/>
    <s v="São Paulo"/>
    <s v="SP"/>
    <s v="Filial(São Paulo)"/>
    <s v="AI Agentic Commerce - 23 e 24 de Fevereiro de 2026"/>
    <m/>
    <m/>
    <m/>
    <s v="a05013d60c1f83e1789db73dfa5d3e01"/>
    <m/>
    <s v="Nao"/>
    <x v="0"/>
    <m/>
    <s v="23/02/2026"/>
    <m/>
    <m/>
    <m/>
    <m/>
    <s v="KAM"/>
    <m/>
    <s v="ID-00905956370"/>
    <m/>
    <m/>
    <x v="1"/>
  </r>
  <r>
    <s v="COM698B64692084C"/>
    <n v="242419"/>
    <s v="10/02/2026 14:01"/>
    <x v="3"/>
    <m/>
    <s v="10/02/2026"/>
    <s v="Aprovado"/>
    <n v="1"/>
    <n v="1"/>
    <n v="0"/>
    <m/>
    <n v="0"/>
    <s v=""/>
    <s v="Cortesia"/>
    <s v="cortesia"/>
    <s v="Talks Executive Program - Piero - SLD"/>
    <s v="startse-talks-executive-program-ed1a26"/>
    <s v="Stephanie Teixeira"/>
    <s v="36856012888"/>
    <m/>
    <m/>
    <s v="stephanie.teixeira@galderma.com"/>
    <s v="5511956882189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176c520eeed150d1a0c81dbea7f3bfeb"/>
    <m/>
    <s v="Nao"/>
    <x v="0"/>
    <m/>
    <s v="11/02/2026"/>
    <m/>
    <m/>
    <m/>
    <s v="Brasil"/>
    <s v="KAM"/>
    <s v="23/06/2024"/>
    <s v="ID-36856012888"/>
    <m/>
    <m/>
    <x v="1"/>
  </r>
  <r>
    <s v="COM698B64613865C"/>
    <n v="242418"/>
    <s v="10/02/2026 14:01"/>
    <x v="3"/>
    <m/>
    <s v="10/02/2026"/>
    <s v="Aprovado"/>
    <n v="1"/>
    <n v="1"/>
    <n v="0"/>
    <m/>
    <n v="0"/>
    <s v=""/>
    <s v="Cortesia"/>
    <s v="cortesia"/>
    <s v="Talks Executive Program - Piero - SLD"/>
    <s v="startse-talks-executive-program-ed1a26"/>
    <s v="Stephanie Teixeira"/>
    <s v="36856012888"/>
    <m/>
    <m/>
    <s v="stephanie.teixeira@galderma.com"/>
    <s v="5511956882189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efcd31c08f58029a555f612b647d00f6"/>
    <m/>
    <s v="Nao"/>
    <x v="0"/>
    <m/>
    <s v="11/02/2026"/>
    <m/>
    <m/>
    <m/>
    <s v="Brasil"/>
    <s v="KAM"/>
    <s v="23/06/2024"/>
    <s v="ID-36856012888"/>
    <m/>
    <m/>
    <x v="1"/>
  </r>
  <r>
    <s v="COM698B63DAC137D"/>
    <n v="242416"/>
    <s v="10/02/2026 13:59"/>
    <x v="3"/>
    <m/>
    <s v="10/02/2026"/>
    <s v="Aprovado"/>
    <n v="1"/>
    <n v="1"/>
    <n v="0"/>
    <m/>
    <n v="0"/>
    <s v=""/>
    <s v="Cortesia"/>
    <s v="cortesia"/>
    <s v="Talks Executive Program - Piero - SLD"/>
    <s v="startse-talks-executive-program-ed1a26"/>
    <s v="Laysa Parisotto Fernando Fracaro"/>
    <s v="38567943876"/>
    <m/>
    <m/>
    <s v="laysa_pfernando@hotmail.com"/>
    <s v="5511914067887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44b24b6c556117231a30e91c49ceabdf"/>
    <m/>
    <s v="Nao"/>
    <x v="0"/>
    <m/>
    <s v="11/02/2026"/>
    <m/>
    <m/>
    <m/>
    <s v="Brasil"/>
    <s v="KAM"/>
    <m/>
    <s v="ID-38567943876"/>
    <m/>
    <m/>
    <x v="1"/>
  </r>
  <r>
    <s v="COM698B63D787E14"/>
    <n v="242415"/>
    <s v="10/02/2026 13:59"/>
    <x v="3"/>
    <m/>
    <s v="10/02/2026"/>
    <s v="Aprovado"/>
    <n v="1"/>
    <n v="1"/>
    <n v="0"/>
    <m/>
    <n v="0"/>
    <s v=""/>
    <s v="Cortesia"/>
    <s v="cortesia"/>
    <s v="Talks Executive Program - Piero - SLD"/>
    <s v="startse-talks-executive-program-ed1a26"/>
    <s v="Laysa Parisotto Fernando Fracaro"/>
    <s v="38567943876"/>
    <m/>
    <m/>
    <s v="laysa_pfernando@hotmail.com"/>
    <s v="5511914067887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c0348bdc27b65f0ee30df5d8a1e5bbe6"/>
    <m/>
    <s v="Nao"/>
    <x v="0"/>
    <m/>
    <s v="11/02/2026"/>
    <m/>
    <m/>
    <m/>
    <s v="Brasil"/>
    <s v="KAM"/>
    <m/>
    <s v="ID-38567943876"/>
    <m/>
    <m/>
    <x v="1"/>
  </r>
  <r>
    <s v="COM6984D7AF5C9FC"/>
    <n v="242026"/>
    <s v="10/02/2026 13:31"/>
    <x v="3"/>
    <m/>
    <s v="12/02/2026"/>
    <s v="Aprovado"/>
    <n v="3"/>
    <n v="1"/>
    <n v="104999.98"/>
    <s v="Multimeios"/>
    <n v="90000"/>
    <m/>
    <s v="Multimeios"/>
    <s v="multimeios"/>
    <s v="Imersão China Exclusiva | Franqueados MC Donalds"/>
    <s v="corporate-china-xperience-ed2a26"/>
    <s v="Maria Aparecida Queiroz Machado Pires"/>
    <s v="49121979634"/>
    <s v="03.593.773/0001-17"/>
    <s v="IDEAL COMERCIO DE ALIMENTOS LTDA"/>
    <s v="maq.machado@uol.com.br"/>
    <s v="11961869517"/>
    <s v="1123471436"/>
    <s v="03294100"/>
    <s v="PROF  LUIZ IGNACIO DE ANHAIA MELLO"/>
    <s v="2230"/>
    <m/>
    <s v="VILA PRUDENTE"/>
    <s v="São Paulo"/>
    <s v="SP"/>
    <s v="Turismo - 50%"/>
    <s v="Imersão China Exclusiva | Franqueados MC Donalds"/>
    <m/>
    <m/>
    <m/>
    <s v="271bd7c5d3bc4f683775026a63e6bd2b"/>
    <s v="OFFMCFRANQUEADOS"/>
    <s v="Nao"/>
    <x v="0"/>
    <m/>
    <s v="07/09/2026"/>
    <m/>
    <m/>
    <s v="https://loja.startse.com.br//processamento/fatura/271bd7c5d3bc4f683775026a63e6bd2b"/>
    <s v="China"/>
    <s v="KAM"/>
    <s v="10/02/2026"/>
    <s v="ID-03593773000117"/>
    <s v="A pagar"/>
    <m/>
    <x v="0"/>
  </r>
  <r>
    <s v="COM698B54B458AF9"/>
    <n v="242408"/>
    <s v="10/02/2026 12:54"/>
    <x v="3"/>
    <m/>
    <s v="10/02/2026"/>
    <s v="Aprovado"/>
    <n v="23"/>
    <n v="1"/>
    <n v="28300"/>
    <m/>
    <n v="25625.65"/>
    <s v=""/>
    <s v="TED"/>
    <s v="ted"/>
    <s v="RH Leadership Xperience 2026 - Ingresso Interactive"/>
    <s v="evento-rh-ed1a26_interactive"/>
    <s v="Patricia Vieira Lima"/>
    <m/>
    <s v="00.360.305/0238-21"/>
    <s v="CAIXA ECONOMICA FEDERAL"/>
    <s v="geduc01@caixa.gov.br"/>
    <s v="1131035900"/>
    <s v="1131035900"/>
    <s v="01310918"/>
    <s v="PAULISTA"/>
    <s v="1708"/>
    <m/>
    <s v="BELA VISTA"/>
    <s v="São Paulo"/>
    <s v="SP"/>
    <s v="Filial(São Paulo)"/>
    <s v="AUTORIZAÇÃO PARA PARTICIPAÇÃO EM EVENTO EXTERNO Nº 0676/2026 - 20 PARTICIPANTES."/>
    <m/>
    <m/>
    <m/>
    <s v="9701f75f2d8bed99021dae39301ca8d8"/>
    <m/>
    <s v="Nao"/>
    <x v="7"/>
    <m/>
    <s v="26/03/2026"/>
    <m/>
    <m/>
    <m/>
    <m/>
    <s v="KAM"/>
    <s v="02/09/2018"/>
    <s v="ID-00360305023821"/>
    <s v="Aguardando recebimento"/>
    <m/>
    <x v="3"/>
  </r>
  <r>
    <s v="COM69863C88C0317"/>
    <n v="242203"/>
    <s v="09/02/2026 18:33"/>
    <x v="3"/>
    <m/>
    <s v="09/02/2026"/>
    <s v="Aprovado"/>
    <n v="2"/>
    <n v="12"/>
    <n v="69999.98"/>
    <s v="Braintree"/>
    <n v="69999.98"/>
    <s v="28987210985FQ0DN6ASC"/>
    <s v="Crédito Parcelado"/>
    <s v="visa"/>
    <s v="Imersão China Exclusiva | Franqueados MC Donalds"/>
    <s v="corporate-china-xperience-ed2a26"/>
    <s v="Ana Paula Monteiro Abdalla"/>
    <s v="05306576869"/>
    <s v="04.126.722/0001-48"/>
    <s v="A. M. A. - COMERCIO DE ALIMENTOS LTDA"/>
    <s v="anapaula@amamcd.com.br"/>
    <s v="11999621334"/>
    <s v="1140328282"/>
    <s v="12916260"/>
    <s v="JAN TOMAS BATA"/>
    <s v="161"/>
    <m/>
    <s v="TABOAO"/>
    <s v="Bragança Paulista"/>
    <s v="SP"/>
    <s v="Turismo - 50%"/>
    <s v="Imersão China Exclusiva | Franqueados MC Donalds"/>
    <m/>
    <m/>
    <m/>
    <s v="a9beb5081de495c5a3288d4c0b2a55f0"/>
    <s v="OFFMCFRANQUEADOS"/>
    <s v="Nao"/>
    <x v="0"/>
    <m/>
    <s v="07/09/2026"/>
    <m/>
    <m/>
    <s v="https://loja.startse.com.br//processamento/fatura/a9beb5081de495c5a3288d4c0b2a55f0"/>
    <s v="China"/>
    <s v="KAM"/>
    <s v="09/02/2026"/>
    <s v="ID-04126722000148"/>
    <s v="A pagar"/>
    <m/>
    <x v="0"/>
  </r>
  <r>
    <s v="COM698A515C5DB3E"/>
    <n v="242366"/>
    <s v="09/02/2026 18:27"/>
    <x v="3"/>
    <m/>
    <s v="10/02/2026"/>
    <s v="Aprovado"/>
    <n v="1"/>
    <n v="1"/>
    <n v="12000"/>
    <s v="Boleto Bradesco"/>
    <n v="11262"/>
    <s v=""/>
    <s v="Boleto"/>
    <s v="boleto"/>
    <s v="Palestra Potência que Gera Performance | Compra Agora"/>
    <s v="corporate-palestra-ed6a26"/>
    <s v="Lucas Soares"/>
    <m/>
    <s v="35.663.461/0001-29"/>
    <s v="COMPRA AGORA SERVICOS DIGITAIS LTDA"/>
    <s v="lucas.soares@compra-agora.com"/>
    <s v="19992900102"/>
    <s v="1137037675"/>
    <s v="04547006"/>
    <s v="GOMES DE CARVALHO"/>
    <s v="1666"/>
    <s v="ANDAR 16 CONJ 161A E 162"/>
    <s v="VILA OLIMPIA"/>
    <s v="São Paulo"/>
    <s v="SP"/>
    <s v="Filial(São Paulo)"/>
    <s v="Palestra Potência que Gera Performance | Compra Agora"/>
    <m/>
    <m/>
    <m/>
    <s v="64834d4071db0947cb5df1ed0e98f188"/>
    <m/>
    <s v="Nao"/>
    <x v="3"/>
    <m/>
    <s v="10/02/2026"/>
    <m/>
    <m/>
    <m/>
    <m/>
    <s v="KAM"/>
    <s v="29/05/2024"/>
    <s v="ID-35663461000129"/>
    <s v="Pago"/>
    <m/>
    <x v="0"/>
  </r>
  <r>
    <s v="COM698A50337ABD9"/>
    <n v="242365"/>
    <s v="09/02/2026 18:22"/>
    <x v="3"/>
    <m/>
    <s v="10/02/2026"/>
    <s v="Aprovado"/>
    <n v="1"/>
    <n v="1"/>
    <n v="18000"/>
    <s v="Boleto Bradesco"/>
    <n v="16893"/>
    <s v=""/>
    <s v="Boleto"/>
    <s v="boleto"/>
    <s v="Palestra Potência que Gera Performance | Compra Agora"/>
    <s v="corporate-palestra-ed6a26"/>
    <s v="Lucas Soares"/>
    <m/>
    <s v="17.790.307/0001-36"/>
    <s v="E-UB COMERCIO LTDA"/>
    <s v="lucas.soares@compra-agora.com"/>
    <s v="19992900102"/>
    <s v="1137037675"/>
    <s v="04547006"/>
    <s v="GOMES DE CARVALHO"/>
    <s v="1666"/>
    <s v="ANDAR 16 CONJ 161B"/>
    <s v="VILA OLIMPIA"/>
    <s v="São Paulo"/>
    <s v="SP"/>
    <s v="Filial(São Paulo)"/>
    <s v="Palestra Potência que Gera Performance | Compra Agora"/>
    <m/>
    <m/>
    <m/>
    <s v="b96df43830b4fa2724ed1c818ad4571c"/>
    <m/>
    <s v="Nao"/>
    <x v="3"/>
    <m/>
    <s v="10/02/2026"/>
    <m/>
    <m/>
    <m/>
    <m/>
    <s v="KAM"/>
    <s v="29/05/2024"/>
    <s v="ID-17790307000136"/>
    <s v="Pago"/>
    <m/>
    <x v="0"/>
  </r>
  <r>
    <s v="ORDBUOOC1F79BA9U"/>
    <n v="242333"/>
    <s v="09/02/2026 13:22"/>
    <x v="3"/>
    <m/>
    <s v="09/02/2026"/>
    <s v="Aprovado"/>
    <n v="1"/>
    <n v="0"/>
    <n v="0"/>
    <m/>
    <n v="0"/>
    <m/>
    <s v="Cortesia"/>
    <s v="cortesia"/>
    <s v="AI for Leaders - 2026"/>
    <s v="ai-for-leaders-ed1a26"/>
    <s v="Luara Albanese"/>
    <s v="32499915897"/>
    <m/>
    <m/>
    <s v="luara.pinheiro.albanese@gmail.com"/>
    <s v="11999450647"/>
    <m/>
    <s v="04548000"/>
    <s v="Avenida Doutor Cardoso de Melo"/>
    <s v="1060"/>
    <s v="apto 151"/>
    <s v="Vila Olímpia"/>
    <s v="São Paulo"/>
    <s v="SP"/>
    <s v="Filial(São Paulo)"/>
    <m/>
    <m/>
    <m/>
    <m/>
    <s v="cba47285af5d00d6e6ea646c6c200b44"/>
    <s v="Cupom_100"/>
    <s v="Nao"/>
    <x v="5"/>
    <m/>
    <s v="13/01/2026"/>
    <m/>
    <m/>
    <m/>
    <s v="Brasil"/>
    <s v="KAM"/>
    <s v="16/05/2024"/>
    <s v="ID-32499915897"/>
    <m/>
    <m/>
    <x v="1"/>
  </r>
  <r>
    <s v="ORDVA7OZONSBTYF1"/>
    <n v="242328"/>
    <s v="09/02/2026 11:55"/>
    <x v="3"/>
    <m/>
    <s v="09/02/2026"/>
    <s v="Aprovado"/>
    <n v="1"/>
    <n v="0"/>
    <n v="0"/>
    <m/>
    <n v="0"/>
    <m/>
    <s v="Cortesia"/>
    <s v="cortesia"/>
    <s v="AI for Leaders - 2026"/>
    <s v="ai-for-leaders-ed1a26"/>
    <s v="Eric Chaves da Silva"/>
    <s v="28382103863"/>
    <m/>
    <m/>
    <s v="eric.silva@grupovamos.com.br"/>
    <s v="11913091792"/>
    <m/>
    <s v="04530001"/>
    <s v="Rua Doutor Renato Paes de Barros"/>
    <s v="1017"/>
    <s v="6 andar"/>
    <s v="Itaim Bibi"/>
    <s v="São Paulo"/>
    <s v="SP"/>
    <s v="Filial(São Paulo)"/>
    <m/>
    <m/>
    <m/>
    <m/>
    <s v="5ebd0e772363e5498c0600ceda1aaa26"/>
    <s v="Cupom_100"/>
    <s v="Nao"/>
    <x v="5"/>
    <m/>
    <s v="13/01/2026"/>
    <m/>
    <m/>
    <m/>
    <s v="Brasil"/>
    <s v="KAM"/>
    <m/>
    <s v="ID-28382103863"/>
    <m/>
    <m/>
    <x v="1"/>
  </r>
  <r>
    <s v="COM6989F1DD05FBA"/>
    <n v="242326"/>
    <s v="09/02/2026 11:40"/>
    <x v="3"/>
    <m/>
    <s v="09/02/2026"/>
    <s v="Aprovado"/>
    <n v="1"/>
    <n v="1"/>
    <n v="0"/>
    <m/>
    <n v="0"/>
    <s v=""/>
    <s v="Cortesia"/>
    <s v="cortesia"/>
    <s v="Talks Executive Program - Piero - SLD"/>
    <s v="startse-talks-executive-program-ed1a26"/>
    <s v="Denis Gavazzi"/>
    <s v="26239363820"/>
    <m/>
    <m/>
    <s v="denisrgavazzi@gmail.com"/>
    <s v="5511974996765"/>
    <m/>
    <s v="04578-910"/>
    <s v="Avenida das Nações Unidas"/>
    <s v="12901"/>
    <s v="9 andar"/>
    <s v="Brooklin Paulista"/>
    <s v="São Paulo"/>
    <s v="SP"/>
    <s v="Filial(São Paulo)"/>
    <s v="Talks Executive Program - Piero - SLD"/>
    <m/>
    <m/>
    <m/>
    <s v="afac817d5be554c94a6c0b4632c4db2d"/>
    <m/>
    <s v="Nao"/>
    <x v="3"/>
    <m/>
    <s v="11/02/2026"/>
    <m/>
    <m/>
    <m/>
    <s v="Brasil"/>
    <s v="KAM"/>
    <m/>
    <s v="ID-26239363820"/>
    <m/>
    <m/>
    <x v="1"/>
  </r>
  <r>
    <s v="ORDBF2G1WNBL8SHO"/>
    <n v="242325"/>
    <s v="09/02/2026 11:36"/>
    <x v="3"/>
    <m/>
    <s v="09/02/2026"/>
    <s v="Aprovado"/>
    <n v="1"/>
    <n v="0"/>
    <n v="0"/>
    <m/>
    <n v="0"/>
    <m/>
    <s v="Cortesia"/>
    <s v="cortesia"/>
    <s v="AI for Leaders - 2026"/>
    <s v="ai-for-leaders-ed1a26"/>
    <s v="Ronaldo Oliveira Vieira Pires De Oliveira"/>
    <s v="77592131587"/>
    <m/>
    <m/>
    <s v="ronaldo.oliveira@grupovamos.com.br"/>
    <s v="71991137231"/>
    <m/>
    <s v="41701015"/>
    <s v="Avenida Alphaville"/>
    <s v="634"/>
    <s v="T01 Ap102"/>
    <s v="Alphaville I"/>
    <s v="Salvador"/>
    <s v="BA"/>
    <s v="Filial(São Paulo)"/>
    <m/>
    <m/>
    <m/>
    <m/>
    <s v="c82c6dfc1fca6d23e6e8bc9f577f16cd"/>
    <s v="Cupom_100"/>
    <s v="Nao"/>
    <x v="5"/>
    <m/>
    <s v="13/01/2026"/>
    <m/>
    <m/>
    <m/>
    <s v="Brasil"/>
    <s v="KAM"/>
    <m/>
    <s v="ID-77592131587"/>
    <m/>
    <m/>
    <x v="1"/>
  </r>
  <r>
    <s v="ORDI6BL3PAYCI6FF"/>
    <n v="242324"/>
    <s v="09/02/2026 11:36"/>
    <x v="3"/>
    <m/>
    <s v="09/02/2026"/>
    <s v="Aprovado"/>
    <n v="1"/>
    <n v="0"/>
    <n v="0"/>
    <m/>
    <n v="0"/>
    <m/>
    <s v="Cortesia"/>
    <s v="cortesia"/>
    <s v="AI for Leaders - 2026"/>
    <s v="ai-for-leaders-ed1a26"/>
    <s v="luis alberto vargas"/>
    <s v="00618273980"/>
    <m/>
    <m/>
    <s v="luis.vargas@grupovamos.com.br"/>
    <s v="11999184236"/>
    <m/>
    <s v="22795641"/>
    <s v="Avenida Henfil"/>
    <s v="15"/>
    <s v="apto 401"/>
    <s v="Recreio dos Bandeirantes"/>
    <s v="Rio de Janeiro"/>
    <s v="RJ"/>
    <s v="Filial(São Paulo)"/>
    <m/>
    <m/>
    <m/>
    <m/>
    <s v="72a3c2e4b956bb4aaa09cec94fc2f5ca"/>
    <s v="Cupom_100"/>
    <s v="Nao"/>
    <x v="5"/>
    <m/>
    <s v="13/01/2026"/>
    <m/>
    <m/>
    <m/>
    <s v="Brasil"/>
    <s v="KAM"/>
    <m/>
    <s v="ID-00618273980"/>
    <m/>
    <m/>
    <x v="1"/>
  </r>
  <r>
    <s v="ORD1HXKP7KUTLNCH"/>
    <n v="242323"/>
    <s v="09/02/2026 11:35"/>
    <x v="3"/>
    <m/>
    <s v="09/02/2026"/>
    <s v="Aprovado"/>
    <n v="1"/>
    <n v="0"/>
    <n v="0"/>
    <m/>
    <n v="0"/>
    <m/>
    <s v="Cortesia"/>
    <s v="cortesia"/>
    <s v="AI for Leaders - 2026"/>
    <s v="ai-for-leaders-ed1a26"/>
    <s v="luis alberto vargas"/>
    <s v="00618273980"/>
    <m/>
    <m/>
    <s v="luis.vargas@grupovamos.com.br"/>
    <s v="11999184236"/>
    <m/>
    <s v="22795641"/>
    <s v="Avenida Henfil"/>
    <s v="15"/>
    <s v="apto 401"/>
    <s v="Recreio dos Bandeirantes"/>
    <s v="Rio de Janeiro"/>
    <s v="RJ"/>
    <s v="Filial(São Paulo)"/>
    <m/>
    <m/>
    <m/>
    <m/>
    <s v="1ede64f5dcf146c82dc506dd85f7174b"/>
    <s v="Cupom_100"/>
    <s v="Nao"/>
    <x v="5"/>
    <m/>
    <s v="13/01/2026"/>
    <m/>
    <m/>
    <m/>
    <s v="Brasil"/>
    <s v="KAM"/>
    <m/>
    <s v="ID-00618273980"/>
    <m/>
    <m/>
    <x v="1"/>
  </r>
  <r>
    <s v="ORDKJG2KOS645AQU"/>
    <n v="242321"/>
    <s v="09/02/2026 11:23"/>
    <x v="3"/>
    <m/>
    <s v="09/02/2026"/>
    <s v="Aprovado"/>
    <n v="1"/>
    <n v="0"/>
    <n v="0"/>
    <m/>
    <n v="0"/>
    <m/>
    <s v="Cortesia"/>
    <s v="cortesia"/>
    <s v="AI for Leaders - 2026"/>
    <s v="ai-for-leaders-ed1a26"/>
    <s v="Marcio Freire"/>
    <s v="93571607449"/>
    <m/>
    <m/>
    <s v="marcio.freire@grupovamos.com.br"/>
    <s v="11917833314"/>
    <m/>
    <s v="08773330"/>
    <s v="Avenida Mariano Souza Mello"/>
    <s v="580"/>
    <s v="Ap 61A"/>
    <s v="Vila Mogilar"/>
    <s v="Mogi das Cruzes"/>
    <s v="SP"/>
    <s v="Filial(São Paulo)"/>
    <m/>
    <m/>
    <m/>
    <m/>
    <s v="efa1ef005ac3a0c26e89d4964f517d31"/>
    <s v="Cupom_100"/>
    <s v="Nao"/>
    <x v="5"/>
    <m/>
    <s v="13/01/2026"/>
    <m/>
    <m/>
    <m/>
    <s v="Brasil"/>
    <s v="KAM"/>
    <m/>
    <s v="ID-93571607449"/>
    <m/>
    <m/>
    <x v="1"/>
  </r>
  <r>
    <s v="ORDB6RAKF0DKNZEM"/>
    <n v="242320"/>
    <s v="09/02/2026 11:19"/>
    <x v="3"/>
    <m/>
    <s v="09/02/2026"/>
    <s v="Aprovado"/>
    <n v="1"/>
    <n v="0"/>
    <n v="0"/>
    <m/>
    <n v="0"/>
    <m/>
    <s v="Cortesia"/>
    <s v="cortesia"/>
    <s v="AI for Leaders - 2026"/>
    <s v="ai-for-leaders-ed1a26"/>
    <s v="Cristiano Alves Macedo"/>
    <s v="29127935809"/>
    <m/>
    <m/>
    <s v="cristiano.macedo@grupovamos.com.br"/>
    <s v="11979684731"/>
    <m/>
    <s v="08717725"/>
    <s v="Rua Moacir Rodrigues Lopes"/>
    <s v="111"/>
    <m/>
    <s v="Mogi Moderno"/>
    <s v="Mogi das Cruzes"/>
    <s v="SP"/>
    <s v="Filial(São Paulo)"/>
    <m/>
    <m/>
    <m/>
    <m/>
    <s v="2e6522d7602053cc441219ee3f3fa12e"/>
    <s v="Cupom_100"/>
    <s v="Nao"/>
    <x v="5"/>
    <m/>
    <s v="13/01/2026"/>
    <m/>
    <m/>
    <m/>
    <s v="Brasil"/>
    <s v="KAM"/>
    <m/>
    <s v="ID-29127935809"/>
    <m/>
    <m/>
    <x v="1"/>
  </r>
  <r>
    <s v="ORDQGWGL6Y8WSXW1"/>
    <n v="242319"/>
    <s v="09/02/2026 11:18"/>
    <x v="3"/>
    <m/>
    <s v="09/02/2026"/>
    <s v="Aprovado"/>
    <n v="1"/>
    <n v="0"/>
    <n v="0"/>
    <m/>
    <n v="0"/>
    <m/>
    <s v="Cortesia"/>
    <s v="cortesia"/>
    <s v="AI for Leaders - 2026"/>
    <s v="ai-for-leaders-ed1a26"/>
    <s v="Cristiano Alves Macedo"/>
    <s v="29127935809"/>
    <m/>
    <m/>
    <s v="cristiano.macedo@grupovamos.com.br"/>
    <s v="11979684731"/>
    <m/>
    <s v="08717725"/>
    <s v="Rua Moacir Rodrigues Lopes"/>
    <s v="111"/>
    <m/>
    <s v="Mogi Moderno"/>
    <s v="Mogi das Cruzes"/>
    <s v="SP"/>
    <s v="Filial(São Paulo)"/>
    <m/>
    <m/>
    <m/>
    <m/>
    <s v="b8970cdbae5757c5fad124b6095c6b98"/>
    <s v="Cupom_100"/>
    <s v="Nao"/>
    <x v="5"/>
    <m/>
    <s v="13/01/2026"/>
    <m/>
    <m/>
    <m/>
    <s v="Brasil"/>
    <s v="KAM"/>
    <m/>
    <s v="ID-29127935809"/>
    <m/>
    <m/>
    <x v="1"/>
  </r>
  <r>
    <s v="ORD0ZC6P8L3YJ0IN"/>
    <n v="242315"/>
    <s v="09/02/2026 11:11"/>
    <x v="3"/>
    <m/>
    <s v="09/02/2026"/>
    <s v="Aprovado"/>
    <n v="1"/>
    <n v="0"/>
    <n v="0"/>
    <m/>
    <n v="0"/>
    <m/>
    <s v="Cortesia"/>
    <s v="cortesia"/>
    <s v="AI for Leaders - 2026"/>
    <s v="ai-for-leaders-ed1a26"/>
    <s v="João Flávio Boniaris"/>
    <s v="07046772614"/>
    <m/>
    <m/>
    <s v="joao.boniaris@gmail.com"/>
    <s v="11915671474"/>
    <m/>
    <s v="18074796"/>
    <s v="Rua Maria do Carmo Ribeiro Puglia"/>
    <m/>
    <m/>
    <s v="Horto Florestal"/>
    <s v="Sorocaba"/>
    <s v="SP"/>
    <s v="Filial(São Paulo)"/>
    <m/>
    <m/>
    <m/>
    <m/>
    <s v="ff43aa5505739e2ca270b5217902a505"/>
    <s v="Cupom_100"/>
    <s v="Nao"/>
    <x v="5"/>
    <m/>
    <s v="13/01/2026"/>
    <m/>
    <m/>
    <m/>
    <s v="Brasil"/>
    <s v="KAM"/>
    <m/>
    <s v="ID-07046772614"/>
    <m/>
    <m/>
    <x v="1"/>
  </r>
  <r>
    <s v="ORDNDUYYIZ5L7EK0"/>
    <n v="242314"/>
    <s v="09/02/2026 11:11"/>
    <x v="3"/>
    <m/>
    <s v="09/02/2026"/>
    <s v="Aprovado"/>
    <n v="1"/>
    <n v="0"/>
    <n v="0"/>
    <m/>
    <n v="0"/>
    <m/>
    <s v="Cortesia"/>
    <s v="cortesia"/>
    <s v="AI for Leaders - 2026"/>
    <s v="ai-for-leaders-ed1a26"/>
    <s v="MARCELO RIBEIRO ANTONIO"/>
    <s v="31536718858"/>
    <m/>
    <m/>
    <s v="marcelo.antonio@grupovamos.com.br"/>
    <s v="19994915899"/>
    <m/>
    <s v="13171828"/>
    <s v="Rua João Bosco Foffano Taques"/>
    <s v="260"/>
    <m/>
    <s v="Jardim Macarenko"/>
    <s v="Sumaré"/>
    <s v="SP"/>
    <s v="Filial(São Paulo)"/>
    <m/>
    <m/>
    <m/>
    <m/>
    <s v="8ef13f77ec531643f971b93a7b6d7136"/>
    <s v="Cupom_100"/>
    <s v="Nao"/>
    <x v="5"/>
    <m/>
    <s v="13/01/2026"/>
    <m/>
    <m/>
    <m/>
    <s v="Brasil"/>
    <s v="KAM"/>
    <m/>
    <s v="ID-31536718858"/>
    <m/>
    <m/>
    <x v="1"/>
  </r>
  <r>
    <s v="ORDXLHWYX7109Q0R"/>
    <n v="242313"/>
    <s v="09/02/2026 11:11"/>
    <x v="3"/>
    <m/>
    <s v="09/02/2026"/>
    <s v="Aprovado"/>
    <n v="1"/>
    <n v="0"/>
    <n v="0"/>
    <m/>
    <n v="0"/>
    <m/>
    <s v="Cortesia"/>
    <s v="cortesia"/>
    <s v="AI for Leaders - 2026"/>
    <s v="ai-for-leaders-ed1a26"/>
    <s v="Maria Daiane Silva Pereira"/>
    <s v="40466003811"/>
    <m/>
    <m/>
    <s v="maria.daiane@grupovamos.com.br"/>
    <s v="11988141990"/>
    <m/>
    <s v="09941202"/>
    <s v="Avenida Fábio Eduardo Ramos Esquivel"/>
    <s v="2900"/>
    <s v="Ap 178T10"/>
    <s v="Canhema"/>
    <s v="Diadema"/>
    <s v="SP"/>
    <s v="Filial(São Paulo)"/>
    <m/>
    <m/>
    <m/>
    <m/>
    <s v="3edddfbccb02d5e5bf13b737a9fc91d2"/>
    <s v="Cupom_100"/>
    <s v="Nao"/>
    <x v="5"/>
    <m/>
    <s v="13/01/2026"/>
    <m/>
    <m/>
    <m/>
    <s v="Brasil"/>
    <s v="KAM"/>
    <m/>
    <s v="ID-40466003811"/>
    <m/>
    <m/>
    <x v="1"/>
  </r>
  <r>
    <s v="COM6989E558714A0"/>
    <n v="242308"/>
    <s v="09/02/2026 10:47"/>
    <x v="3"/>
    <m/>
    <s v="09/02/2026"/>
    <s v="Aprovado"/>
    <n v="1"/>
    <n v="1"/>
    <n v="0"/>
    <m/>
    <n v="0"/>
    <s v=""/>
    <s v="Cortesia"/>
    <s v="cortesia"/>
    <s v="Executive Program - 23 a 25 de Março de 2026"/>
    <s v="executive-program-ed3a26"/>
    <s v="MONICA SIQUEIRA VIANA DA SILVA"/>
    <s v="53240049368"/>
    <m/>
    <m/>
    <s v="monica_siqueira@honda.com.br"/>
    <s v="5592991893530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f5e9214fb1474802914f8998395a634f"/>
    <m/>
    <s v="Nao"/>
    <x v="4"/>
    <m/>
    <s v="23/03/2026"/>
    <m/>
    <m/>
    <m/>
    <m/>
    <s v="KAM"/>
    <m/>
    <s v="ID-53240049368"/>
    <m/>
    <m/>
    <x v="1"/>
  </r>
  <r>
    <s v="COM6989E059904A6"/>
    <n v="242302"/>
    <s v="09/02/2026 10:25"/>
    <x v="3"/>
    <m/>
    <s v="09/02/2026"/>
    <s v="Aprovado"/>
    <n v="1"/>
    <n v="1"/>
    <n v="0"/>
    <m/>
    <n v="0"/>
    <s v=""/>
    <s v="Cortesia"/>
    <s v="cortesia"/>
    <s v="RH Leadership Xperience 2026 - Ingresso Interactive"/>
    <s v="evento-rh-ed1a26_interactive"/>
    <s v="Marcos Viceconte Baptistucci"/>
    <s v="17522263808"/>
    <m/>
    <m/>
    <s v="marcos.baptistucci@randoncorp.com"/>
    <s v="5511940556663"/>
    <m/>
    <s v="04578-910"/>
    <s v="Avenida das Nações Unidas"/>
    <s v="12901"/>
    <m/>
    <s v="Brooklin Paulista"/>
    <s v="São Paulo"/>
    <s v="SP"/>
    <s v="Filial(São Paulo)"/>
    <s v="RH Leadership Xperience 2026 - Ingresso Interactive"/>
    <m/>
    <m/>
    <m/>
    <s v="0fcb38bf3d6a5925d5e9379875105415"/>
    <m/>
    <s v="Nao"/>
    <x v="0"/>
    <m/>
    <s v="26/03/2026"/>
    <m/>
    <m/>
    <m/>
    <m/>
    <s v="KAM"/>
    <m/>
    <s v="ID-17522263808"/>
    <m/>
    <m/>
    <x v="1"/>
  </r>
  <r>
    <s v="COM6989DCC190FD0"/>
    <n v="242299"/>
    <s v="09/02/2026 10:10"/>
    <x v="3"/>
    <m/>
    <s v="09/02/2026"/>
    <s v="Aprovado"/>
    <n v="1"/>
    <n v="1"/>
    <n v="0"/>
    <m/>
    <n v="0"/>
    <s v=""/>
    <s v="Cortesia"/>
    <s v="cortesia"/>
    <s v="Talks Executive Program - Piero - SLD"/>
    <s v="startse-talks-executive-program-ed1a26"/>
    <s v="Luiz Azarias"/>
    <s v="07265813642"/>
    <m/>
    <m/>
    <s v="Luiz.azarias@skyone.solutions"/>
    <s v="5555349922494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d22c0efcbd60b1c740b8e7cf39226c97"/>
    <m/>
    <s v="Nao"/>
    <x v="0"/>
    <m/>
    <s v="11/02/2026"/>
    <m/>
    <m/>
    <m/>
    <s v="Brasil"/>
    <s v="KAM"/>
    <m/>
    <s v="ID-07265813642"/>
    <m/>
    <m/>
    <x v="1"/>
  </r>
  <r>
    <s v="COM6989DB8493118"/>
    <n v="242296"/>
    <s v="09/02/2026 10:05"/>
    <x v="3"/>
    <m/>
    <s v="09/02/2026"/>
    <s v="Aprovado"/>
    <n v="1"/>
    <n v="1"/>
    <n v="0"/>
    <m/>
    <n v="0"/>
    <s v=""/>
    <s v="Cortesia"/>
    <s v="cortesia"/>
    <s v="Talks Executive Program - Piero - SLD"/>
    <s v="startse-talks-executive-program-ed1a26"/>
    <s v="Julia Festa"/>
    <s v="40243663862"/>
    <m/>
    <m/>
    <s v="julia.festa@skyone.solutions"/>
    <s v="5511974134181"/>
    <m/>
    <s v="04578-910"/>
    <s v="Avenida das Nações Unidas"/>
    <s v="12901"/>
    <m/>
    <s v="Brooklin Paulista"/>
    <s v="São Paulo"/>
    <s v="SP"/>
    <s v="Filial(São Paulo)"/>
    <s v="Talks Executive Program - Piero - SLD"/>
    <m/>
    <m/>
    <m/>
    <s v="49d82b4833723b5ce8d14e141b20ed53"/>
    <m/>
    <s v="Nao"/>
    <x v="0"/>
    <m/>
    <s v="11/02/2026"/>
    <m/>
    <m/>
    <m/>
    <s v="Brasil"/>
    <s v="KAM"/>
    <m/>
    <s v="ID-40243663862"/>
    <m/>
    <m/>
    <x v="1"/>
  </r>
  <r>
    <s v="COM698651CD1493C"/>
    <n v="242225"/>
    <s v="06/02/2026 17:40"/>
    <x v="3"/>
    <m/>
    <s v="06/02/2026"/>
    <s v="Aprovado"/>
    <n v="1"/>
    <n v="1"/>
    <n v="35000"/>
    <s v="Boleto Bradesco"/>
    <n v="32847.5"/>
    <s v=""/>
    <s v="Boleto"/>
    <s v="boleto"/>
    <s v="Palestra Online | M. Dias Branco"/>
    <s v="corporate-palestra-ed4a26"/>
    <s v="Michele Cipriano"/>
    <m/>
    <s v="07.206.816/0001-15"/>
    <s v="M DIAS BRANCO S.A. INDUSTRIA E COMERCIO DE ALIMENTOS"/>
    <s v="michele.cipriano@mdiasbranco.com.br"/>
    <s v="85991366446"/>
    <s v="8540055736"/>
    <s v="61766650"/>
    <s v="BR-116"/>
    <s v="S/N"/>
    <s v="KM 18"/>
    <s v="JABUTI"/>
    <s v="Eusébio"/>
    <s v="CE"/>
    <s v="Filial(São Paulo)"/>
    <s v="Palestra Online | M. Dias Branco"/>
    <m/>
    <m/>
    <m/>
    <s v="803448a37ae7c99a0bad85f7332bb695"/>
    <m/>
    <s v="Nao"/>
    <x v="8"/>
    <m/>
    <s v="09/02/2026"/>
    <m/>
    <m/>
    <m/>
    <m/>
    <s v="KAM"/>
    <s v="06/06/2025"/>
    <s v="ID-07206816000115"/>
    <s v="Pago"/>
    <m/>
    <x v="0"/>
  </r>
  <r>
    <s v="COM6986463A6830E"/>
    <n v="242210"/>
    <s v="06/02/2026 16:51"/>
    <x v="3"/>
    <m/>
    <s v="06/02/2026"/>
    <s v="Aprovado"/>
    <n v="1"/>
    <n v="1"/>
    <n v="0"/>
    <m/>
    <n v="0"/>
    <s v=""/>
    <s v="Cortesia"/>
    <s v="cortesia"/>
    <s v="AI for Leaders - Atualização 2025"/>
    <s v="ai-for-leaders-ed3a25"/>
    <s v="Cledson Nascimento"/>
    <m/>
    <s v="13.424.514/0001-16"/>
    <s v="JCA HOLDING TRANSPORTES, LOGISTICA E MOBILIDADE LTDA"/>
    <s v="cledson.nascimento@jcatlm.com.br"/>
    <s v="11985447838"/>
    <s v="2121091024"/>
    <s v="24140005"/>
    <s v="AMARAL PEIXOTO"/>
    <s v="2401"/>
    <s v="ANDAR 3 SALA 312"/>
    <s v="BALDEADOR"/>
    <s v="Niterói"/>
    <s v="RJ"/>
    <s v="Filial(São Paulo)"/>
    <s v="Cortesia Cledson - Formação: AI FOR LEADERS."/>
    <m/>
    <m/>
    <m/>
    <s v="b889008f5db4c46dcc4bfd393e8a5f08"/>
    <m/>
    <s v="Nao"/>
    <x v="4"/>
    <m/>
    <s v="15/05/2025"/>
    <m/>
    <m/>
    <m/>
    <s v="Brasil"/>
    <s v="KAM"/>
    <m/>
    <s v="ID-13424514000116"/>
    <m/>
    <m/>
    <x v="1"/>
  </r>
  <r>
    <s v="COM69863A83F1B19"/>
    <n v="242199"/>
    <s v="06/02/2026 16:01"/>
    <x v="3"/>
    <m/>
    <s v="06/02/2026"/>
    <s v="Aprovado"/>
    <n v="1"/>
    <n v="1"/>
    <n v="102000"/>
    <s v="Boleto Bradesco"/>
    <n v="239317.5"/>
    <s v=""/>
    <s v="Boleto"/>
    <s v="boleto"/>
    <s v="Jornada de Aprendizagem e Desenvolvimento | JOL 2026 | OMNI"/>
    <s v="corporate-jornada-ed12a26_pagamento-01"/>
    <s v="Natália Teixeira Pedrozo"/>
    <m/>
    <s v="92.228.410/0001-02"/>
    <s v="OMNI S/A CREDITO FINANCIAMENTO E INVESTIMENTO"/>
    <s v="natalia.pedrozo@omni.com.br"/>
    <s v="1133653500"/>
    <s v="1133653500"/>
    <s v="04507120"/>
    <s v="DOUTOR JOAO BORGES FILHO"/>
    <s v="S/N"/>
    <s v="ANDAR 5 CONJ 503"/>
    <s v="VILA NOVA CONCEICAO"/>
    <s v="São Paulo"/>
    <s v="SP"/>
    <s v="Filial(São Paulo)"/>
    <s v="OMNI  - Jornada de Aprendizagem e Desenvolvimento | JOL 2026 |"/>
    <m/>
    <m/>
    <m/>
    <s v="ec4d1d7ccc713f1af9dc6a5210e63d50"/>
    <m/>
    <s v="Nao"/>
    <x v="8"/>
    <m/>
    <s v="12/02/2026"/>
    <m/>
    <m/>
    <m/>
    <m/>
    <s v="KAM"/>
    <s v="04/06/2018"/>
    <s v="ID-92228410000102"/>
    <s v="Aguardando recebimento"/>
    <m/>
    <x v="4"/>
  </r>
  <r>
    <s v="COM69863A83F1B19"/>
    <n v="242199"/>
    <s v="06/02/2026 16:01"/>
    <x v="3"/>
    <m/>
    <s v="06/02/2026"/>
    <s v="Aprovado"/>
    <n v="1"/>
    <n v="1"/>
    <n v="153000"/>
    <s v="Boleto Bradesco"/>
    <n v="239317.5"/>
    <s v=""/>
    <s v="Boleto"/>
    <s v="boleto"/>
    <s v="Jornada de Aprendizagem e Desenvolvimento | JOL 2026 | OMNI"/>
    <s v="corporate-jornada-ed12a26_pagamento-02"/>
    <s v="Natália Teixeira Pedrozo"/>
    <m/>
    <s v="92.228.410/0001-02"/>
    <s v="OMNI S/A CREDITO FINANCIAMENTO E INVESTIMENTO"/>
    <s v="natalia.pedrozo@omni.com.br"/>
    <s v="1133653500"/>
    <s v="1133653500"/>
    <s v="04507120"/>
    <s v="DOUTOR JOAO BORGES FILHO"/>
    <s v="S/N"/>
    <s v="ANDAR 5 CONJ 503"/>
    <s v="VILA NOVA CONCEICAO"/>
    <s v="São Paulo"/>
    <s v="SP"/>
    <s v="Filial(São Paulo)"/>
    <s v="OMNI  - Jornada de Aprendizagem e Desenvolvimento | JOL 2026 |"/>
    <m/>
    <m/>
    <m/>
    <s v="ec4d1d7ccc713f1af9dc6a5210e63d50"/>
    <m/>
    <s v="Nao"/>
    <x v="8"/>
    <m/>
    <s v="24/06/2026"/>
    <m/>
    <m/>
    <m/>
    <m/>
    <s v="KAM"/>
    <s v="04/06/2018"/>
    <s v="ID-92228410000102"/>
    <s v="Aguardando recebimento"/>
    <m/>
    <x v="4"/>
  </r>
  <r>
    <s v="COM69863A83F1B19"/>
    <n v="242199"/>
    <s v="06/02/2026 16:01"/>
    <x v="3"/>
    <m/>
    <s v="06/02/2026"/>
    <s v="Aprovado"/>
    <n v="1"/>
    <n v="1"/>
    <n v="0"/>
    <s v="Boleto Bradesco"/>
    <n v="239317.5"/>
    <s v=""/>
    <s v="Boleto"/>
    <s v="boleto"/>
    <s v="Jornada de Aprendizagem e Desenvolvimento | JOL 2026 | OMNI"/>
    <s v="corporate-jornada-ed12a26"/>
    <s v="Natália Teixeira Pedrozo"/>
    <m/>
    <s v="92.228.410/0001-02"/>
    <s v="OMNI S/A CREDITO FINANCIAMENTO E INVESTIMENTO"/>
    <s v="natalia.pedrozo@omni.com.br"/>
    <s v="1133653500"/>
    <s v="1133653500"/>
    <s v="04507120"/>
    <s v="DOUTOR JOAO BORGES FILHO"/>
    <s v="S/N"/>
    <s v="ANDAR 5 CONJ 503"/>
    <s v="VILA NOVA CONCEICAO"/>
    <s v="São Paulo"/>
    <s v="SP"/>
    <s v="Filial(São Paulo)"/>
    <s v="OMNI  - Jornada de Aprendizagem e Desenvolvimento | JOL 2026 |"/>
    <m/>
    <m/>
    <m/>
    <s v="ec4d1d7ccc713f1af9dc6a5210e63d50"/>
    <m/>
    <s v="Nao"/>
    <x v="8"/>
    <m/>
    <s v="24/06/2026"/>
    <m/>
    <m/>
    <m/>
    <m/>
    <s v="KAM"/>
    <s v="04/06/2018"/>
    <s v="ID-92228410000102"/>
    <s v="Aguardando recebimento"/>
    <m/>
    <x v="4"/>
  </r>
  <r>
    <s v="COM69861D714064D"/>
    <n v="242179"/>
    <s v="06/02/2026 13:57"/>
    <x v="3"/>
    <m/>
    <m/>
    <s v="Aprovado"/>
    <n v="1"/>
    <n v="1"/>
    <n v="0"/>
    <m/>
    <n v="0"/>
    <s v=""/>
    <s v="Cortesia"/>
    <s v="cortesia"/>
    <s v="Download NRF 2026 - 28 de Janeiro 2026"/>
    <s v="talk-online-internacional-ed1a26"/>
    <s v="Mateus de Melo Araujo"/>
    <s v="05028879664"/>
    <m/>
    <m/>
    <s v="mateusa@sebraemg.com.br"/>
    <s v="5531971237834"/>
    <m/>
    <s v="04578-910"/>
    <s v="Avenida das Nações Unidas"/>
    <s v="12901"/>
    <m/>
    <s v="Brooklin Paulista"/>
    <s v="São Paulo"/>
    <s v="SP"/>
    <s v="Filial(São Paulo)"/>
    <s v="Download NRF 2026 - 28 de Janeiro 2026"/>
    <m/>
    <m/>
    <m/>
    <s v="9c6ca8ad7ca75bd2b73c48e75bd1d7af"/>
    <m/>
    <s v="Nao"/>
    <x v="2"/>
    <m/>
    <s v="28/01/2026"/>
    <m/>
    <m/>
    <m/>
    <m/>
    <s v="KAM"/>
    <m/>
    <s v="ID-05028879664"/>
    <m/>
    <m/>
    <x v="1"/>
  </r>
  <r>
    <s v="COM69861BB621FEF"/>
    <n v="242178"/>
    <s v="06/02/2026 13:49"/>
    <x v="3"/>
    <m/>
    <s v="06/02/2026"/>
    <s v="Aprovado"/>
    <n v="2"/>
    <n v="1"/>
    <n v="0"/>
    <m/>
    <n v="0"/>
    <s v=""/>
    <s v="Cortesia"/>
    <s v="cortesia"/>
    <s v="RH Leadership Xperience 2026 - Ingresso Explorer"/>
    <s v="evento-rh-ed1a26_explorer"/>
    <s v="Ricardo Rodrigues"/>
    <m/>
    <s v="59.275.792/0001-50"/>
    <s v="GENERAL MOTORS DO BRASIL LTDA"/>
    <s v="ricardo.2.rodrigues@gm.com"/>
    <s v="11970648961"/>
    <s v="1142345090"/>
    <s v="09550050"/>
    <s v="GOIAS"/>
    <s v="1805"/>
    <m/>
    <s v="SANTA PAULA"/>
    <s v="São Caetano do Sul"/>
    <s v="SP"/>
    <s v="Filial(São Paulo)"/>
    <s v="GM"/>
    <m/>
    <m/>
    <m/>
    <s v="7488aab484f79957ab26cd62562506c7"/>
    <m/>
    <s v="Nao"/>
    <x v="10"/>
    <m/>
    <s v="26/03/2026"/>
    <m/>
    <m/>
    <m/>
    <m/>
    <s v="KAM"/>
    <s v="26/07/2018"/>
    <s v="ID-59275792000150"/>
    <m/>
    <m/>
    <x v="1"/>
  </r>
  <r>
    <s v="COM698619EE4048B"/>
    <n v="242176"/>
    <s v="06/02/2026 13:42"/>
    <x v="3"/>
    <m/>
    <s v="06/02/2026"/>
    <s v="Aprovado"/>
    <n v="10"/>
    <n v="1"/>
    <n v="0"/>
    <m/>
    <n v="0"/>
    <s v=""/>
    <s v="Cortesia"/>
    <s v="cortesia"/>
    <s v="RH Leadership Xperience 2026 - Ingresso Explorer"/>
    <s v="evento-rh-ed1a26_explorer"/>
    <s v="Viviane Santos"/>
    <m/>
    <s v="61.064.911/0001-77"/>
    <s v="CATERPILLAR BRASIL LTDA"/>
    <s v="Santos_Viviane_R@cat.com"/>
    <s v="19997718823"/>
    <s v="1921062100"/>
    <s v="13420900"/>
    <s v="LUIZ DE QUEIROZ KM 157"/>
    <s v="S/N"/>
    <s v="KM 157"/>
    <s v="UNILESTE"/>
    <s v="Piracicaba"/>
    <s v="SP"/>
    <s v="Filial(São Paulo)"/>
    <s v="Caterpillar"/>
    <m/>
    <m/>
    <m/>
    <s v="e87058ab82b5031b73672accaf11ca3d"/>
    <m/>
    <s v="Nao"/>
    <x v="10"/>
    <m/>
    <s v="26/03/2026"/>
    <m/>
    <m/>
    <m/>
    <m/>
    <s v="KAM"/>
    <s v="02/02/2024"/>
    <s v="ID-61064911000177"/>
    <m/>
    <m/>
    <x v="1"/>
  </r>
  <r>
    <s v="ORDWNAO7AYDGJ0MJ"/>
    <n v="242148"/>
    <s v="06/02/2026 11:13"/>
    <x v="3"/>
    <m/>
    <s v="06/02/2026"/>
    <s v="Aprovado"/>
    <n v="1"/>
    <n v="0"/>
    <n v="0"/>
    <m/>
    <n v="0"/>
    <m/>
    <s v="Cortesia"/>
    <s v="cortesia"/>
    <s v="AI for Leaders - 2ª edição - 2025"/>
    <s v="ai-for-leaders-ed2a25"/>
    <s v="Jose Alberto Ferreira Xavier"/>
    <s v="00612947807"/>
    <m/>
    <m/>
    <s v="xavier@tribanco.com.br"/>
    <s v="11995613099"/>
    <m/>
    <s v="02611001"/>
    <s v="Avenida Parada Pinto"/>
    <s v="3696"/>
    <s v="123A"/>
    <s v="Vila Nova Cachoeirinha"/>
    <s v="São Paulo"/>
    <s v="SP"/>
    <s v="Filial(São Paulo)"/>
    <m/>
    <m/>
    <m/>
    <m/>
    <s v="8a8c27f85309f46e8d019ddc752e7ab9"/>
    <s v="OFFTRIBANCO"/>
    <s v="Nao"/>
    <x v="0"/>
    <m/>
    <s v="15/05/2025"/>
    <m/>
    <m/>
    <m/>
    <s v="Brasil"/>
    <s v="KAM"/>
    <m/>
    <s v="ID-00612947807"/>
    <m/>
    <m/>
    <x v="1"/>
  </r>
  <r>
    <s v="ORDVJ0E3M2HQDZF8"/>
    <n v="242143"/>
    <s v="06/02/2026 10:59"/>
    <x v="3"/>
    <m/>
    <s v="06/02/2026"/>
    <s v="Aprovado"/>
    <n v="1"/>
    <n v="0"/>
    <n v="0"/>
    <m/>
    <n v="0"/>
    <m/>
    <s v="Cortesia"/>
    <s v="cortesia"/>
    <s v="AI for Leaders - 2ª edição - 2025"/>
    <s v="ai-for-leaders-ed2a25"/>
    <s v="Jose Alberto Ferreira Xavier"/>
    <s v="00612947807"/>
    <m/>
    <m/>
    <s v="xavier@tribanco.com.br"/>
    <s v="11995613099"/>
    <m/>
    <s v="02611001"/>
    <s v="Avenida Parada Pinto"/>
    <s v="3696"/>
    <s v="123A"/>
    <s v="Vila Nova Cachoeirinha"/>
    <s v="São Paulo"/>
    <s v="SP"/>
    <s v="Filial(São Paulo)"/>
    <m/>
    <m/>
    <m/>
    <m/>
    <s v="3b14dad22b91e026d31cf428f82f70c7"/>
    <s v="OFFTRIBANCO"/>
    <s v="Nao"/>
    <x v="0"/>
    <m/>
    <s v="15/05/2025"/>
    <m/>
    <m/>
    <m/>
    <s v="Brasil"/>
    <s v="KAM"/>
    <m/>
    <s v="ID-00612947807"/>
    <m/>
    <m/>
    <x v="1"/>
  </r>
  <r>
    <s v="ORDS4783LW5XCFYQ"/>
    <n v="242098"/>
    <s v="05/02/2026 18:37"/>
    <x v="3"/>
    <m/>
    <s v="05/02/2026"/>
    <s v="Aprovado"/>
    <n v="1"/>
    <n v="0"/>
    <n v="0"/>
    <m/>
    <n v="0"/>
    <m/>
    <s v="Cortesia"/>
    <s v="cortesia"/>
    <s v="AI for Leaders - 2ª edição - 2025"/>
    <s v="ai-for-leaders-ed2a25"/>
    <s v="Anizio Wanderley Filho"/>
    <s v="04231529639"/>
    <m/>
    <m/>
    <s v="awfilho@tribanco.com.br"/>
    <s v="21967722386"/>
    <m/>
    <s v="38412880"/>
    <s v="Alameda José de Oliveira"/>
    <s v="220"/>
    <s v="casa"/>
    <s v="Jardim Holanda"/>
    <s v="Uberlândia"/>
    <s v="MG"/>
    <s v="Filial(São Paulo)"/>
    <m/>
    <m/>
    <m/>
    <m/>
    <s v="35404e1762589a09485950a6dad9a4f9"/>
    <s v="OFFTRIBANCO"/>
    <s v="Nao"/>
    <x v="0"/>
    <m/>
    <s v="15/05/2025"/>
    <m/>
    <m/>
    <m/>
    <s v="Brasil"/>
    <s v="KAM"/>
    <s v="09/10/2025"/>
    <s v="ID-04231529639"/>
    <m/>
    <m/>
    <x v="1"/>
  </r>
  <r>
    <s v="ORDSC0MGNF81GBTT"/>
    <n v="242090"/>
    <s v="05/02/2026 17:36"/>
    <x v="3"/>
    <m/>
    <s v="05/02/2026"/>
    <s v="Aprovado"/>
    <n v="1"/>
    <n v="0"/>
    <n v="0"/>
    <m/>
    <n v="0"/>
    <m/>
    <s v="Cortesia"/>
    <s v="cortesia"/>
    <s v="AI for Leaders - 2ª edição - 2025"/>
    <s v="ai-for-leaders-ed2a25"/>
    <s v="Dimas Manoel Leonardo Neto Leonardo"/>
    <s v="29619340876"/>
    <m/>
    <m/>
    <s v="dneto@tribanco.com.br"/>
    <s v="34992990429"/>
    <m/>
    <s v="38410614"/>
    <s v="Rua Itutinga"/>
    <s v="201"/>
    <m/>
    <s v="Granada"/>
    <s v="Uberlândia"/>
    <s v="MG"/>
    <s v="Filial(São Paulo)"/>
    <m/>
    <m/>
    <m/>
    <m/>
    <s v="cc7d8122b53c69dcf785e0b42f2a6b96"/>
    <s v="OFFTRIBANCO"/>
    <s v="Nao"/>
    <x v="0"/>
    <m/>
    <s v="15/05/2025"/>
    <m/>
    <m/>
    <m/>
    <s v="Brasil"/>
    <s v="KAM"/>
    <m/>
    <s v="ID-29619340876"/>
    <m/>
    <m/>
    <x v="1"/>
  </r>
  <r>
    <s v="COM6984D7C42CE95"/>
    <n v="242027"/>
    <s v="05/02/2026 14:47"/>
    <x v="3"/>
    <m/>
    <s v="05/02/2026"/>
    <s v="Aprovado"/>
    <n v="1"/>
    <n v="1"/>
    <n v="0"/>
    <m/>
    <n v="0"/>
    <s v=""/>
    <s v="Cortesia"/>
    <s v="cortesia"/>
    <s v="RH Leadership Xperience 2026 - Ingresso Explorer"/>
    <s v="evento-rh-ed1a26_explorer"/>
    <s v="Silvia Alegro Duarte"/>
    <s v="28904507839"/>
    <m/>
    <m/>
    <s v="Silvia.alegro@antilha.com.br"/>
    <s v="5511999999999"/>
    <m/>
    <s v="04578-910"/>
    <s v="Avenida das Nações Unidas"/>
    <s v="12901"/>
    <m/>
    <s v="Brooklin Paulista"/>
    <s v="São Paulo"/>
    <s v="SP"/>
    <s v="Filial(São Paulo)"/>
    <s v="RH Leadership Xperience 2026 - Ingresso Explorer"/>
    <m/>
    <m/>
    <m/>
    <s v="4e31c9b8ce4c16210dcdef3abfc0d3c8"/>
    <m/>
    <s v="Nao"/>
    <x v="11"/>
    <m/>
    <s v="26/03/2026"/>
    <m/>
    <m/>
    <m/>
    <m/>
    <s v="KAM"/>
    <m/>
    <s v="ID-28904507839"/>
    <m/>
    <m/>
    <x v="1"/>
  </r>
  <r>
    <s v="ORDH49GUNQ72WF9L"/>
    <n v="242023"/>
    <s v="05/02/2026 14:28"/>
    <x v="3"/>
    <m/>
    <s v="05/02/2026"/>
    <s v="Aprovado"/>
    <n v="1"/>
    <n v="0"/>
    <n v="0"/>
    <m/>
    <n v="0"/>
    <m/>
    <s v="Cortesia"/>
    <s v="cortesia"/>
    <s v="AI for Leaders - 2ª edição - 2025"/>
    <s v="ai-for-leaders-ed2a25"/>
    <s v="Marcos Paulo Ortolani"/>
    <s v="29541785824"/>
    <m/>
    <m/>
    <s v="ortolani@tribanco.com.br"/>
    <s v="11997005613"/>
    <m/>
    <s v="09220608"/>
    <s v="Rua Ibatiba"/>
    <s v="123"/>
    <s v="CS 79"/>
    <s v="Vila Metalúrgica"/>
    <s v="Santo André"/>
    <s v="SP"/>
    <s v="Filial(São Paulo)"/>
    <m/>
    <m/>
    <m/>
    <m/>
    <s v="fb59fc6436ba64a40ee063c9924feba9"/>
    <s v="OFFTRIBANCO"/>
    <s v="Nao"/>
    <x v="0"/>
    <m/>
    <s v="15/05/2025"/>
    <m/>
    <m/>
    <m/>
    <s v="Brasil"/>
    <s v="KAM"/>
    <m/>
    <s v="ID-29541785824"/>
    <m/>
    <m/>
    <x v="1"/>
  </r>
  <r>
    <s v="COM69D52C9480ADF"/>
    <n v="246806"/>
    <s v="05/02/2026 13:11"/>
    <x v="3"/>
    <m/>
    <s v="07/04/2026"/>
    <s v="Aprovado"/>
    <n v="1"/>
    <n v="1"/>
    <n v="158780"/>
    <m/>
    <n v="158780"/>
    <s v=""/>
    <s v="TED"/>
    <s v="ted"/>
    <s v="Oracle l Missão Vale do Silício GTC NVidia I Acompanhamento StartSe"/>
    <s v="corporate-vale-xperience-ed2a26"/>
    <s v="Agustina Zappacosta"/>
    <m/>
    <s v="59.456.277/0001-76"/>
    <s v="ORACLE DO BRASIL SISTEMAS LTDA"/>
    <s v="agustina.zappacosta@oracle.com"/>
    <s v="11910554869"/>
    <s v="1133331817"/>
    <s v="04710090"/>
    <s v="Rua Dr Jose Aureo Bustamante"/>
    <s v="455"/>
    <s v="Anexo Morumbi Business Cen"/>
    <s v="Santo Amaro"/>
    <s v="São Paulo"/>
    <s v="SP"/>
    <s v="Filial(São Paulo)"/>
    <s v="GTC Nvidia Oracle"/>
    <m/>
    <m/>
    <m/>
    <s v="cb103feff0c2f69c41b1ee7f8bec7dbc"/>
    <m/>
    <s v="Nao"/>
    <x v="10"/>
    <m/>
    <s v="15/03/2026"/>
    <m/>
    <m/>
    <s v="https://loja.startse.com.br//processamento/fatura/cb103feff0c2f69c41b1ee7f8bec7dbc"/>
    <m/>
    <s v="KAM"/>
    <s v="19/03/2021"/>
    <s v="ID-59456277000176"/>
    <s v="Pago"/>
    <m/>
    <x v="0"/>
  </r>
  <r>
    <s v="ORDWI2G7BREC3K08"/>
    <n v="242008"/>
    <s v="05/02/2026 12:10"/>
    <x v="3"/>
    <m/>
    <s v="05/02/2026"/>
    <s v="Aprovado"/>
    <n v="1"/>
    <n v="0"/>
    <n v="0"/>
    <m/>
    <n v="0"/>
    <m/>
    <s v="Cortesia"/>
    <s v="cortesia"/>
    <s v="AI for Leaders - 2ª edição - 2025"/>
    <s v="ai-for-leaders-ed2a25"/>
    <s v="ERNANI CARVALHO COUTINHO NETO"/>
    <s v="62065041404"/>
    <m/>
    <m/>
    <s v="eneto@tribanco.com.br"/>
    <s v="85999213458"/>
    <m/>
    <s v="60192055"/>
    <s v="Rua Bento Albuquerque"/>
    <s v="895"/>
    <s v="Apt 1002"/>
    <s v="Cocó"/>
    <s v="Fortaleza"/>
    <s v="CE"/>
    <s v="Filial(São Paulo)"/>
    <m/>
    <m/>
    <m/>
    <m/>
    <s v="ffee30b070f3e40e57b57d14572de572"/>
    <s v="OFFTRIBANCO"/>
    <s v="Nao"/>
    <x v="0"/>
    <m/>
    <s v="15/05/2025"/>
    <m/>
    <m/>
    <m/>
    <s v="Brasil"/>
    <s v="KAM"/>
    <m/>
    <s v="ID-62065041404"/>
    <m/>
    <m/>
    <x v="1"/>
  </r>
  <r>
    <s v="ORDHREUBEOFMARD2"/>
    <n v="241990"/>
    <s v="05/02/2026 10:20"/>
    <x v="3"/>
    <m/>
    <s v="05/02/2026"/>
    <s v="Aprovado"/>
    <n v="1"/>
    <n v="0"/>
    <n v="0"/>
    <m/>
    <n v="0"/>
    <m/>
    <s v="Cortesia"/>
    <s v="cortesia"/>
    <s v="Talks Executive Program - Piero - SLD"/>
    <s v="startse-talks-executive-program-ed1a26"/>
    <s v="Denis Akio Macedo Yamauchi"/>
    <s v="11095748602"/>
    <m/>
    <m/>
    <s v="denis.akio@srna.co"/>
    <s v="5535991032825"/>
    <m/>
    <s v="04578910"/>
    <s v="Av. das Nações Unidas"/>
    <s v="12901"/>
    <m/>
    <s v="Brooklin Novo"/>
    <s v="São Paulo"/>
    <s v="SP"/>
    <s v="Filial(São Paulo)"/>
    <m/>
    <m/>
    <m/>
    <m/>
    <s v="9a2f1f2f987e16d16f687752d255afa0"/>
    <s v="Cortesia_StartSe"/>
    <s v="Nao"/>
    <x v="5"/>
    <m/>
    <s v="11/02/2026"/>
    <m/>
    <m/>
    <m/>
    <s v="Brasil"/>
    <s v="KAM"/>
    <m/>
    <s v="ID-11095748602"/>
    <m/>
    <m/>
    <x v="1"/>
  </r>
  <r>
    <s v="ORDGE1FAN5CUZMWL"/>
    <n v="241989"/>
    <s v="05/02/2026 10:18"/>
    <x v="3"/>
    <m/>
    <s v="05/02/2026"/>
    <s v="Aprovado"/>
    <n v="1"/>
    <n v="0"/>
    <n v="0"/>
    <m/>
    <n v="0"/>
    <m/>
    <s v="Cortesia"/>
    <s v="cortesia"/>
    <s v="Talks Executive Program - Piero - SLD"/>
    <s v="startse-talks-executive-program-ed1a26"/>
    <s v="Lívia Candido de Souza"/>
    <s v="10815620721"/>
    <m/>
    <m/>
    <s v="livia.souza@srna.co"/>
    <s v="5521983101600"/>
    <m/>
    <s v="04578910"/>
    <s v="v. das Nações Unidas"/>
    <s v="12901"/>
    <m/>
    <s v="Brooklin Novo"/>
    <s v="São Paulo"/>
    <s v="SP"/>
    <s v="Filial(São Paulo)"/>
    <m/>
    <m/>
    <m/>
    <m/>
    <s v="228ca7665ee69fea1b5656268c2022c6"/>
    <s v="Cortesia_StartSe"/>
    <s v="Nao"/>
    <x v="5"/>
    <m/>
    <s v="11/02/2026"/>
    <m/>
    <m/>
    <m/>
    <s v="Brasil"/>
    <s v="KAM"/>
    <m/>
    <s v="ID-10815620721"/>
    <m/>
    <m/>
    <x v="1"/>
  </r>
  <r>
    <s v="ORDEWSEV2MCP6LWD"/>
    <n v="241960"/>
    <s v="04/02/2026 20:48"/>
    <x v="3"/>
    <m/>
    <s v="04/02/2026"/>
    <s v="Aprovado"/>
    <n v="1"/>
    <n v="0"/>
    <n v="0"/>
    <m/>
    <n v="0"/>
    <m/>
    <s v="Cortesia"/>
    <s v="cortesia"/>
    <s v="AI for Leaders - 2ª edição - 2025"/>
    <s v="ai-for-leaders-ed2a25"/>
    <s v="Gustavo Martin Macedo solivellas"/>
    <s v="87145693615"/>
    <m/>
    <m/>
    <s v="gsolivel@tribanco.com.br"/>
    <s v="5562998357107"/>
    <m/>
    <s v="74230030"/>
    <s v="Avenida T 4"/>
    <s v="1278"/>
    <s v="1703"/>
    <s v="Setor Bueno"/>
    <s v="Goiânia"/>
    <s v="GO"/>
    <s v="Filial(São Paulo)"/>
    <m/>
    <m/>
    <m/>
    <m/>
    <s v="215691802b79f87ab1c278f217e32c99"/>
    <s v="OFFTRIBANCO"/>
    <s v="Nao"/>
    <x v="0"/>
    <m/>
    <s v="15/05/2025"/>
    <m/>
    <m/>
    <m/>
    <s v="Brasil"/>
    <s v="KAM"/>
    <m/>
    <s v="ID-87145693615"/>
    <m/>
    <m/>
    <x v="1"/>
  </r>
  <r>
    <s v="COM6983B677751EF"/>
    <n v="241952"/>
    <s v="04/02/2026 18:13"/>
    <x v="3"/>
    <m/>
    <s v="04/02/2026"/>
    <s v="Aprovado"/>
    <n v="1"/>
    <n v="1"/>
    <n v="0"/>
    <m/>
    <n v="0"/>
    <s v=""/>
    <s v="Cortesia"/>
    <s v="cortesia"/>
    <s v="Talks Executive Program - Piero - SLD"/>
    <s v="startse-talks-executive-program-ed1a26"/>
    <s v="Gabriela Di Rissio"/>
    <s v="38369082807"/>
    <m/>
    <m/>
    <s v="gabriela.rissio@volkswagen.com.br"/>
    <s v="5511989264420"/>
    <m/>
    <s v="04578-910"/>
    <s v="Avenida das Nações Unidas"/>
    <s v="12901"/>
    <m/>
    <s v="Brooklin Paulista"/>
    <s v="São Paulo"/>
    <s v="SP"/>
    <s v="Filial(São Paulo)"/>
    <s v="Talks Executive Program"/>
    <m/>
    <m/>
    <m/>
    <s v="96fa9061fc04d9e2801a3ac58b51cad3"/>
    <m/>
    <s v="Nao"/>
    <x v="6"/>
    <m/>
    <s v="11/02/2026"/>
    <m/>
    <m/>
    <m/>
    <s v="Brasil"/>
    <s v="KAM"/>
    <m/>
    <s v="ID-38369082807"/>
    <m/>
    <m/>
    <x v="1"/>
  </r>
  <r>
    <s v="ORDYW09RO5ZU4PFR"/>
    <n v="241941"/>
    <s v="04/02/2026 16:37"/>
    <x v="3"/>
    <m/>
    <s v="04/02/2026"/>
    <s v="Aprovado"/>
    <n v="1"/>
    <n v="0"/>
    <n v="0"/>
    <m/>
    <n v="0"/>
    <m/>
    <s v="Cortesia"/>
    <s v="cortesia"/>
    <s v="AI for Leaders - 2ª edição - 2025"/>
    <s v="ai-for-leaders-ed2a25"/>
    <s v="JOVAM VALMOR SAUGO"/>
    <s v="02198810069"/>
    <m/>
    <m/>
    <s v="jsaugo@tribanco.com.br"/>
    <s v="5567998783955"/>
    <m/>
    <s v="79040180"/>
    <s v="Rua Santa Cecília"/>
    <s v="278"/>
    <s v="bloco 9 - apto 101"/>
    <s v="Vila Miguel Couto"/>
    <s v="Campo Grande"/>
    <s v="MS"/>
    <s v="Filial(São Paulo)"/>
    <m/>
    <m/>
    <m/>
    <m/>
    <s v="5e2bbef84817481cc6e96b4fb93949a6"/>
    <s v="OFFTRIBANCO"/>
    <s v="Nao"/>
    <x v="0"/>
    <m/>
    <s v="15/05/2025"/>
    <m/>
    <m/>
    <m/>
    <s v="Brasil"/>
    <s v="KAM"/>
    <m/>
    <s v="ID-02198810069"/>
    <m/>
    <m/>
    <x v="1"/>
  </r>
  <r>
    <s v="ORDHMG1LGO6P95IT"/>
    <n v="241937"/>
    <s v="04/02/2026 16:03"/>
    <x v="3"/>
    <m/>
    <s v="04/02/2026"/>
    <s v="Aprovado"/>
    <n v="1"/>
    <n v="0"/>
    <n v="0"/>
    <m/>
    <n v="0"/>
    <m/>
    <s v="Cortesia"/>
    <s v="cortesia"/>
    <s v="AI for Leaders - 2ª edição - 2025"/>
    <s v="ai-for-leaders-ed2a25"/>
    <s v="Jefferson Macena Rocha"/>
    <s v="05789238661"/>
    <m/>
    <m/>
    <s v="jmrocha@tribanco.com.br"/>
    <s v="5534998790048"/>
    <m/>
    <s v="38411161"/>
    <s v="Avenida Landscape"/>
    <s v="3125"/>
    <s v="Bloco 2 AP 901"/>
    <s v="Gávea"/>
    <s v="Uberlândia"/>
    <s v="MG"/>
    <s v="Filial(São Paulo)"/>
    <m/>
    <m/>
    <m/>
    <m/>
    <s v="2a65e51fd39daf88c87c16b918b2a925"/>
    <s v="OFFTRIBANCO"/>
    <s v="Nao"/>
    <x v="0"/>
    <m/>
    <s v="15/05/2025"/>
    <m/>
    <m/>
    <m/>
    <s v="Brasil"/>
    <s v="KAM"/>
    <m/>
    <s v="ID-05789238661"/>
    <m/>
    <m/>
    <x v="1"/>
  </r>
  <r>
    <s v="ORDZBPKM2TPH0I3U"/>
    <n v="241936"/>
    <s v="04/02/2026 15:57"/>
    <x v="3"/>
    <m/>
    <s v="04/02/2026"/>
    <s v="Aprovado"/>
    <n v="1"/>
    <n v="2"/>
    <n v="3900"/>
    <s v="Braintree"/>
    <n v="3900"/>
    <s v="28974115835FKTSO97GE"/>
    <s v="Crédito Parcelado"/>
    <s v="elo"/>
    <s v="RH Leadership Xperience 2026 - Ingresso Platinum"/>
    <s v="evento-rh-ed1a26_platinum"/>
    <s v="Juliana Afonseca"/>
    <s v="04497711641"/>
    <m/>
    <m/>
    <s v="juliana@algar.com.br"/>
    <s v="5534991132515"/>
    <m/>
    <s v="38406064"/>
    <s v="Rua Antônio Francisco Rosa"/>
    <s v="231"/>
    <s v="Qd 7 Lte 19"/>
    <s v="Aclimação"/>
    <s v="Uberlândia"/>
    <s v="MG"/>
    <s v="Filial(São Paulo)"/>
    <m/>
    <m/>
    <m/>
    <m/>
    <s v="787af35a367a7dcd971cdd9da0be6ba3"/>
    <s v="Cupom_Platinum_RH"/>
    <s v="Nao"/>
    <x v="6"/>
    <m/>
    <s v="26/03/2026"/>
    <m/>
    <m/>
    <m/>
    <m/>
    <s v="KAM"/>
    <s v="04/02/2026"/>
    <s v="ID-04497711641"/>
    <m/>
    <m/>
    <x v="0"/>
  </r>
  <r>
    <s v="COM69837B7CBE1F1"/>
    <n v="241909"/>
    <s v="04/02/2026 14:01"/>
    <x v="3"/>
    <m/>
    <m/>
    <s v="Aprovado"/>
    <n v="1"/>
    <n v="1"/>
    <n v="0"/>
    <m/>
    <n v="0"/>
    <s v=""/>
    <s v="Cortesia"/>
    <s v="cortesia"/>
    <s v="Download NRF 2026 - 28 de Janeiro 2026"/>
    <s v="talk-online-internacional-ed1a26"/>
    <s v="Sergio Mena Barreto"/>
    <s v="36677019349"/>
    <m/>
    <m/>
    <s v="sergio@abrafarma.com.br"/>
    <s v="5511968464600"/>
    <m/>
    <s v="04578-910"/>
    <s v="Avenida das Nações Unidas"/>
    <s v="12901"/>
    <m/>
    <s v="Brooklin Paulista"/>
    <s v="São Paulo"/>
    <s v="SP"/>
    <s v="Filial(São Paulo)"/>
    <s v="Download NRF 2026 - 28 de Janeiro 2026"/>
    <m/>
    <m/>
    <m/>
    <s v="54d6e8011f13d848e610ca05766649f8"/>
    <m/>
    <s v="Nao"/>
    <x v="0"/>
    <m/>
    <s v="28/01/2026"/>
    <m/>
    <m/>
    <m/>
    <m/>
    <s v="KAM"/>
    <s v="23/01/2023"/>
    <s v="ID-36677019349"/>
    <m/>
    <m/>
    <x v="1"/>
  </r>
  <r>
    <s v="ORDYDZMNNI69LUF3"/>
    <n v="241819"/>
    <s v="03/02/2026 19:53"/>
    <x v="3"/>
    <m/>
    <s v="03/02/2026"/>
    <s v="Aprovado"/>
    <n v="1"/>
    <n v="0"/>
    <n v="0"/>
    <m/>
    <n v="0"/>
    <m/>
    <s v="Cortesia"/>
    <s v="cortesia"/>
    <s v="AI for Leaders - 2ª edição - 2025"/>
    <s v="ai-for-leaders-ed2a25"/>
    <s v="Eloane Menezes Ramos"/>
    <s v="41455037591"/>
    <m/>
    <m/>
    <s v="eloane@tribanco.com.br"/>
    <s v="5571999429681"/>
    <m/>
    <s v="41760160"/>
    <s v="Rua Coronel Durval Mattos"/>
    <s v="1239"/>
    <s v="Edf Juliana ap 103"/>
    <s v="Costa Azul"/>
    <s v="Salvador"/>
    <s v="BA"/>
    <s v="Filial(São Paulo)"/>
    <m/>
    <m/>
    <m/>
    <m/>
    <s v="f6c58711ecc92995d8f13ae3ebc8a589"/>
    <s v="OFFTRIBANCO"/>
    <s v="Nao"/>
    <x v="0"/>
    <m/>
    <s v="15/05/2025"/>
    <m/>
    <m/>
    <m/>
    <s v="Brasil"/>
    <s v="KAM"/>
    <m/>
    <s v="ID-41455037591"/>
    <m/>
    <m/>
    <x v="1"/>
  </r>
  <r>
    <s v="COM698265A6360F5"/>
    <n v="241815"/>
    <s v="03/02/2026 18:16"/>
    <x v="3"/>
    <m/>
    <m/>
    <s v="Aprovado"/>
    <n v="1"/>
    <n v="1"/>
    <n v="0"/>
    <m/>
    <n v="0"/>
    <s v=""/>
    <s v="Cortesia"/>
    <s v="cortesia"/>
    <s v="AI para Negócios - Imersão Presencial -  30 e 31 de Março de 2026"/>
    <s v="imersao-presencial-de-ai-ed5a26"/>
    <s v="Carlos Henrique Ramos Fonseca"/>
    <s v="28864590978"/>
    <m/>
    <m/>
    <s v="cfonseca@sc.sebrae.com.br"/>
    <s v="5548999817773"/>
    <m/>
    <s v="88030-000"/>
    <s v="Rodovia José Carlos Daux"/>
    <s v="600"/>
    <m/>
    <s v="João Paulo"/>
    <s v="Florianópolis"/>
    <s v="SC"/>
    <s v="Filial(São Paulo)"/>
    <s v="AI para Negócios - Imersão Presencial - 30 e 31 de Março de 2026"/>
    <m/>
    <m/>
    <m/>
    <s v="db3aaf952f5b5b5d5502c152c2e620b5"/>
    <m/>
    <s v="Nao"/>
    <x v="2"/>
    <m/>
    <s v="30/03/2026"/>
    <m/>
    <m/>
    <m/>
    <m/>
    <s v="KAM"/>
    <m/>
    <s v="ID-28864590978"/>
    <m/>
    <m/>
    <x v="1"/>
  </r>
  <r>
    <s v="ORD2BBXCF5DNGKZG"/>
    <n v="241805"/>
    <s v="03/02/2026 16:31"/>
    <x v="3"/>
    <m/>
    <s v="03/02/2026"/>
    <s v="Aprovado"/>
    <n v="1"/>
    <n v="0"/>
    <n v="0"/>
    <m/>
    <n v="0"/>
    <m/>
    <s v="Cortesia"/>
    <s v="cortesia"/>
    <s v="AI for Leaders - 2ª edição - 2025"/>
    <s v="ai-for-leaders-ed2a25"/>
    <s v="MURILO ALVES SANTOS"/>
    <s v="08284742659"/>
    <m/>
    <m/>
    <s v="murilos@tribanco.com.br"/>
    <s v="5534999827776"/>
    <m/>
    <s v="38411638"/>
    <s v="Rua Agata"/>
    <s v="175"/>
    <m/>
    <s v="Jardim Inconfidência"/>
    <s v="Uberlândia"/>
    <s v="MG"/>
    <s v="Filial(São Paulo)"/>
    <m/>
    <m/>
    <m/>
    <m/>
    <s v="2dec0c560c96660cd1ad0c2d2178f609"/>
    <s v="OFFTRIBANCO"/>
    <s v="Nao"/>
    <x v="0"/>
    <m/>
    <s v="15/05/2025"/>
    <m/>
    <m/>
    <m/>
    <s v="Brasil"/>
    <s v="KAM"/>
    <m/>
    <s v="ID-08284742659"/>
    <m/>
    <m/>
    <x v="1"/>
  </r>
  <r>
    <s v="ORDNQRTZNHG2168G"/>
    <n v="241737"/>
    <s v="02/02/2026 19:14"/>
    <x v="3"/>
    <m/>
    <s v="02/02/2026"/>
    <s v="Aprovado"/>
    <n v="1"/>
    <n v="0"/>
    <n v="0"/>
    <m/>
    <n v="0"/>
    <m/>
    <s v="Cortesia"/>
    <s v="cortesia"/>
    <s v="AI for Leaders - 2ª edição - 2025"/>
    <s v="ai-for-leaders-ed2a25"/>
    <s v="Lorrayne Silva Nogueira"/>
    <s v="08980392664"/>
    <m/>
    <m/>
    <s v="silval@tribanco.com.br"/>
    <s v="5534991064896"/>
    <m/>
    <s v="38405102"/>
    <s v="Rua Venezuela"/>
    <s v="1141"/>
    <m/>
    <s v="Tibery"/>
    <s v="Uberlândia"/>
    <s v="MG"/>
    <s v="Filial(São Paulo)"/>
    <m/>
    <m/>
    <m/>
    <m/>
    <s v="8d373f4405efba7db540ad61e563466f"/>
    <s v="OFFTRIBANCO"/>
    <s v="Nao"/>
    <x v="0"/>
    <m/>
    <s v="15/05/2025"/>
    <m/>
    <m/>
    <m/>
    <s v="Brasil"/>
    <s v="KAM"/>
    <m/>
    <s v="ID-08980392664"/>
    <m/>
    <m/>
    <x v="1"/>
  </r>
  <r>
    <s v="COM6981177317CF4"/>
    <n v="241733"/>
    <s v="02/02/2026 18:30"/>
    <x v="3"/>
    <m/>
    <s v="02/02/2026"/>
    <s v="Aprovado"/>
    <n v="1"/>
    <n v="1"/>
    <n v="0"/>
    <m/>
    <n v="0"/>
    <s v=""/>
    <s v="Cortesia"/>
    <s v="cortesia"/>
    <s v="AI for Leaders - 2026"/>
    <s v="ai-for-leaders-ed1a26"/>
    <s v="RODRIGO VINICIUS DA CUNHA BARRETO"/>
    <s v="02670985610"/>
    <m/>
    <m/>
    <s v="rodrigo.barreto@grupovamos.com.br"/>
    <s v="5511999999999"/>
    <m/>
    <s v="04578-910"/>
    <s v="Avenida das Nações Unidas"/>
    <s v="12901"/>
    <s v="9 andar"/>
    <s v="Brooklin Paulista"/>
    <s v="São Paulo"/>
    <s v="SP"/>
    <s v="Filial(São Paulo)"/>
    <s v="AI for leaders Cortesia Vamos"/>
    <m/>
    <m/>
    <m/>
    <s v="93248c04a698d74a9b6d7fe75a1a077f"/>
    <m/>
    <s v="Nao"/>
    <x v="5"/>
    <m/>
    <s v="13/01/2026"/>
    <m/>
    <m/>
    <m/>
    <s v="Brasil"/>
    <s v="KAM"/>
    <m/>
    <s v="ID-02670985610"/>
    <m/>
    <m/>
    <x v="1"/>
  </r>
  <r>
    <s v="ORDSUBS1GAIWPLT9"/>
    <n v="241732"/>
    <s v="02/02/2026 18:13"/>
    <x v="3"/>
    <m/>
    <s v="02/02/2026"/>
    <s v="Aprovado"/>
    <n v="1"/>
    <n v="0"/>
    <n v="0"/>
    <m/>
    <n v="0"/>
    <m/>
    <s v="Cortesia"/>
    <s v="cortesia"/>
    <s v="AI for Leaders - 2ª edição - 2025"/>
    <s v="ai-for-leaders-ed2a25"/>
    <s v="Adalberto Fernandes da Silva Junior"/>
    <s v="47224975400"/>
    <m/>
    <m/>
    <s v="asilva@tribanco.com.br"/>
    <s v="5581997376009"/>
    <m/>
    <s v="52041305"/>
    <s v="Rua Amaro Coutinho"/>
    <s v="531"/>
    <s v="Apto 3401"/>
    <s v="Rosarinho"/>
    <s v="Recife"/>
    <s v="PE"/>
    <s v="Filial(São Paulo)"/>
    <m/>
    <m/>
    <m/>
    <m/>
    <s v="573f1058ee273676b4b1790496f5f626"/>
    <s v="OFFTRIBANCO"/>
    <s v="Nao"/>
    <x v="0"/>
    <m/>
    <s v="15/05/2025"/>
    <m/>
    <m/>
    <m/>
    <s v="Brasil"/>
    <s v="KAM"/>
    <m/>
    <s v="ID-47224975400"/>
    <m/>
    <m/>
    <x v="1"/>
  </r>
  <r>
    <s v="ORDSVALVXZ3YC3DC"/>
    <n v="241716"/>
    <s v="02/02/2026 15:51"/>
    <x v="3"/>
    <m/>
    <s v="02/02/2026"/>
    <s v="Aprovado"/>
    <n v="1"/>
    <n v="0"/>
    <n v="0"/>
    <m/>
    <n v="0"/>
    <m/>
    <s v="Cortesia"/>
    <s v="cortesia"/>
    <s v="AI for Leaders - 2ª edição - 2025"/>
    <s v="ai-for-leaders-ed2a25"/>
    <s v="Lorrayne Silva Nogueira"/>
    <s v="08980392664"/>
    <m/>
    <m/>
    <s v="sival@tribanco.com.br"/>
    <s v="5534991064896"/>
    <m/>
    <s v="38405102"/>
    <s v="Rua Venezuela"/>
    <s v="1141"/>
    <m/>
    <s v="Tibery"/>
    <s v="Uberlândia"/>
    <s v="MG"/>
    <s v="Filial(São Paulo)"/>
    <m/>
    <m/>
    <m/>
    <m/>
    <s v="f0715cd0dc21b1a0516582d3aa45653b"/>
    <s v="OFFTRIBANCO"/>
    <s v="Nao"/>
    <x v="0"/>
    <m/>
    <s v="15/05/2025"/>
    <m/>
    <m/>
    <m/>
    <s v="Brasil"/>
    <s v="KAM"/>
    <m/>
    <s v="ID-08980392664"/>
    <m/>
    <m/>
    <x v="1"/>
  </r>
  <r>
    <s v="ORDDZ5MN3Z5O7335"/>
    <n v="241715"/>
    <s v="02/02/2026 15:44"/>
    <x v="3"/>
    <m/>
    <s v="02/02/2026"/>
    <s v="Aprovado"/>
    <n v="1"/>
    <n v="0"/>
    <n v="0"/>
    <m/>
    <n v="0"/>
    <m/>
    <s v="Cortesia"/>
    <s v="cortesia"/>
    <s v="AI for Leaders - 2ª edição - 2025"/>
    <s v="ai-for-leaders-ed2a25"/>
    <s v="Lorrayne Silva Nogueira"/>
    <s v="08980392664"/>
    <m/>
    <m/>
    <s v="sival@tribanco.com.br"/>
    <s v="5534991064896"/>
    <m/>
    <s v="38405102"/>
    <s v="Rua Venezuela"/>
    <s v="1141"/>
    <m/>
    <s v="Tibery"/>
    <s v="Uberlândia"/>
    <s v="MG"/>
    <s v="Filial(São Paulo)"/>
    <m/>
    <m/>
    <m/>
    <m/>
    <s v="39d844417cae8a5ad2e9aaa84c8914f1"/>
    <s v="OFFTRIBANCO"/>
    <s v="Nao"/>
    <x v="0"/>
    <m/>
    <s v="15/05/2025"/>
    <m/>
    <m/>
    <m/>
    <s v="Brasil"/>
    <s v="KAM"/>
    <m/>
    <s v="ID-08980392664"/>
    <m/>
    <m/>
    <x v="1"/>
  </r>
  <r>
    <s v="ORD636UK9KDJ8JBZ"/>
    <n v="241709"/>
    <s v="02/02/2026 14:56"/>
    <x v="3"/>
    <m/>
    <s v="02/02/2026"/>
    <s v="Aprovado"/>
    <n v="1"/>
    <n v="0"/>
    <n v="0"/>
    <m/>
    <n v="0"/>
    <m/>
    <s v="Cortesia"/>
    <s v="cortesia"/>
    <s v="AI for Leaders - 2ª edição - 2025"/>
    <s v="ai-for-leaders-ed2a25"/>
    <s v="Edimilson Antonio Silva"/>
    <s v="01031704647"/>
    <m/>
    <m/>
    <s v="edsilva@tribanco.com.br"/>
    <s v="5534996588182"/>
    <m/>
    <s v="38401280"/>
    <s v="Rua Pixinguinha"/>
    <s v="144"/>
    <m/>
    <s v="Santa Rosa"/>
    <s v="Uberlândia"/>
    <s v="MG"/>
    <s v="Filial(São Paulo)"/>
    <m/>
    <m/>
    <m/>
    <m/>
    <s v="07129de8e22c10211b32be08f0377f6b"/>
    <s v="OFFTRIBANCO"/>
    <s v="Nao"/>
    <x v="0"/>
    <m/>
    <s v="15/05/2025"/>
    <m/>
    <m/>
    <m/>
    <s v="Brasil"/>
    <s v="KAM"/>
    <m/>
    <s v="ID-01031704647"/>
    <m/>
    <m/>
    <x v="1"/>
  </r>
  <r>
    <s v="ORDYEX2UDV4RXQSK"/>
    <n v="241615"/>
    <s v="30/01/2026 20:23"/>
    <x v="4"/>
    <m/>
    <s v="30/01/2026"/>
    <s v="Aprovado"/>
    <n v="1"/>
    <n v="1"/>
    <n v="650.1"/>
    <s v="Braintree"/>
    <n v="650.1"/>
    <s v="28974115835FG8K47E0E"/>
    <s v="Crédito à Vista"/>
    <s v="mastercard"/>
    <s v="RH Leadership Xperience 2026 - Ingresso Explorer"/>
    <s v="evento-rh-ed1a26_explorer"/>
    <s v="Janete Lima Barbosa"/>
    <s v="45587181871"/>
    <m/>
    <m/>
    <s v="janete.barbosa1@br.nestle.com"/>
    <s v="5511982680514"/>
    <m/>
    <s v="04730090"/>
    <s v="Avenida Nacoes Unidas"/>
    <s v="17007"/>
    <s v="28 andar"/>
    <s v="Varzea de Baixo"/>
    <s v="SÃO PAULO"/>
    <s v="SP"/>
    <s v="Filial(São Paulo)"/>
    <m/>
    <m/>
    <m/>
    <m/>
    <s v="b20bd2102c2eac1aa2221df98328a3ba"/>
    <s v="Explorer-NewBrokers"/>
    <s v="Nao"/>
    <x v="7"/>
    <m/>
    <s v="26/03/2026"/>
    <m/>
    <m/>
    <m/>
    <m/>
    <s v="KAM"/>
    <s v="30/01/2026"/>
    <s v="ID-45587181871"/>
    <m/>
    <m/>
    <x v="0"/>
  </r>
  <r>
    <s v="ORDAMOYFQ0JSWLK8"/>
    <n v="241614"/>
    <s v="30/01/2026 20:02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Elemer Ricardo Castro Carneiro"/>
    <s v="42838657100"/>
    <m/>
    <m/>
    <s v="elemer@tribanco.com.br"/>
    <s v="5561992729741"/>
    <m/>
    <s v="73105909"/>
    <s v="Condomínio Vivendas Bela Vista D 04"/>
    <s v="4"/>
    <s v="D 04"/>
    <s v="Grande Colorado (Sobradinho)"/>
    <s v="Brasília"/>
    <s v="DF"/>
    <s v="Filial(São Paulo)"/>
    <m/>
    <m/>
    <m/>
    <m/>
    <s v="e1a450653ec86140bbe9760c1dc53eec"/>
    <s v="OFFTRIBANCO"/>
    <s v="Nao"/>
    <x v="0"/>
    <m/>
    <s v="15/05/2025"/>
    <m/>
    <m/>
    <m/>
    <s v="Brasil"/>
    <s v="KAM"/>
    <m/>
    <s v="ID-42838657100"/>
    <m/>
    <m/>
    <x v="1"/>
  </r>
  <r>
    <s v="COM697D30D07C4B3"/>
    <n v="241613"/>
    <s v="30/01/2026 19:29"/>
    <x v="4"/>
    <m/>
    <s v="31/01/2026"/>
    <s v="Aprovado"/>
    <n v="6"/>
    <n v="1"/>
    <n v="197400"/>
    <s v="Boleto Bradesco"/>
    <n v="197400"/>
    <s v=""/>
    <s v="Boleto"/>
    <s v="boleto"/>
    <s v="Pré Pago - Melhor Escolha - China Xperience"/>
    <s v="melhor-escolha-china-xperience_pre"/>
    <s v="Amanda Pietro"/>
    <m/>
    <s v="04.088.208/0001-65"/>
    <s v="SEM PARAR INSTITUICAO DE PAGAMENTO LTDA"/>
    <s v="amanda.pietro@corpay.com.br"/>
    <s v="11976111062"/>
    <s v="1145732300"/>
    <s v="05425902"/>
    <s v="Avenida Dra Ruth Cardoso"/>
    <s v="7221"/>
    <s v="Andar 17 18 19 e 26 Parte"/>
    <s v="Pinheiros"/>
    <s v="São Paulo"/>
    <s v="SP"/>
    <s v="Turismo - 50%"/>
    <s v="6 Vagas Imersão China Maio | Turma aberta"/>
    <m/>
    <m/>
    <m/>
    <s v="7b3c5c8dc91934c361ddcb76bfc0fc88"/>
    <m/>
    <s v="Nao"/>
    <x v="0"/>
    <m/>
    <s v="01/01/2099"/>
    <m/>
    <m/>
    <s v="https://loja.startse.com.br//processamento/fatura/7b3c5c8dc91934c361ddcb76bfc0fc88"/>
    <m/>
    <s v="KAM"/>
    <s v="01/12/2017"/>
    <s v="ID-04088208000165"/>
    <s v="Aguardando recebimento"/>
    <m/>
    <x v="3"/>
  </r>
  <r>
    <s v="COM697D2DE0BB0C4"/>
    <n v="241611"/>
    <s v="30/01/2026 19:17"/>
    <x v="4"/>
    <m/>
    <s v="31/01/2026"/>
    <s v="Aprovado"/>
    <n v="3"/>
    <n v="1"/>
    <n v="88290"/>
    <s v="Boleto Bradesco"/>
    <n v="88290"/>
    <s v=""/>
    <s v="Boleto"/>
    <s v="boleto"/>
    <s v="China Xperience Health Edition"/>
    <s v="china-xperience-ed11a26"/>
    <s v="Laura Rios Di Cicco"/>
    <m/>
    <s v="61.190.096/0008-69"/>
    <s v="EUROFARMA LABORATORIOS S.A."/>
    <s v="laura.cicco@eurofarma.com"/>
    <s v="11995637301"/>
    <s v="1150908600"/>
    <s v="06696000"/>
    <s v="PRESIDENTE CASTELO BRANCO"/>
    <s v="3565"/>
    <m/>
    <s v="INGAHI"/>
    <s v="Itapevi"/>
    <s v="SP"/>
    <s v="Turismo - 50%"/>
    <s v="3 Vagas Imersão China Health | 01 a 05/06/2026_x000a_Nº / Data Emissão_x000a_4500838273 / 20.01.2026"/>
    <m/>
    <m/>
    <m/>
    <s v="528ed7aca6c35f5ff13dada7fbed2b70"/>
    <m/>
    <s v="Nao"/>
    <x v="0"/>
    <m/>
    <s v="01/06/2026"/>
    <m/>
    <m/>
    <s v="https://loja.startse.com.br//processamento/fatura/528ed7aca6c35f5ff13dada7fbed2b70"/>
    <s v="China"/>
    <s v="KAM"/>
    <s v="30/01/2026"/>
    <s v="ID-61190096000869"/>
    <s v="Aguardando recebimento"/>
    <m/>
    <x v="2"/>
  </r>
  <r>
    <s v="COM697D1E1BCBFE9"/>
    <n v="241602"/>
    <s v="30/01/2026 18:09"/>
    <x v="4"/>
    <m/>
    <s v="30/01/2026"/>
    <s v="Aprovado"/>
    <n v="1"/>
    <n v="1"/>
    <n v="225000"/>
    <m/>
    <n v="633487.5"/>
    <s v=""/>
    <s v="TED"/>
    <s v="ted"/>
    <s v="IRB - AI SPRINT"/>
    <s v="consulting-ai-sprint-ed2a26_pagamento-01"/>
    <s v="Guilherme Coelho Neves"/>
    <m/>
    <s v="33.376.989/0001-91"/>
    <s v="IRB-BRASIL RESSEGUROS S.A."/>
    <s v="guilherme.neves@irbre.com"/>
    <s v="21987828821"/>
    <s v="2122720806"/>
    <s v="20031170"/>
    <s v="REPUBLICA DO CHILE"/>
    <s v="330"/>
    <s v="TORRE LESTE 3 E 4 ANDAR"/>
    <s v="CENTRO"/>
    <s v="Rio de Janeiro"/>
    <s v="RJ"/>
    <s v="Filial(São Paulo)"/>
    <s v="IRB - AI SPRINT"/>
    <m/>
    <m/>
    <m/>
    <s v="dca69965bc214cf65cbed37a43ff9512"/>
    <m/>
    <s v="Nao"/>
    <x v="6"/>
    <m/>
    <s v="31/12/2099"/>
    <m/>
    <m/>
    <m/>
    <m/>
    <s v="KAM"/>
    <s v="24/11/2018"/>
    <s v="ID-33376989000191"/>
    <s v="Aguardando recebimento"/>
    <m/>
    <x v="2"/>
  </r>
  <r>
    <s v="COM697D1E1BCBFE9"/>
    <n v="241602"/>
    <s v="30/01/2026 18:09"/>
    <x v="4"/>
    <m/>
    <s v="30/01/2026"/>
    <s v="Aprovado"/>
    <n v="1"/>
    <n v="1"/>
    <n v="225000"/>
    <m/>
    <n v="633487.5"/>
    <s v=""/>
    <s v="TED"/>
    <s v="ted"/>
    <s v="IRB - AI SPRINT"/>
    <s v="consulting-ai-sprint-ed2a26_pagamento-02"/>
    <s v="Guilherme Coelho Neves"/>
    <m/>
    <s v="33.376.989/0001-91"/>
    <s v="IRB-BRASIL RESSEGUROS S.A."/>
    <s v="guilherme.neves@irbre.com"/>
    <s v="21987828821"/>
    <s v="2122720806"/>
    <s v="20031170"/>
    <s v="REPUBLICA DO CHILE"/>
    <s v="330"/>
    <s v="TORRE LESTE 3 E 4 ANDAR"/>
    <s v="CENTRO"/>
    <s v="Rio de Janeiro"/>
    <s v="RJ"/>
    <s v="Filial(São Paulo)"/>
    <s v="IRB - AI SPRINT"/>
    <m/>
    <m/>
    <m/>
    <s v="dca69965bc214cf65cbed37a43ff9512"/>
    <m/>
    <s v="Nao"/>
    <x v="6"/>
    <m/>
    <s v="31/12/2099"/>
    <m/>
    <m/>
    <m/>
    <m/>
    <s v="KAM"/>
    <s v="24/11/2018"/>
    <s v="ID-33376989000191"/>
    <s v="Aguardando recebimento"/>
    <m/>
    <x v="2"/>
  </r>
  <r>
    <s v="COM697D1E1BCBFE9"/>
    <n v="241602"/>
    <s v="30/01/2026 18:09"/>
    <x v="4"/>
    <m/>
    <s v="30/01/2026"/>
    <s v="Aprovado"/>
    <n v="1"/>
    <n v="1"/>
    <n v="225000"/>
    <m/>
    <n v="633487.5"/>
    <s v=""/>
    <s v="TED"/>
    <s v="ted"/>
    <s v="IRB - AI SPRINT"/>
    <s v="consulting-ai-sprint-ed2a26_pagamento-03"/>
    <s v="Guilherme Coelho Neves"/>
    <m/>
    <s v="33.376.989/0001-91"/>
    <s v="IRB-BRASIL RESSEGUROS S.A."/>
    <s v="guilherme.neves@irbre.com"/>
    <s v="21987828821"/>
    <s v="2122720806"/>
    <s v="20031170"/>
    <s v="REPUBLICA DO CHILE"/>
    <s v="330"/>
    <s v="TORRE LESTE 3 E 4 ANDAR"/>
    <s v="CENTRO"/>
    <s v="Rio de Janeiro"/>
    <s v="RJ"/>
    <s v="Filial(São Paulo)"/>
    <s v="IRB - AI SPRINT"/>
    <m/>
    <m/>
    <m/>
    <s v="dca69965bc214cf65cbed37a43ff9512"/>
    <m/>
    <s v="Nao"/>
    <x v="6"/>
    <m/>
    <s v="31/12/2099"/>
    <m/>
    <m/>
    <m/>
    <m/>
    <s v="KAM"/>
    <s v="24/11/2018"/>
    <s v="ID-33376989000191"/>
    <s v="Aguardando recebimento"/>
    <m/>
    <x v="2"/>
  </r>
  <r>
    <s v="COM697D16781734A"/>
    <n v="241593"/>
    <s v="30/01/2026 17:37"/>
    <x v="4"/>
    <m/>
    <s v="30/01/2026"/>
    <s v="Aprovado"/>
    <n v="45"/>
    <n v="1"/>
    <n v="325675"/>
    <m/>
    <n v="305645.99"/>
    <s v=""/>
    <s v="TED"/>
    <s v="ted"/>
    <s v="Volkswagen - Contrato Guarda-chuva"/>
    <s v="corporate-melhor-escolha-ed5a26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Volkswagen - Contrato Guarda-chuva Observação de solicitação de cancelamento: Guid precisou ser cancelada pois criamos uma NOVA com o valor de desconto aplicado conforme vendedor deu na proposta comercial"/>
    <m/>
    <m/>
    <m/>
    <s v="15facb4cc90bac146f4f67468788337b"/>
    <m/>
    <s v="Nao"/>
    <x v="6"/>
    <m/>
    <s v="31/12/2099"/>
    <m/>
    <m/>
    <m/>
    <m/>
    <s v="KAM"/>
    <s v="05/06/2019"/>
    <s v="ID-59104422005704"/>
    <s v="Aguardando recebimento"/>
    <m/>
    <x v="2"/>
  </r>
  <r>
    <s v="COM699EE994611F0"/>
    <n v="243356"/>
    <s v="30/01/2026 17:37"/>
    <x v="4"/>
    <m/>
    <s v="25/02/2026"/>
    <s v="Aprovado"/>
    <n v="45"/>
    <n v="1"/>
    <n v="80000"/>
    <s v="Boleto Bradesco"/>
    <n v="75080"/>
    <s v=""/>
    <s v="Boleto"/>
    <s v="boleto"/>
    <s v="Workshop Marketing | Volkswagen"/>
    <s v="corporate-workshop-ed16a26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Workshop Marketing LAM | Volkswagen"/>
    <m/>
    <m/>
    <m/>
    <s v="bdfcf9cf9ea82b1c4b13c8d3013378b8"/>
    <m/>
    <s v="Nao"/>
    <x v="6"/>
    <m/>
    <s v="25/02/2026"/>
    <m/>
    <m/>
    <m/>
    <m/>
    <s v="KAM"/>
    <s v="05/06/2019"/>
    <s v="ID-59104422005704"/>
    <s v="Pago"/>
    <m/>
    <x v="0"/>
  </r>
  <r>
    <s v="COM69B9C41CAFD18"/>
    <n v="244940"/>
    <s v="30/01/2026 17:37"/>
    <x v="4"/>
    <m/>
    <s v="18/03/2026"/>
    <s v="Aprovado"/>
    <n v="174"/>
    <n v="1"/>
    <n v="156000"/>
    <s v="Boleto Bradesco"/>
    <n v="146406"/>
    <s v=""/>
    <s v="Boleto"/>
    <s v="boleto"/>
    <s v="Workshop SLD | Volkswagen"/>
    <s v="corporate-workshop-ed20a26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Workshop SLD - 1 dia - Volkswagen LAM"/>
    <m/>
    <m/>
    <m/>
    <s v="406b5f79d42be7d12567f027449034eb"/>
    <m/>
    <s v="Nao"/>
    <x v="6"/>
    <m/>
    <s v="26/03/2026"/>
    <m/>
    <m/>
    <m/>
    <m/>
    <s v="KAM"/>
    <s v="05/06/2019"/>
    <s v="ID-59104422005704"/>
    <s v="Pago"/>
    <m/>
    <x v="0"/>
  </r>
  <r>
    <s v="COM69BA993276F2C"/>
    <n v="244959"/>
    <s v="30/01/2026 17:37"/>
    <x v="4"/>
    <m/>
    <s v="18/03/2026"/>
    <s v="Aprovado"/>
    <n v="15"/>
    <n v="1"/>
    <n v="20325"/>
    <s v="Boleto Bradesco"/>
    <n v="19075.009999999998"/>
    <s v=""/>
    <s v="Boleto"/>
    <s v="boleto"/>
    <s v="RH Leadership Xperience 2026 - Ingresso Interactive"/>
    <s v="evento-rh-ed1a26_interactive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RH Leadership Xperience 2026 - Ingresso Interactive"/>
    <m/>
    <m/>
    <m/>
    <s v="c1a4342fcb6f84323fe943e26c21cbcd"/>
    <m/>
    <s v="Nao"/>
    <x v="6"/>
    <m/>
    <s v="26/03/2026"/>
    <m/>
    <m/>
    <m/>
    <m/>
    <s v="KAM"/>
    <s v="05/06/2019"/>
    <s v="ID-59104422005704"/>
    <s v="Pago"/>
    <m/>
    <x v="0"/>
  </r>
  <r>
    <s v="COM69F2180C2E086"/>
    <n v="248255"/>
    <s v="30/01/2026 17:37"/>
    <x v="4"/>
    <m/>
    <s v="29/04/2026"/>
    <s v="Aprovado"/>
    <n v="6"/>
    <n v="1"/>
    <n v="96000"/>
    <m/>
    <n v="90096"/>
    <s v=""/>
    <s v="TED"/>
    <s v="ted"/>
    <s v="Volkswagen - Contrato Guarda-chuva"/>
    <s v="corporate-melhor-escolha-ed5a26_entrega1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6 vagas do StartSe Executive Program"/>
    <m/>
    <m/>
    <m/>
    <s v="0b514feda63864006a30aac7db417a90"/>
    <m/>
    <s v="Nao"/>
    <x v="6"/>
    <m/>
    <s v="27/04/2099"/>
    <m/>
    <m/>
    <m/>
    <m/>
    <s v="KAM"/>
    <s v="05/06/2019"/>
    <s v="ID-59104422005704"/>
    <s v="Aguardando recebimento"/>
    <m/>
    <x v="2"/>
  </r>
  <r>
    <s v="COM69F2197529B4C"/>
    <n v="248257"/>
    <s v="30/01/2026 17:37"/>
    <x v="4"/>
    <m/>
    <s v="29/04/2026"/>
    <s v="Aprovado"/>
    <n v="60"/>
    <n v="1"/>
    <n v="132000"/>
    <m/>
    <n v="123882"/>
    <s v=""/>
    <s v="TED"/>
    <s v="ted"/>
    <s v="Volkswagen - Contrato Guarda-chuva"/>
    <s v="corporate-melhor-escolha-ed5a26_entrega2"/>
    <s v="Tatiana Costa"/>
    <m/>
    <s v="59.104.422/0057-04"/>
    <s v="VOLKSWAGEN DO BRASIL INDUSTRIA DE VEICULOS AUTOMOTORES LTDA"/>
    <s v="tatiana.costa@volkswagen.com.br"/>
    <s v="11953337929"/>
    <s v="1143474796"/>
    <s v="09823901"/>
    <s v="MARGINAL DA VIA ANCHIETA"/>
    <s v="S/N"/>
    <s v="KM 23,5"/>
    <s v="DEMARCHI"/>
    <s v="São Bernardo do Campo"/>
    <s v="SP"/>
    <s v="Filial(São Paulo)"/>
    <s v="60 vagas do IA para Negócios - StartSe"/>
    <m/>
    <m/>
    <m/>
    <s v="b8615f0d5dbcb36a46d5bbb102b4a7dd"/>
    <m/>
    <s v="Nao"/>
    <x v="6"/>
    <m/>
    <s v="27/04/2099"/>
    <m/>
    <m/>
    <m/>
    <m/>
    <s v="KAM"/>
    <s v="05/06/2019"/>
    <s v="ID-59104422005704"/>
    <s v="Aguardando recebimento"/>
    <m/>
    <x v="2"/>
  </r>
  <r>
    <s v="ORDCXZQW4M0VHHSJ"/>
    <n v="241591"/>
    <s v="30/01/2026 17:35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maria j p da silva"/>
    <s v="93632134472"/>
    <m/>
    <m/>
    <s v="mjsilva@tribanco.com.br"/>
    <s v="5583981898138"/>
    <m/>
    <s v="50721290"/>
    <s v="Rio Capibaribe N"/>
    <s v="340"/>
    <s v="cs 01"/>
    <s v="Cordeiro"/>
    <s v="Recife"/>
    <s v="PE"/>
    <s v="Filial(São Paulo)"/>
    <m/>
    <m/>
    <m/>
    <m/>
    <s v="89ec6110ed54102823db16cfa93311b8"/>
    <s v="OFFTRIBANCO"/>
    <s v="Nao"/>
    <x v="0"/>
    <m/>
    <s v="15/05/2025"/>
    <m/>
    <m/>
    <m/>
    <s v="Brasil"/>
    <s v="KAM"/>
    <m/>
    <s v="ID-93632134472"/>
    <m/>
    <m/>
    <x v="1"/>
  </r>
  <r>
    <s v="ORDE7LTLVASPANZB"/>
    <n v="241581"/>
    <s v="30/01/2026 17:24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KARINA TOBIAS DA SILVA MELO"/>
    <s v="03928431617"/>
    <m/>
    <m/>
    <s v="karinam@tribancoseguros.com.br"/>
    <s v="5534999760393"/>
    <m/>
    <s v="38411358"/>
    <s v="Rua Aracaty"/>
    <s v="140"/>
    <m/>
    <s v="Jardim Karaíba"/>
    <s v="Uberlândia"/>
    <s v="MG"/>
    <s v="Filial(São Paulo)"/>
    <m/>
    <m/>
    <m/>
    <m/>
    <s v="7971124db698e786a6ef094464fe690f"/>
    <s v="OFFTRIBANCO"/>
    <s v="Nao"/>
    <x v="0"/>
    <m/>
    <s v="15/05/2025"/>
    <m/>
    <m/>
    <m/>
    <s v="Brasil"/>
    <s v="KAM"/>
    <m/>
    <s v="ID-03928431617"/>
    <m/>
    <m/>
    <x v="1"/>
  </r>
  <r>
    <s v="ORD2GDDRSCZ11XE7"/>
    <n v="241575"/>
    <s v="30/01/2026 17:13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Hilejhanne de Paula Alves"/>
    <s v="04739621606"/>
    <m/>
    <m/>
    <s v="halves@tribancoseguros.com.br"/>
    <s v="5534998129500"/>
    <m/>
    <s v="38408648"/>
    <s v="Rua Leopoldo Bulhões"/>
    <s v="274"/>
    <m/>
    <s v="Pampulha"/>
    <s v="Uberlândia"/>
    <s v="MG"/>
    <s v="Filial(São Paulo)"/>
    <m/>
    <m/>
    <m/>
    <m/>
    <s v="1de57782da86ed37d681cd7f938377f6"/>
    <s v="OFFTRIBANCO"/>
    <s v="Nao"/>
    <x v="0"/>
    <m/>
    <s v="15/05/2025"/>
    <m/>
    <m/>
    <m/>
    <s v="Brasil"/>
    <s v="KAM"/>
    <m/>
    <s v="ID-04739621606"/>
    <m/>
    <m/>
    <x v="1"/>
  </r>
  <r>
    <s v="ORDK5YMSA5VFU61K"/>
    <n v="241570"/>
    <s v="30/01/2026 16:35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Vinicius Serafim dos Anjos"/>
    <s v="95094083104"/>
    <m/>
    <m/>
    <s v="vserafim@tribanco.com.br"/>
    <s v="5562999515595"/>
    <m/>
    <s v="74922305"/>
    <s v="Rua X 35"/>
    <m/>
    <s v="Qd 20 Lt 43"/>
    <s v="Jardim Olímpico"/>
    <s v="Aparecida de Goiânia"/>
    <s v="GO"/>
    <s v="Filial(São Paulo)"/>
    <m/>
    <m/>
    <m/>
    <m/>
    <s v="2c7e7b554559cf7154e83e3c91242799"/>
    <s v="OFFTRIBANCO"/>
    <s v="Nao"/>
    <x v="0"/>
    <m/>
    <s v="15/05/2025"/>
    <m/>
    <m/>
    <m/>
    <s v="Brasil"/>
    <s v="KAM"/>
    <s v="24/04/2023"/>
    <s v="ID-95094083104"/>
    <m/>
    <m/>
    <x v="1"/>
  </r>
  <r>
    <s v="ORDCZA6JRR88QHHT"/>
    <n v="241569"/>
    <s v="30/01/2026 16:34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Alfeu de Olveira Jácome"/>
    <s v="82803471604"/>
    <m/>
    <m/>
    <s v="alfeu@tricard.com.br"/>
    <s v="5534999919329"/>
    <m/>
    <s v="38408268"/>
    <s v="Rua Lourdes de Carvalho"/>
    <s v="1615"/>
    <m/>
    <s v="Segismundo Pereira"/>
    <s v="Uberlândia"/>
    <s v="MG"/>
    <s v="Filial(São Paulo)"/>
    <m/>
    <m/>
    <m/>
    <m/>
    <s v="6a458e336358a3123fad25398ab569be"/>
    <s v="OFFTRIBANCO"/>
    <s v="Nao"/>
    <x v="0"/>
    <m/>
    <s v="15/05/2025"/>
    <m/>
    <m/>
    <m/>
    <s v="Brasil"/>
    <s v="KAM"/>
    <m/>
    <s v="ID-82803471604"/>
    <m/>
    <m/>
    <x v="1"/>
  </r>
  <r>
    <s v="ORDCG93FN167RQG5"/>
    <n v="241567"/>
    <s v="30/01/2026 16:31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ELIPE PITHAN"/>
    <s v="96143070059"/>
    <m/>
    <m/>
    <s v="fpithan@tribanco.com.br"/>
    <s v="5548991260488"/>
    <m/>
    <s v="88025000"/>
    <s v="Rua Frei Caneca"/>
    <s v="14"/>
    <s v="802"/>
    <s v="Agronômica"/>
    <s v="Florianópolis"/>
    <s v="SC"/>
    <s v="Filial(São Paulo)"/>
    <m/>
    <m/>
    <m/>
    <m/>
    <s v="939ccc4d54b39f6115fdb009dab6f857"/>
    <s v="OFFTRIBANCO"/>
    <s v="Nao"/>
    <x v="0"/>
    <m/>
    <s v="15/05/2025"/>
    <m/>
    <m/>
    <m/>
    <s v="Brasil"/>
    <s v="KAM"/>
    <m/>
    <s v="ID-96143070059"/>
    <m/>
    <m/>
    <x v="1"/>
  </r>
  <r>
    <s v="ORDG555MR1VE0LH9"/>
    <n v="241565"/>
    <s v="30/01/2026 16:28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Alfeu de Olveira Jácome"/>
    <s v="82803471604"/>
    <m/>
    <m/>
    <s v="alfeu@tribanco.com.br"/>
    <s v="5534999919329"/>
    <m/>
    <s v="38408268"/>
    <s v="Rua Lourdes de Carvalho"/>
    <s v="1615"/>
    <m/>
    <s v="Segismundo Pereira"/>
    <s v="Uberlândia"/>
    <s v="MG"/>
    <s v="Filial(São Paulo)"/>
    <m/>
    <m/>
    <m/>
    <m/>
    <s v="c72df346099e62d037d35f25459bdc57"/>
    <s v="OFFTRIBANCO"/>
    <s v="Nao"/>
    <x v="0"/>
    <m/>
    <s v="15/05/2025"/>
    <m/>
    <m/>
    <m/>
    <s v="Brasil"/>
    <s v="KAM"/>
    <m/>
    <s v="ID-82803471604"/>
    <m/>
    <m/>
    <x v="1"/>
  </r>
  <r>
    <s v="ORDQUPBZ2PTI14OD"/>
    <n v="241564"/>
    <s v="30/01/2026 16:16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Germano Miranda Duarte"/>
    <s v="00404264166"/>
    <m/>
    <m/>
    <s v="gduarte@tribanco.com.br"/>
    <s v="5534988298768"/>
    <m/>
    <s v="38405358"/>
    <s v="Rua Maria José Durães"/>
    <s v="350"/>
    <m/>
    <s v="Alto Umuarama"/>
    <s v="Uberlândia"/>
    <s v="MG"/>
    <s v="Filial(São Paulo)"/>
    <m/>
    <m/>
    <m/>
    <m/>
    <s v="cf02fe84c6c25d43439f1afb2aaed7ab"/>
    <s v="OFFTRIBANCO"/>
    <s v="Nao"/>
    <x v="0"/>
    <m/>
    <s v="15/05/2025"/>
    <m/>
    <m/>
    <m/>
    <s v="Brasil"/>
    <s v="KAM"/>
    <m/>
    <s v="ID-00404264166"/>
    <m/>
    <m/>
    <x v="1"/>
  </r>
  <r>
    <s v="ORDH45D8S146LQL6"/>
    <n v="241563"/>
    <s v="30/01/2026 16:11"/>
    <x v="4"/>
    <m/>
    <s v="30/01/2026"/>
    <s v="Aprovado"/>
    <n v="1"/>
    <n v="1"/>
    <n v="650.1"/>
    <s v="Braintree"/>
    <n v="650.1"/>
    <s v="28974115835FG8JO2CAE"/>
    <s v="Crédito à Vista"/>
    <s v="mastercard"/>
    <s v="RH Leadership Xperience 2026 - Ingresso Explorer"/>
    <s v="evento-rh-ed1a26_explorer"/>
    <s v="Fabiana Esteves"/>
    <s v="41725126826"/>
    <m/>
    <m/>
    <s v="fabiana.esteves@br.nestle.com"/>
    <s v="5511963276989"/>
    <m/>
    <s v="04043400"/>
    <s v="Rua Luís Góis"/>
    <s v="2073"/>
    <s v="Gerente de Talent Aquisition &amp;amp;amp; Employer Branding"/>
    <s v="Mirandópolis"/>
    <s v="São Paulo"/>
    <s v="SP"/>
    <s v="Filial(São Paulo)"/>
    <m/>
    <m/>
    <m/>
    <m/>
    <s v="a6c599e4399ddc743be141883557c42f"/>
    <s v="Explorer-NewBrokers"/>
    <s v="Nao"/>
    <x v="7"/>
    <m/>
    <s v="26/03/2026"/>
    <m/>
    <m/>
    <m/>
    <m/>
    <s v="KAM"/>
    <s v="24/03/2025"/>
    <s v="ID-41725126826"/>
    <m/>
    <m/>
    <x v="0"/>
  </r>
  <r>
    <s v="ORDHZ0CKO1FCUD18"/>
    <n v="241562"/>
    <s v="30/01/2026 16:11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RODRIGO LINS"/>
    <s v="22741714835"/>
    <m/>
    <m/>
    <s v="rlins@tribanco.com.br"/>
    <s v="5511999210489"/>
    <m/>
    <s v="38400696"/>
    <s v="CESARIO ALVIM,"/>
    <s v="2209"/>
    <s v="."/>
    <s v="APARECIDA"/>
    <s v="Uberlândia"/>
    <s v="MG"/>
    <s v="Filial(São Paulo)"/>
    <m/>
    <m/>
    <m/>
    <m/>
    <s v="60ac3d4dd088fab3a39880fcbf74f9bb"/>
    <s v="OFFTRIBANCO"/>
    <s v="Nao"/>
    <x v="0"/>
    <m/>
    <s v="15/05/2025"/>
    <m/>
    <m/>
    <m/>
    <s v="Brasil"/>
    <s v="KAM"/>
    <m/>
    <s v="ID-22741714835"/>
    <m/>
    <m/>
    <x v="1"/>
  </r>
  <r>
    <s v="ORDE2GZ60E2YZN7Z"/>
    <n v="241559"/>
    <s v="30/01/2026 16:06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ABIO AUGUSTO LIMA SANTOS"/>
    <s v="00792990404"/>
    <m/>
    <m/>
    <s v="fabioa@tribanco.com.br"/>
    <s v="5582999285060"/>
    <m/>
    <s v="57035250"/>
    <s v="Avenida Senador Rui Palmeira"/>
    <s v="707"/>
    <s v="AP 702"/>
    <s v="Ponta Verde"/>
    <s v="Maceió"/>
    <s v="AL"/>
    <s v="Filial(São Paulo)"/>
    <m/>
    <m/>
    <m/>
    <m/>
    <s v="7e71969fe7c91fd2bce4d2a49da38e8c"/>
    <s v="OFFTRIBANCO"/>
    <s v="Nao"/>
    <x v="0"/>
    <m/>
    <s v="15/05/2025"/>
    <m/>
    <m/>
    <m/>
    <s v="Brasil"/>
    <s v="KAM"/>
    <m/>
    <s v="ID-00792990404"/>
    <m/>
    <m/>
    <x v="1"/>
  </r>
  <r>
    <s v="ORDDN7SY5I3F2COY"/>
    <n v="241556"/>
    <s v="30/01/2026 16:02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ANDERSON MOREIRA ULHÔA"/>
    <s v="04301266623"/>
    <s v="17.351.180/0001-59"/>
    <s v="BANCO TRIANGULO S/A"/>
    <s v="andersmu@tribanco.com.br"/>
    <s v="5534991246015"/>
    <m/>
    <s v="38400696"/>
    <s v="CESARIO ALVIM,"/>
    <s v="2209"/>
    <s v="BANCO"/>
    <s v="APARECIDA"/>
    <s v="Uberlândia"/>
    <s v="MG"/>
    <s v="Filial(São Paulo)"/>
    <m/>
    <m/>
    <m/>
    <m/>
    <s v="d7e9d5f31d3581c3feec07d23c7daf8e"/>
    <s v="OFFTRIBANCO"/>
    <s v="Nao"/>
    <x v="0"/>
    <m/>
    <s v="15/05/2025"/>
    <m/>
    <m/>
    <m/>
    <s v="Brasil"/>
    <s v="KAM"/>
    <s v="06/03/2017"/>
    <s v="ID-17351180000159"/>
    <m/>
    <m/>
    <x v="1"/>
  </r>
  <r>
    <s v="ORDRD5DSNIVCQXCG"/>
    <n v="241555"/>
    <s v="30/01/2026 16:01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Simoniza Lucia Moreira LInhares"/>
    <s v="98647113691"/>
    <s v="17.351.180/0001-59"/>
    <s v="BANCO TRIANGULO S/A"/>
    <s v="simoniza@tribanco.com.br"/>
    <s v="5534999790731"/>
    <m/>
    <s v="38400696"/>
    <s v="CESARIO ALVIM,"/>
    <s v="2209"/>
    <s v="-"/>
    <s v="APARECIDA"/>
    <s v="Uberlândia"/>
    <s v="MG"/>
    <s v="Filial(São Paulo)"/>
    <m/>
    <m/>
    <m/>
    <m/>
    <s v="6c97767dfb4cdfaa37aa1f94d7c5e510"/>
    <s v="OFFTRIBANCO"/>
    <s v="Nao"/>
    <x v="0"/>
    <m/>
    <s v="15/05/2025"/>
    <m/>
    <m/>
    <m/>
    <s v="Brasil"/>
    <s v="KAM"/>
    <s v="06/03/2017"/>
    <s v="ID-17351180000159"/>
    <m/>
    <m/>
    <x v="1"/>
  </r>
  <r>
    <s v="ORD1XN0AJQI72B30"/>
    <n v="241552"/>
    <s v="30/01/2026 15:53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ABIO AUGUSTO LIMA SANTOS"/>
    <s v="00792990404"/>
    <m/>
    <m/>
    <s v="fabioa@tribanco.com.br"/>
    <s v="5582999285060"/>
    <m/>
    <s v="57035250"/>
    <s v="Avenida Senador Rui Palmeira"/>
    <s v="707"/>
    <s v="AP 702"/>
    <s v="Ponta Verde"/>
    <s v="Maceió"/>
    <s v="AL"/>
    <s v="Filial(São Paulo)"/>
    <m/>
    <m/>
    <m/>
    <m/>
    <s v="ea0c883622d2d28b4f2844b92e242b1e"/>
    <s v="OFFTRIBANCO"/>
    <s v="Nao"/>
    <x v="0"/>
    <m/>
    <s v="15/05/2025"/>
    <m/>
    <m/>
    <m/>
    <s v="Brasil"/>
    <s v="KAM"/>
    <m/>
    <s v="ID-00792990404"/>
    <m/>
    <m/>
    <x v="1"/>
  </r>
  <r>
    <s v="COM69D5491D81027"/>
    <n v="246821"/>
    <s v="30/01/2026 15:12"/>
    <x v="4"/>
    <m/>
    <s v="07/04/2026"/>
    <s v="Aprovado"/>
    <n v="3"/>
    <n v="1"/>
    <n v="45000"/>
    <m/>
    <n v="309705"/>
    <s v=""/>
    <s v="TED"/>
    <s v="ted"/>
    <s v="Executive Program - 23 a 25 de Março de 2026"/>
    <s v="executive-program-ed3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1adf53e7ec6ad0a7ad5cd2035aba5c3c"/>
    <m/>
    <s v="Nao"/>
    <x v="6"/>
    <m/>
    <s v="23/03/2026"/>
    <m/>
    <m/>
    <m/>
    <m/>
    <s v="KAM"/>
    <s v="17/04/2018"/>
    <s v="ID-10510590000156"/>
    <s v="Aguardando recebimento"/>
    <m/>
    <x v="3"/>
  </r>
  <r>
    <s v="COM69D5491D81027"/>
    <n v="246821"/>
    <s v="30/01/2026 15:12"/>
    <x v="4"/>
    <m/>
    <s v="07/04/2026"/>
    <s v="Aprovado"/>
    <n v="6"/>
    <n v="1"/>
    <n v="95535"/>
    <m/>
    <n v="309705"/>
    <s v=""/>
    <s v="TED"/>
    <s v="ted"/>
    <s v="Executive Program - 25 a 27 de Maio de 2026"/>
    <s v="executive-program-ed5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1adf53e7ec6ad0a7ad5cd2035aba5c3c"/>
    <m/>
    <s v="Nao"/>
    <x v="6"/>
    <m/>
    <s v="25/05/2026"/>
    <m/>
    <m/>
    <m/>
    <m/>
    <s v="KAM"/>
    <s v="17/04/2018"/>
    <s v="ID-10510590000156"/>
    <s v="Aguardando recebimento"/>
    <m/>
    <x v="3"/>
  </r>
  <r>
    <s v="COM69D5491D81027"/>
    <n v="246821"/>
    <s v="30/01/2026 15:12"/>
    <x v="4"/>
    <m/>
    <s v="07/04/2026"/>
    <s v="Aprovado"/>
    <n v="2"/>
    <n v="1"/>
    <n v="30000"/>
    <m/>
    <n v="309705"/>
    <s v=""/>
    <s v="TED"/>
    <s v="ted"/>
    <s v="Executive Program - 24 a 26 de Agosto de 2026"/>
    <s v="executive-program-ed8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1adf53e7ec6ad0a7ad5cd2035aba5c3c"/>
    <m/>
    <s v="Nao"/>
    <x v="6"/>
    <m/>
    <s v="24/08/2026"/>
    <m/>
    <m/>
    <m/>
    <m/>
    <s v="KAM"/>
    <s v="17/04/2018"/>
    <s v="ID-10510590000156"/>
    <s v="Aguardando recebimento"/>
    <m/>
    <x v="3"/>
  </r>
  <r>
    <s v="COM69D5491D81027"/>
    <n v="246821"/>
    <s v="30/01/2026 15:12"/>
    <x v="4"/>
    <m/>
    <s v="07/04/2026"/>
    <s v="Aprovado"/>
    <n v="9"/>
    <n v="1"/>
    <n v="135000"/>
    <m/>
    <n v="309705"/>
    <s v=""/>
    <s v="TED"/>
    <s v="ted"/>
    <s v="Executive Program - 21 a 23 de Setembro de 2026"/>
    <s v="executive-program-ed9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1adf53e7ec6ad0a7ad5cd2035aba5c3c"/>
    <m/>
    <s v="Nao"/>
    <x v="6"/>
    <m/>
    <s v="21/09/2026"/>
    <m/>
    <m/>
    <m/>
    <m/>
    <s v="KAM"/>
    <s v="17/04/2018"/>
    <s v="ID-10510590000156"/>
    <s v="Aguardando recebimento"/>
    <m/>
    <x v="3"/>
  </r>
  <r>
    <s v="COM69D5491D81027"/>
    <n v="246821"/>
    <s v="30/01/2026 15:12"/>
    <x v="4"/>
    <m/>
    <s v="07/04/2026"/>
    <s v="Aprovado"/>
    <n v="2"/>
    <n v="1"/>
    <n v="31845"/>
    <m/>
    <n v="309705"/>
    <s v=""/>
    <s v="TED"/>
    <s v="ted"/>
    <s v="Executive Program - 09 a 11 de Novembro de 2026"/>
    <s v="executive-program-ed11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1adf53e7ec6ad0a7ad5cd2035aba5c3c"/>
    <m/>
    <s v="Nao"/>
    <x v="6"/>
    <m/>
    <s v="09/11/2026"/>
    <m/>
    <m/>
    <m/>
    <m/>
    <s v="KAM"/>
    <s v="17/04/2018"/>
    <s v="ID-10510590000156"/>
    <s v="Aguardando recebimento"/>
    <m/>
    <x v="3"/>
  </r>
  <r>
    <s v="COM69D54AD6ED8EB"/>
    <n v="246824"/>
    <s v="30/01/2026 15:12"/>
    <x v="4"/>
    <m/>
    <s v="08/04/2026"/>
    <s v="Aprovado"/>
    <n v="1"/>
    <n v="1"/>
    <n v="15000"/>
    <m/>
    <n v="14077.5"/>
    <s v=""/>
    <s v="TED"/>
    <s v="ted"/>
    <s v="Executive Program - 23 a 25 de Março de 2026"/>
    <s v="executive-program-ed3a26"/>
    <s v="Sara Dall Agnol"/>
    <m/>
    <s v="10.510.590/0001-56"/>
    <s v="SERVIÇO NACIONAL DE APRENDIZAGEM DO COOPERATIVISMO DO ESTADO DO RIO GRANDE DO SUL – SESCOOP/RS"/>
    <s v="sara.dallagnol@unimedrs.coop.br"/>
    <s v="51998341876"/>
    <s v="51998341876"/>
    <s v="90040180"/>
    <s v="SANTA TEREZINHA"/>
    <s v="340"/>
    <m/>
    <s v="FARROUPILHA"/>
    <s v="Porto Alegre"/>
    <s v="RS"/>
    <s v="Filial(São Paulo)"/>
    <s v="Executive Program"/>
    <m/>
    <m/>
    <m/>
    <s v="fede3072fd8797c43b44e5567dd3a7f0"/>
    <m/>
    <s v="Nao"/>
    <x v="6"/>
    <m/>
    <s v="23/03/2026"/>
    <m/>
    <m/>
    <m/>
    <m/>
    <s v="KAM"/>
    <s v="17/04/2018"/>
    <s v="ID-10510590000156"/>
    <s v="Pago"/>
    <m/>
    <x v="0"/>
  </r>
  <r>
    <s v="ORDTO2MURYMMDW6I"/>
    <n v="241540"/>
    <s v="30/01/2026 15:12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abio Castro Alves Ribeiro"/>
    <s v="55502660591"/>
    <m/>
    <m/>
    <s v="fribeiro@tribanco.com.br"/>
    <s v="5561992581807"/>
    <m/>
    <s v="70683265"/>
    <s v="Quadra SQNW 103 Bloco C"/>
    <s v="504"/>
    <m/>
    <s v="Setor Noroeste"/>
    <s v="Brasília"/>
    <s v="DF"/>
    <s v="Filial(São Paulo)"/>
    <m/>
    <m/>
    <m/>
    <m/>
    <s v="f96d19db2e69301e1b0a81b0f98b196b"/>
    <s v="OFFTRIBANCO"/>
    <s v="Nao"/>
    <x v="0"/>
    <m/>
    <s v="15/05/2025"/>
    <m/>
    <m/>
    <m/>
    <s v="Brasil"/>
    <s v="KAM"/>
    <s v="09/10/2025"/>
    <s v="ID-55502660591"/>
    <m/>
    <m/>
    <x v="1"/>
  </r>
  <r>
    <s v="COM697CF0326A6FD"/>
    <n v="241536"/>
    <s v="30/01/2026 14:53"/>
    <x v="4"/>
    <m/>
    <s v="30/01/2026"/>
    <s v="Aprovado"/>
    <n v="1"/>
    <n v="1"/>
    <n v="0"/>
    <m/>
    <n v="0"/>
    <s v=""/>
    <s v="Cortesia"/>
    <s v="cortesia"/>
    <s v="AI for Leaders - 2025"/>
    <s v="ai-for-leaders-ed1a25"/>
    <s v="Denys Soares"/>
    <s v="16590348847"/>
    <m/>
    <m/>
    <s v="denys.gmotors@gmail.com"/>
    <s v="5511972622485"/>
    <m/>
    <s v="09521-300"/>
    <s v="Avenida Goiás"/>
    <s v="1805"/>
    <m/>
    <s v="Santo Antônio"/>
    <s v="São Caetano do Sul"/>
    <s v="SP"/>
    <s v="Filial(São Paulo)"/>
    <s v="Denys GM"/>
    <m/>
    <m/>
    <m/>
    <s v="424a4e903eff9e40b9d3010c0c14c533"/>
    <m/>
    <s v="Nao"/>
    <x v="10"/>
    <m/>
    <s v="21/01/2025"/>
    <m/>
    <m/>
    <m/>
    <s v="Brasil"/>
    <s v="KAM"/>
    <m/>
    <s v="ID-16590348847"/>
    <m/>
    <m/>
    <x v="1"/>
  </r>
  <r>
    <s v="COM697CEAA79DD1A"/>
    <n v="241531"/>
    <s v="30/01/2026 14:30"/>
    <x v="4"/>
    <m/>
    <s v="30/01/2026"/>
    <s v="Aprovado"/>
    <n v="60"/>
    <n v="1"/>
    <n v="0"/>
    <s v="Boleto Bradesco"/>
    <n v="403555"/>
    <s v=""/>
    <s v="Boleto"/>
    <s v="boleto"/>
    <s v="Imersão São Paulo_Ipiranga_Jornada."/>
    <s v="corporate-jornada-ed8a26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Imersão São Paulo_Ipiranga"/>
    <m/>
    <m/>
    <m/>
    <s v="a8a3cd40b74bd3cc97820ff68608ef48"/>
    <m/>
    <s v="Nao"/>
    <x v="4"/>
    <m/>
    <s v="19/08/2026"/>
    <m/>
    <m/>
    <m/>
    <m/>
    <s v="KAM"/>
    <s v="08/11/2016"/>
    <s v="ID-33337122000127"/>
    <s v="Aguardando recebimento"/>
    <m/>
    <x v="2"/>
  </r>
  <r>
    <s v="COM697CEAA79DD1A"/>
    <n v="241531"/>
    <s v="30/01/2026 14:30"/>
    <x v="4"/>
    <m/>
    <s v="30/01/2026"/>
    <s v="Aprovado"/>
    <n v="1"/>
    <n v="1"/>
    <n v="172000"/>
    <s v="Boleto Bradesco"/>
    <n v="403555"/>
    <s v=""/>
    <s v="Boleto"/>
    <s v="boleto"/>
    <s v="Imersão São Paulo_Ipiranga_Jornada - Pagamento 01"/>
    <s v="corporate-jornada-ed8a26_pagamento-01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Imersão São Paulo_Ipiranga"/>
    <m/>
    <m/>
    <m/>
    <s v="a8a3cd40b74bd3cc97820ff68608ef48"/>
    <m/>
    <s v="Nao"/>
    <x v="4"/>
    <m/>
    <s v="19/08/2026"/>
    <m/>
    <m/>
    <m/>
    <m/>
    <s v="KAM"/>
    <s v="08/11/2016"/>
    <s v="ID-33337122000127"/>
    <s v="Aguardando recebimento"/>
    <m/>
    <x v="2"/>
  </r>
  <r>
    <s v="COM697CEAA79DD1A"/>
    <n v="241531"/>
    <s v="30/01/2026 14:30"/>
    <x v="4"/>
    <m/>
    <s v="30/01/2026"/>
    <s v="Aprovado"/>
    <n v="1"/>
    <n v="1"/>
    <n v="258000"/>
    <s v="Boleto Bradesco"/>
    <n v="403555"/>
    <s v=""/>
    <s v="Boleto"/>
    <s v="boleto"/>
    <s v="Imersão São Paulo_Ipiranga_Jornada - Pagamento 02"/>
    <s v="corporate-jornada-ed8a26_pagamento-02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Imersão São Paulo_Ipiranga"/>
    <m/>
    <m/>
    <m/>
    <s v="a8a3cd40b74bd3cc97820ff68608ef48"/>
    <m/>
    <s v="Nao"/>
    <x v="4"/>
    <m/>
    <s v="19/08/2026"/>
    <m/>
    <m/>
    <m/>
    <m/>
    <s v="KAM"/>
    <s v="08/11/2016"/>
    <s v="ID-33337122000127"/>
    <s v="Aguardando recebimento"/>
    <m/>
    <x v="2"/>
  </r>
  <r>
    <s v="COM697CE93E86AF7"/>
    <n v="241529"/>
    <s v="30/01/2026 14:24"/>
    <x v="4"/>
    <m/>
    <s v="30/01/2026"/>
    <s v="Aprovado"/>
    <n v="60"/>
    <n v="1"/>
    <n v="0"/>
    <s v="Boleto Bradesco"/>
    <n v="206470"/>
    <s v=""/>
    <s v="Boleto"/>
    <s v="boleto"/>
    <s v="Liderança Feminina - IPIRANGA"/>
    <s v="corporate-jornada-ed9a26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Liderança Feminina - IPIRANGA"/>
    <m/>
    <m/>
    <m/>
    <s v="0b614662b341ff6b9c2b70b2e44562d8"/>
    <m/>
    <s v="Nao"/>
    <x v="4"/>
    <m/>
    <s v="27/04/2026"/>
    <m/>
    <m/>
    <m/>
    <m/>
    <s v="KAM"/>
    <s v="08/11/2016"/>
    <s v="ID-33337122000127"/>
    <s v="Aguardando recebimento"/>
    <m/>
    <x v="2"/>
  </r>
  <r>
    <s v="COM697CE93E86AF7"/>
    <n v="241529"/>
    <s v="30/01/2026 14:24"/>
    <x v="4"/>
    <m/>
    <s v="30/01/2026"/>
    <s v="Aprovado"/>
    <n v="1"/>
    <n v="1"/>
    <n v="88000"/>
    <s v="Boleto Bradesco"/>
    <n v="206470"/>
    <s v=""/>
    <s v="Boleto"/>
    <s v="boleto"/>
    <s v="Liderança Feminina - IPIRANGA - Pagamento 01"/>
    <s v="corporate-jornada-ed9a26_pagamento-01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Liderança Feminina - IPIRANGA"/>
    <m/>
    <m/>
    <m/>
    <s v="0b614662b341ff6b9c2b70b2e44562d8"/>
    <m/>
    <s v="Nao"/>
    <x v="4"/>
    <m/>
    <s v="27/04/2026"/>
    <m/>
    <m/>
    <m/>
    <m/>
    <s v="KAM"/>
    <s v="08/11/2016"/>
    <s v="ID-33337122000127"/>
    <s v="Aguardando recebimento"/>
    <m/>
    <x v="2"/>
  </r>
  <r>
    <s v="COM697CE93E86AF7"/>
    <n v="241529"/>
    <s v="30/01/2026 14:24"/>
    <x v="4"/>
    <m/>
    <s v="30/01/2026"/>
    <s v="Aprovado"/>
    <n v="1"/>
    <n v="1"/>
    <n v="132000"/>
    <s v="Boleto Bradesco"/>
    <n v="206470"/>
    <s v=""/>
    <s v="Boleto"/>
    <s v="boleto"/>
    <s v="Liderança Feminina - IPIRANGA - Pagamento 02"/>
    <s v="corporate-jornada-ed9a26_pagamento-02"/>
    <s v="Mariana Oliveira"/>
    <m/>
    <s v="33.337.122/0001-27"/>
    <s v="IPIRANGA PRODUTOS DE PETROLEO S.A."/>
    <s v="mariana.ooliveira@ipiranga.ipiranga"/>
    <s v="11940795327"/>
    <s v="2125745858"/>
    <s v="20031170"/>
    <s v="REPUBLICA DO CHILE"/>
    <s v="00330"/>
    <s v="BLC 2 SAL 2801 2901 E 3001"/>
    <s v="CENTRO"/>
    <s v="Rio de Janeiro"/>
    <s v="RJ"/>
    <s v="Filial(São Paulo)"/>
    <s v="Liderança Feminina - IPIRANGA"/>
    <m/>
    <m/>
    <m/>
    <s v="0b614662b341ff6b9c2b70b2e44562d8"/>
    <m/>
    <s v="Nao"/>
    <x v="4"/>
    <m/>
    <s v="27/04/2026"/>
    <m/>
    <m/>
    <m/>
    <m/>
    <s v="KAM"/>
    <s v="08/11/2016"/>
    <s v="ID-33337122000127"/>
    <s v="Aguardando recebimento"/>
    <m/>
    <x v="2"/>
  </r>
  <r>
    <s v="COM697CD3F60CD53"/>
    <n v="241519"/>
    <s v="30/01/2026 12:53"/>
    <x v="4"/>
    <m/>
    <s v="30/01/2026"/>
    <s v="Aprovado"/>
    <n v="1"/>
    <n v="1"/>
    <n v="0"/>
    <m/>
    <n v="0"/>
    <s v=""/>
    <s v="Cortesia"/>
    <s v="cortesia"/>
    <s v="AI Agentic Commerce - 23 e 24 de Fevereiro de 2026"/>
    <s v="ai-agentic-commerce-ed1a26"/>
    <s v="Marcel Korn"/>
    <s v="44728615855"/>
    <m/>
    <m/>
    <s v="marcelkorn@klihbr.com"/>
    <s v="5511953004471"/>
    <m/>
    <s v="01244-000"/>
    <s v="Rua Bahia"/>
    <s v="226"/>
    <m/>
    <s v="Higienópolis"/>
    <s v="São Paulo"/>
    <s v="SP"/>
    <s v="Filial(São Paulo)"/>
    <s v="AI Agentic Commerce - 23 e 24 de Fevereiro de 2026"/>
    <m/>
    <m/>
    <m/>
    <s v="2d39a584b8af393d75fb11ae1443553e"/>
    <m/>
    <s v="Nao"/>
    <x v="6"/>
    <m/>
    <s v="23/02/2026"/>
    <m/>
    <m/>
    <m/>
    <m/>
    <s v="KAM"/>
    <m/>
    <s v="ID-44728615855"/>
    <m/>
    <m/>
    <x v="1"/>
  </r>
  <r>
    <s v="COM69DE536F78E26"/>
    <n v="247247"/>
    <s v="30/01/2026 11:47"/>
    <x v="4"/>
    <m/>
    <s v="14/04/2026"/>
    <s v="Aprovado"/>
    <n v="1"/>
    <n v="1"/>
    <n v="136562.5"/>
    <s v="Multimeios"/>
    <n v="0"/>
    <m/>
    <s v="Multimeios"/>
    <s v="multimeios"/>
    <s v="Volkswagen - Consultoria IA"/>
    <s v="consulting-ai-advisory-ed3a26_pagamento01"/>
    <s v="Carlos Eduardo"/>
    <m/>
    <s v="59.104.422/0057-04"/>
    <s v="VOLKSWAGEN DO BRASIL INDUSTRIA DE VEICULOS AUTOMOTORES LTDA"/>
    <s v="carlos.maselli@vw.com.ar"/>
    <s v="11996859555"/>
    <s v="1143474796"/>
    <s v="09823901"/>
    <s v="MARGINAL DA VIA ANCHIETA"/>
    <s v="S/N"/>
    <s v="KM 23,5"/>
    <s v="DEMARCHI"/>
    <s v="São Bernardo do Campo"/>
    <s v="SP"/>
    <s v="Filial(São Paulo)"/>
    <s v=""/>
    <m/>
    <m/>
    <m/>
    <s v="9357215d9c05eb1a63f9044f72dc8e5a"/>
    <m/>
    <s v="Nao"/>
    <x v="6"/>
    <m/>
    <s v="20/04/2026"/>
    <m/>
    <m/>
    <m/>
    <s v="StartSe Consulting"/>
    <s v="KAM"/>
    <s v="05/06/2019"/>
    <s v="ID-59104422005704"/>
    <m/>
    <m/>
    <x v="2"/>
  </r>
  <r>
    <s v="COM69DE536F78E26"/>
    <n v="247247"/>
    <s v="30/01/2026 11:47"/>
    <x v="4"/>
    <m/>
    <s v="14/04/2026"/>
    <s v="Aprovado"/>
    <n v="1"/>
    <n v="1"/>
    <n v="136562.5"/>
    <s v="Multimeios"/>
    <n v="0"/>
    <m/>
    <s v="Multimeios"/>
    <s v="multimeios"/>
    <s v="Volkswagen - Consultoria IA"/>
    <s v="consulting-ai-advisory-ed3a26_pagamento02"/>
    <s v="Carlos Eduardo"/>
    <m/>
    <s v="59.104.422/0057-04"/>
    <s v="VOLKSWAGEN DO BRASIL INDUSTRIA DE VEICULOS AUTOMOTORES LTDA"/>
    <s v="carlos.maselli@vw.com.ar"/>
    <s v="11996859555"/>
    <s v="1143474796"/>
    <s v="09823901"/>
    <s v="MARGINAL DA VIA ANCHIETA"/>
    <s v="S/N"/>
    <s v="KM 23,5"/>
    <s v="DEMARCHI"/>
    <s v="São Bernardo do Campo"/>
    <s v="SP"/>
    <s v="Filial(São Paulo)"/>
    <s v=""/>
    <m/>
    <m/>
    <m/>
    <s v="9357215d9c05eb1a63f9044f72dc8e5a"/>
    <m/>
    <s v="Nao"/>
    <x v="6"/>
    <m/>
    <s v="20/05/2026"/>
    <m/>
    <m/>
    <m/>
    <s v="StartSe Consulting"/>
    <s v="KAM"/>
    <s v="05/06/2019"/>
    <s v="ID-59104422005704"/>
    <m/>
    <m/>
    <x v="2"/>
  </r>
  <r>
    <s v="COM69DE536F78E26"/>
    <n v="247247"/>
    <s v="30/01/2026 11:47"/>
    <x v="4"/>
    <m/>
    <s v="14/04/2026"/>
    <s v="Aprovado"/>
    <n v="1"/>
    <n v="1"/>
    <n v="136562.5"/>
    <s v="Multimeios"/>
    <n v="0"/>
    <m/>
    <s v="Multimeios"/>
    <s v="multimeios"/>
    <s v="Volkswagen - Consultoria IA"/>
    <s v="consulting-ai-advisory-ed3a26_pagemento03"/>
    <s v="Carlos Eduardo"/>
    <m/>
    <s v="59.104.422/0057-04"/>
    <s v="VOLKSWAGEN DO BRASIL INDUSTRIA DE VEICULOS AUTOMOTORES LTDA"/>
    <s v="carlos.maselli@vw.com.ar"/>
    <s v="11996859555"/>
    <s v="1143474796"/>
    <s v="09823901"/>
    <s v="MARGINAL DA VIA ANCHIETA"/>
    <s v="S/N"/>
    <s v="KM 23,5"/>
    <s v="DEMARCHI"/>
    <s v="São Bernardo do Campo"/>
    <s v="SP"/>
    <s v="Filial(São Paulo)"/>
    <s v=""/>
    <m/>
    <m/>
    <m/>
    <s v="9357215d9c05eb1a63f9044f72dc8e5a"/>
    <m/>
    <s v="Nao"/>
    <x v="6"/>
    <m/>
    <s v="20/06/2026"/>
    <m/>
    <m/>
    <m/>
    <s v="StartSe Consulting"/>
    <s v="KAM"/>
    <s v="05/06/2019"/>
    <s v="ID-59104422005704"/>
    <m/>
    <m/>
    <x v="2"/>
  </r>
  <r>
    <s v="COM69DE536F78E26"/>
    <n v="247247"/>
    <s v="30/01/2026 11:47"/>
    <x v="4"/>
    <m/>
    <s v="14/04/2026"/>
    <s v="Aprovado"/>
    <n v="1"/>
    <n v="1"/>
    <n v="136562.5"/>
    <s v="Multimeios"/>
    <n v="0"/>
    <m/>
    <s v="Multimeios"/>
    <s v="multimeios"/>
    <s v="Volkswagen - Consultoria IA"/>
    <s v="consulting-ai-advisory-ed3a26_pagamento04"/>
    <s v="Carlos Eduardo"/>
    <m/>
    <s v="59.104.422/0057-04"/>
    <s v="VOLKSWAGEN DO BRASIL INDUSTRIA DE VEICULOS AUTOMOTORES LTDA"/>
    <s v="carlos.maselli@vw.com.ar"/>
    <s v="11996859555"/>
    <s v="1143474796"/>
    <s v="09823901"/>
    <s v="MARGINAL DA VIA ANCHIETA"/>
    <s v="S/N"/>
    <s v="KM 23,5"/>
    <s v="DEMARCHI"/>
    <s v="São Bernardo do Campo"/>
    <s v="SP"/>
    <s v="Filial(São Paulo)"/>
    <s v=""/>
    <m/>
    <m/>
    <m/>
    <s v="9357215d9c05eb1a63f9044f72dc8e5a"/>
    <m/>
    <s v="Nao"/>
    <x v="6"/>
    <m/>
    <s v="20/07/2026"/>
    <m/>
    <m/>
    <m/>
    <s v="StartSe Consulting"/>
    <s v="KAM"/>
    <s v="05/06/2019"/>
    <s v="ID-59104422005704"/>
    <m/>
    <m/>
    <x v="2"/>
  </r>
  <r>
    <s v="COM69DE536F78E26"/>
    <n v="247247"/>
    <s v="30/01/2026 11:47"/>
    <x v="4"/>
    <m/>
    <s v="14/04/2026"/>
    <s v="Aprovado"/>
    <n v="1"/>
    <n v="1"/>
    <n v="0"/>
    <s v="Multimeios"/>
    <n v="0"/>
    <m/>
    <s v="Multimeios"/>
    <s v="multimeios"/>
    <s v="Volkswagen - Consultoria IA"/>
    <s v="consulting-ai-advisory-ed3a26"/>
    <s v="Carlos Eduardo"/>
    <m/>
    <s v="59.104.422/0057-04"/>
    <s v="VOLKSWAGEN DO BRASIL INDUSTRIA DE VEICULOS AUTOMOTORES LTDA"/>
    <s v="carlos.maselli@vw.com.ar"/>
    <s v="11996859555"/>
    <s v="1143474796"/>
    <s v="09823901"/>
    <s v="MARGINAL DA VIA ANCHIETA"/>
    <s v="S/N"/>
    <s v="KM 23,5"/>
    <s v="DEMARCHI"/>
    <s v="São Bernardo do Campo"/>
    <s v="SP"/>
    <s v="Filial(São Paulo)"/>
    <s v=""/>
    <m/>
    <m/>
    <m/>
    <s v="9357215d9c05eb1a63f9044f72dc8e5a"/>
    <m/>
    <s v="Nao"/>
    <x v="6"/>
    <m/>
    <s v="09/04/2026"/>
    <m/>
    <m/>
    <m/>
    <s v="StartSe Consulting"/>
    <s v="KAM"/>
    <s v="05/06/2019"/>
    <s v="ID-59104422005704"/>
    <m/>
    <m/>
    <x v="2"/>
  </r>
  <r>
    <s v="ORDY7LUM74Q63YE4"/>
    <n v="241505"/>
    <s v="30/01/2026 11:39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ERNANDA RODRIGUES MOYZES"/>
    <s v="04859186680"/>
    <m/>
    <m/>
    <s v="fmoyzes@tribanco.com.br"/>
    <s v="5534991214053"/>
    <m/>
    <s v="38410665"/>
    <s v="Avenida Vereador Carlito Cordeiro"/>
    <s v="2315"/>
    <s v="rua 05,346"/>
    <s v="Jardim Botânico"/>
    <s v="Uberlândia"/>
    <s v="MG"/>
    <s v="Filial(São Paulo)"/>
    <m/>
    <m/>
    <m/>
    <m/>
    <s v="b160427b39c56d78599af1adddeadf54"/>
    <s v="OFFTRIBANCO"/>
    <s v="Nao"/>
    <x v="0"/>
    <m/>
    <s v="15/05/2025"/>
    <m/>
    <m/>
    <m/>
    <s v="Brasil"/>
    <s v="KAM"/>
    <m/>
    <s v="ID-04859186680"/>
    <m/>
    <m/>
    <x v="1"/>
  </r>
  <r>
    <s v="ORDI38Y7Q3IQGJ2R"/>
    <n v="241504"/>
    <s v="30/01/2026 11:35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Anderson Pacheco de Oliveira"/>
    <s v="01634308379"/>
    <m/>
    <m/>
    <s v="apolivei@tribanco.com.br"/>
    <s v="5511971622965"/>
    <m/>
    <s v="13214661"/>
    <s v="Avenida Caetano Gornati"/>
    <s v="1101"/>
    <s v="Cond Vintage Casa 506"/>
    <s v="Engordadouro"/>
    <s v="Jundiaí"/>
    <s v="SP"/>
    <s v="Filial(São Paulo)"/>
    <m/>
    <m/>
    <m/>
    <m/>
    <s v="6a9e7024da28ea5c0bb5a5235c1bfbc1"/>
    <s v="OFFTRIBANCO"/>
    <s v="Nao"/>
    <x v="0"/>
    <m/>
    <s v="15/05/2025"/>
    <m/>
    <m/>
    <m/>
    <s v="Brasil"/>
    <s v="KAM"/>
    <m/>
    <s v="ID-01634308379"/>
    <m/>
    <m/>
    <x v="1"/>
  </r>
  <r>
    <s v="ORDMVH02KGLZFQR6"/>
    <n v="241500"/>
    <s v="30/01/2026 11:14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FERNANDA RODRIGUES MOYZES"/>
    <s v="04859186680"/>
    <m/>
    <m/>
    <s v="fmoyzes@tribanco.com.br"/>
    <s v="5534991214053"/>
    <m/>
    <s v="38410665"/>
    <s v="Avenida Vereador Carlito Cordeiro"/>
    <s v="2315"/>
    <s v="rua 346"/>
    <s v="Jardim Botânico"/>
    <s v="Uberlândia"/>
    <s v="MG"/>
    <s v="Filial(São Paulo)"/>
    <m/>
    <m/>
    <m/>
    <m/>
    <s v="a5e8a1ccc9dd5d5a8715ebd33d6eb0b1"/>
    <s v="OFFTRIBANCO"/>
    <s v="Nao"/>
    <x v="0"/>
    <m/>
    <s v="15/05/2025"/>
    <m/>
    <m/>
    <m/>
    <s v="Brasil"/>
    <s v="KAM"/>
    <m/>
    <s v="ID-04859186680"/>
    <m/>
    <m/>
    <x v="1"/>
  </r>
  <r>
    <s v="COM697CB54C1A474"/>
    <n v="241496"/>
    <s v="30/01/2026 10:42"/>
    <x v="4"/>
    <m/>
    <s v="30/01/2026"/>
    <s v="Aprovado"/>
    <n v="1"/>
    <n v="1"/>
    <n v="1190000"/>
    <s v="Boleto Bradesco"/>
    <n v="1190000"/>
    <s v=""/>
    <s v="Boleto"/>
    <s v="boleto"/>
    <s v="Sicredi Norte SC - Imersão China"/>
    <s v="corporate-china-xperience-ed5a26"/>
    <s v="Nilton Weber"/>
    <m/>
    <s v="02.843.443/0001-70"/>
    <s v="COOPERATIVA DE CREDITO, POUPANCA E INVESTIMENTO DO NORTE E NORDESTE DE SANTA CATARINA - SICREDI NORTE SC"/>
    <s v="nilton_weber@sicredi.com.br"/>
    <s v="47999764993"/>
    <s v="4730290244"/>
    <s v="89219600"/>
    <s v="DONA FRANCISCA"/>
    <s v="8300"/>
    <s v="SALA M0"/>
    <s v="DISTRITO INDUSTRIAL"/>
    <s v="Joinville"/>
    <s v="SC"/>
    <s v="Turismo - 50%"/>
    <s v="Imersão China StartSe - Exclusiva Sicredi Norte SC - Até 35 participantes"/>
    <m/>
    <m/>
    <m/>
    <s v="ef1eca771f248669153dce50c3c7f942"/>
    <m/>
    <s v="Nao"/>
    <x v="7"/>
    <m/>
    <s v="22/06/2026"/>
    <m/>
    <m/>
    <s v="https://loja.startse.com.br//processamento/fatura/ef1eca771f248669153dce50c3c7f942"/>
    <s v="China"/>
    <s v="KAM"/>
    <s v="21/11/2024"/>
    <s v="ID-02843443000170"/>
    <s v="Aguardando recebimento"/>
    <m/>
    <x v="2"/>
  </r>
  <r>
    <s v="COM697CB4CCC91AC"/>
    <n v="241495"/>
    <s v="30/01/2026 10:40"/>
    <x v="4"/>
    <m/>
    <s v="30/01/2026"/>
    <s v="Aprovado"/>
    <n v="1"/>
    <n v="4"/>
    <n v="2200"/>
    <s v="Boleto Bradesco"/>
    <n v="2064.6999999999998"/>
    <s v=""/>
    <s v="Boleto"/>
    <s v="boleto"/>
    <s v="Imersão Multiagentes - Presencial - 11 de Fevereiro de 2026"/>
    <s v="imersao-multiagentes-ed2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Imersão Multiagentes - Presencial - 11 de Fevereiro de 2026"/>
    <m/>
    <m/>
    <m/>
    <s v="975f33823e713918d6794cc6c4407c19"/>
    <m/>
    <s v="Nao"/>
    <x v="2"/>
    <m/>
    <s v="11/02/2026"/>
    <m/>
    <m/>
    <m/>
    <m/>
    <s v="KAM"/>
    <s v="08/04/2024"/>
    <s v="ID-06184184000173"/>
    <s v="Pago"/>
    <m/>
    <x v="0"/>
  </r>
  <r>
    <s v="COM697CB3470272A"/>
    <n v="241493"/>
    <s v="30/01/2026 10:33"/>
    <x v="4"/>
    <m/>
    <s v="30/01/2026"/>
    <s v="Aprovado"/>
    <n v="1"/>
    <n v="4"/>
    <n v="2600"/>
    <s v="Boleto Bradesco"/>
    <n v="2440.1"/>
    <s v=""/>
    <s v="Boleto"/>
    <s v="boleto"/>
    <s v="AI para Negócios - Imersão Presencial -  09 e 10 de Fevereiro de 2026"/>
    <s v="imersao-presencial-de-ai-ed2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AI para Negócios - Imersão Presencial - 09 e 10 de Fevereiro de 2026"/>
    <m/>
    <m/>
    <m/>
    <s v="258f6d4cc2b3c8a61151154ab209443a"/>
    <m/>
    <s v="Nao"/>
    <x v="2"/>
    <m/>
    <s v="09/02/2026"/>
    <m/>
    <m/>
    <m/>
    <m/>
    <s v="KAM"/>
    <s v="08/04/2024"/>
    <s v="ID-06184184000173"/>
    <s v="Pago"/>
    <m/>
    <x v="0"/>
  </r>
  <r>
    <s v="ORDY2DQCRACGTWGE"/>
    <n v="241483"/>
    <s v="30/01/2026 07:50"/>
    <x v="4"/>
    <m/>
    <s v="30/01/2026"/>
    <s v="Aprovado"/>
    <n v="1"/>
    <n v="0"/>
    <n v="0"/>
    <m/>
    <n v="0"/>
    <m/>
    <s v="Cortesia"/>
    <s v="cortesia"/>
    <s v="AI for Leaders - 2ª edição - 2025"/>
    <s v="ai-for-leaders-ed2a25"/>
    <s v="Anizio Wanderley Filho"/>
    <s v="04231529639"/>
    <m/>
    <m/>
    <s v="aniziobauru@gmail.com"/>
    <s v="5521967722386"/>
    <m/>
    <s v="38412880"/>
    <s v="Alameda José de Oliveira"/>
    <s v="220"/>
    <m/>
    <s v="Jardim Holanda"/>
    <s v="Uberlândia"/>
    <s v="MG"/>
    <s v="Filial(São Paulo)"/>
    <m/>
    <m/>
    <m/>
    <m/>
    <s v="cfb19206bc2cc65d94f1db030df4fa88"/>
    <s v="OFFTRIBANCO"/>
    <s v="Nao"/>
    <x v="0"/>
    <m/>
    <s v="15/05/2025"/>
    <m/>
    <m/>
    <m/>
    <s v="Brasil"/>
    <s v="KAM"/>
    <s v="09/10/2025"/>
    <s v="ID-04231529639"/>
    <m/>
    <m/>
    <x v="1"/>
  </r>
  <r>
    <s v="COM697C08F8EC3DB"/>
    <n v="241480"/>
    <s v="29/01/2026 22:27"/>
    <x v="4"/>
    <m/>
    <s v="30/01/2026"/>
    <s v="Aprovado"/>
    <n v="1"/>
    <n v="1"/>
    <n v="1707000"/>
    <m/>
    <n v="1602019.5"/>
    <s v=""/>
    <s v="TED"/>
    <s v="ted"/>
    <s v="Oracle - Master Program [Educacional]"/>
    <s v="corporate-jornada-ed5a26"/>
    <s v="Fiorella Peroni"/>
    <m/>
    <s v="59.456.277/0001-76"/>
    <s v="ORACLE DO BRASIL SISTEMAS LTDA"/>
    <s v="fiorellaperoni@oracle.com"/>
    <s v="11997108819"/>
    <s v="1133331817"/>
    <s v="04710090"/>
    <s v="Rua Dr Jose Aureo Bustamante"/>
    <s v="455"/>
    <s v="Anexo Morumbi Business Cen"/>
    <s v="Santo Amaro"/>
    <s v="São Paulo"/>
    <s v="SP"/>
    <s v="Filial(São Paulo)"/>
    <s v="Master Program - Oracle"/>
    <m/>
    <m/>
    <m/>
    <s v="1c0ea1c61c42c4fd8c00adfe3e891389"/>
    <m/>
    <s v="Nao"/>
    <x v="10"/>
    <m/>
    <s v="31/12/2099"/>
    <m/>
    <m/>
    <m/>
    <m/>
    <s v="KAM"/>
    <s v="19/03/2021"/>
    <s v="ID-59456277000176"/>
    <s v="Pago"/>
    <m/>
    <x v="0"/>
  </r>
  <r>
    <s v="ORD0GKFN5SYOSJDE"/>
    <n v="241477"/>
    <s v="29/01/2026 21:36"/>
    <x v="4"/>
    <m/>
    <s v="29/01/2026"/>
    <s v="Aprovado"/>
    <n v="1"/>
    <n v="1"/>
    <n v="650.1"/>
    <s v="Braintree"/>
    <n v="650.1"/>
    <s v="28974115835FFAOCB9CE"/>
    <s v="Crédito à Vista"/>
    <s v="mastercard"/>
    <s v="RH Leadership Xperience 2026 - Ingresso Explorer"/>
    <s v="evento-rh-ed1a26_explorer"/>
    <s v="Caroline Chainho Tosta"/>
    <s v="34752031892"/>
    <m/>
    <m/>
    <s v="caroline.tosta@br.nestle.com"/>
    <s v="5516982232485"/>
    <m/>
    <s v="14015100"/>
    <s v="Rua Prudente de Morais"/>
    <s v="1713"/>
    <m/>
    <s v="Centro"/>
    <s v="Ribeirão Preto"/>
    <s v="SP"/>
    <s v="Filial(São Paulo)"/>
    <m/>
    <m/>
    <m/>
    <m/>
    <s v="28e8b0aeef165d418562db5424fa525b"/>
    <s v="Explorer-NewBrokers"/>
    <s v="Nao"/>
    <x v="7"/>
    <m/>
    <s v="26/03/2026"/>
    <m/>
    <m/>
    <m/>
    <m/>
    <s v="KAM"/>
    <s v="24/03/2025"/>
    <s v="ID-34752031892"/>
    <m/>
    <m/>
    <x v="0"/>
  </r>
  <r>
    <s v="ORDJSHOY0D4AZPMU"/>
    <n v="241465"/>
    <s v="29/01/2026 18:44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Fabio Pereira Ribas"/>
    <s v="50498398072"/>
    <m/>
    <m/>
    <s v="fabio@tribanco.com.br"/>
    <s v="5554996538418"/>
    <m/>
    <s v="95185000"/>
    <s v="Rua Assis Brasil"/>
    <s v="171"/>
    <s v="Apto 304"/>
    <s v="centro"/>
    <s v="Carlos Barbosa"/>
    <s v="RS"/>
    <s v="Filial(São Paulo)"/>
    <m/>
    <m/>
    <m/>
    <m/>
    <s v="693b5332f973cb026b96594ee2ef4a96"/>
    <s v="OFFTRIBANCO"/>
    <s v="Nao"/>
    <x v="0"/>
    <m/>
    <s v="15/05/2025"/>
    <m/>
    <m/>
    <m/>
    <s v="Brasil"/>
    <s v="KAM"/>
    <m/>
    <s v="ID-50498398072"/>
    <m/>
    <m/>
    <x v="1"/>
  </r>
  <r>
    <s v="ORDFS7ME5HCNR0EZ"/>
    <n v="241464"/>
    <s v="29/01/2026 18:43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luciano seibel"/>
    <s v="62713906091"/>
    <m/>
    <m/>
    <s v="lseibel@tribanco.com.br"/>
    <s v="5551981290410"/>
    <m/>
    <s v="91751040"/>
    <s v="Travessa Alfredo Magalhães"/>
    <s v="20"/>
    <s v="201"/>
    <s v="Ipanema"/>
    <s v="Porto Alegre"/>
    <s v="RS"/>
    <s v="Filial(São Paulo)"/>
    <m/>
    <m/>
    <m/>
    <m/>
    <s v="f6a2d2d50ef1a1b808fd21f10b4c7abb"/>
    <s v="OFFTRIBANCO"/>
    <s v="Nao"/>
    <x v="0"/>
    <m/>
    <s v="15/05/2025"/>
    <m/>
    <m/>
    <m/>
    <s v="Brasil"/>
    <s v="KAM"/>
    <m/>
    <s v="ID-62713906091"/>
    <m/>
    <m/>
    <x v="1"/>
  </r>
  <r>
    <s v="ORDSSOMC616X3GQ4"/>
    <n v="241458"/>
    <s v="29/01/2026 18:00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Thiago Silva Garcia"/>
    <s v="27708774888"/>
    <m/>
    <m/>
    <s v="tgarcia@tribanco.com.br"/>
    <s v="5511998856565"/>
    <m/>
    <s v="38411201"/>
    <s v="Rua José Elias"/>
    <s v="50"/>
    <s v="ap 2402b"/>
    <s v="Jardim Karaíba"/>
    <s v="Uberlândia"/>
    <s v="MG"/>
    <s v="Filial(São Paulo)"/>
    <m/>
    <m/>
    <m/>
    <m/>
    <s v="138f3867e4a8227ea1987df88af0d443"/>
    <s v="OFFTRIBANCO"/>
    <s v="Nao"/>
    <x v="0"/>
    <m/>
    <s v="15/05/2025"/>
    <m/>
    <m/>
    <m/>
    <s v="Brasil"/>
    <s v="KAM"/>
    <m/>
    <s v="ID-27708774888"/>
    <m/>
    <m/>
    <x v="1"/>
  </r>
  <r>
    <s v="ORD9XSR0OTT1BUZ4"/>
    <n v="241457"/>
    <s v="29/01/2026 17:56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Daniela Pereira da Costa Farah"/>
    <s v="27789132890"/>
    <m/>
    <m/>
    <s v="dfarah@tribanco.com.br"/>
    <s v="5511988586918"/>
    <m/>
    <s v="09726350"/>
    <s v="Rua Antônio de Salema"/>
    <s v="30"/>
    <s v="211A"/>
    <s v="Jardim do Mar"/>
    <s v="São Bernardo do Campo"/>
    <s v="SP"/>
    <s v="Filial(São Paulo)"/>
    <m/>
    <m/>
    <m/>
    <m/>
    <s v="82083fa34d8c1870e3c09ff448911a4d"/>
    <s v="OFFTRIBANCO"/>
    <s v="Nao"/>
    <x v="0"/>
    <m/>
    <s v="15/05/2025"/>
    <m/>
    <m/>
    <m/>
    <s v="Brasil"/>
    <s v="KAM"/>
    <s v="01/11/2023"/>
    <s v="ID-27789132890"/>
    <m/>
    <m/>
    <x v="1"/>
  </r>
  <r>
    <s v="ORDZWQSQDTB689LV"/>
    <n v="241454"/>
    <s v="29/01/2026 17:39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ADSON FRANCK MACEDO GOMES"/>
    <s v="60073942200"/>
    <m/>
    <m/>
    <s v="adsong@tribanco.com.br"/>
    <s v="5592996135219"/>
    <m/>
    <s v="69090001"/>
    <s v="Avenida Max Teixeira"/>
    <s v="142"/>
    <s v="Bloco E 201"/>
    <s v="Cidade Nova"/>
    <s v="Manaus"/>
    <s v="AM"/>
    <s v="Filial(São Paulo)"/>
    <m/>
    <m/>
    <m/>
    <m/>
    <s v="3a807f9292713fb4b2ad25eeaaf87090"/>
    <s v="OFFTRIBANCO"/>
    <s v="Nao"/>
    <x v="0"/>
    <m/>
    <s v="15/05/2025"/>
    <m/>
    <m/>
    <m/>
    <s v="Brasil"/>
    <s v="KAM"/>
    <m/>
    <s v="ID-60073942200"/>
    <m/>
    <m/>
    <x v="1"/>
  </r>
  <r>
    <s v="COM697BBE81685F2"/>
    <n v="241448"/>
    <s v="29/01/2026 17:09"/>
    <x v="4"/>
    <m/>
    <s v="30/01/2026"/>
    <s v="Aprovado"/>
    <n v="2"/>
    <n v="4"/>
    <n v="4400"/>
    <s v="Boleto Bradesco"/>
    <n v="4129.3999999999996"/>
    <s v=""/>
    <s v="Boleto"/>
    <s v="boleto"/>
    <s v="Imersão Multiagentes - Presencial - 15 de Abril de 2026"/>
    <s v="imersao-multiagentes-ed4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Imersão Multiagentes - Presencial - 15 de Abril de 202"/>
    <m/>
    <m/>
    <m/>
    <s v="08bb75645347fd735cd52e8226154b94"/>
    <m/>
    <s v="Nao"/>
    <x v="2"/>
    <m/>
    <s v="15/04/2026"/>
    <m/>
    <m/>
    <m/>
    <m/>
    <s v="KAM"/>
    <s v="08/04/2024"/>
    <s v="ID-06184184000173"/>
    <s v="Aguardando recebimento"/>
    <m/>
    <x v="2"/>
  </r>
  <r>
    <s v="COM697BBDCF6B600"/>
    <n v="241447"/>
    <s v="29/01/2026 17:06"/>
    <x v="4"/>
    <m/>
    <s v="03/02/2026"/>
    <s v="Aprovado"/>
    <n v="3"/>
    <n v="4"/>
    <n v="7800"/>
    <s v="Boleto Bradesco"/>
    <n v="7320.3"/>
    <s v=""/>
    <s v="Boleto"/>
    <s v="boleto"/>
    <s v="AI para Negócios - Imersão Presencial - 13 e 14 de Abril de 2026"/>
    <s v="imersao-presencial-de-ai-ed6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AI para Negócios - Imersão Presencial - 13 e 14 de Abril de 2026"/>
    <m/>
    <m/>
    <m/>
    <s v="6abb01db13a91cdab66a7540e7334106"/>
    <m/>
    <s v="Nao"/>
    <x v="2"/>
    <m/>
    <s v="13/04/2026"/>
    <m/>
    <m/>
    <m/>
    <m/>
    <s v="KAM"/>
    <s v="08/04/2024"/>
    <s v="ID-06184184000173"/>
    <s v="Aguardando recebimento"/>
    <m/>
    <x v="2"/>
  </r>
  <r>
    <s v="COM697BBD174D21A"/>
    <n v="241445"/>
    <s v="29/01/2026 17:03"/>
    <x v="4"/>
    <m/>
    <s v="30/01/2026"/>
    <s v="Aprovado"/>
    <n v="3"/>
    <n v="4"/>
    <n v="6600"/>
    <s v="Boleto Bradesco"/>
    <n v="6194.1"/>
    <s v=""/>
    <s v="Boleto"/>
    <s v="boleto"/>
    <s v="Imersão Multiagentes - Presencial - 11 de Fevereiro de 2026"/>
    <s v="imersao-multiagentes-ed2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Imersão Multiagentes - Presencial - 11 de Fevereiro de 2026"/>
    <m/>
    <m/>
    <m/>
    <s v="974fe954d29157de2aec946f106647b1"/>
    <m/>
    <s v="Nao"/>
    <x v="2"/>
    <m/>
    <s v="11/02/2026"/>
    <m/>
    <m/>
    <m/>
    <m/>
    <s v="KAM"/>
    <s v="08/04/2024"/>
    <s v="ID-06184184000173"/>
    <s v="Pago"/>
    <m/>
    <x v="0"/>
  </r>
  <r>
    <s v="COM697BBC91BA378"/>
    <n v="241444"/>
    <s v="29/01/2026 17:01"/>
    <x v="4"/>
    <m/>
    <s v="30/01/2026"/>
    <s v="Aprovado"/>
    <n v="3"/>
    <n v="4"/>
    <n v="7800"/>
    <s v="Boleto Bradesco"/>
    <n v="7320.3"/>
    <s v=""/>
    <s v="Boleto"/>
    <s v="boleto"/>
    <s v="AI para Negócios - Imersão Presencial -  09 e 10 de Fevereiro de 2026"/>
    <s v="imersao-presencial-de-ai-ed2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AI para Negócios - Imersão Presencial - 09 e 10 de Fevereiro de 2026"/>
    <m/>
    <m/>
    <m/>
    <s v="83f2d1f28dcbf9ccbe8c6af79f02d475"/>
    <m/>
    <s v="Nao"/>
    <x v="2"/>
    <m/>
    <s v="09/02/2026"/>
    <m/>
    <m/>
    <m/>
    <m/>
    <s v="KAM"/>
    <s v="08/04/2024"/>
    <s v="ID-06184184000173"/>
    <s v="Pago"/>
    <m/>
    <x v="0"/>
  </r>
  <r>
    <s v="COM697BB7ECD0CEF"/>
    <n v="241442"/>
    <s v="29/01/2026 16:41"/>
    <x v="4"/>
    <m/>
    <s v="30/01/2026"/>
    <s v="Aprovado"/>
    <n v="6"/>
    <n v="4"/>
    <n v="3000"/>
    <s v="Boleto Bradesco"/>
    <n v="2815.5"/>
    <s v=""/>
    <s v="Boleto"/>
    <s v="boleto"/>
    <s v="AI for Leaders - 2026"/>
    <s v="ai-for-leaders-ed1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AI for Leaders - 2026"/>
    <m/>
    <m/>
    <m/>
    <s v="86d22c9aca3b18442b637eccb611f1a0"/>
    <m/>
    <s v="Nao"/>
    <x v="2"/>
    <m/>
    <s v="13/01/2026"/>
    <m/>
    <m/>
    <m/>
    <s v="Brasil"/>
    <s v="KAM"/>
    <s v="08/04/2024"/>
    <s v="ID-06184184000173"/>
    <s v="Aguardando recebimento"/>
    <m/>
    <x v="3"/>
  </r>
  <r>
    <s v="COM697BB4EE477B1"/>
    <n v="241438"/>
    <s v="29/01/2026 16:28"/>
    <x v="4"/>
    <m/>
    <s v="30/01/2026"/>
    <s v="Aprovado"/>
    <n v="6"/>
    <n v="4"/>
    <n v="13200"/>
    <s v="Boleto Bradesco"/>
    <n v="12388.2"/>
    <s v=""/>
    <s v="Boleto"/>
    <s v="boleto"/>
    <s v="Imersão Multiagentes - Presencial - 13 de Março de 2026"/>
    <s v="imersao-multiagentes-ed3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Imersão Multiagentes - Presencial - 13 de Março de 2026"/>
    <m/>
    <m/>
    <m/>
    <s v="33cd016f759594b0329d4085bb295035"/>
    <m/>
    <s v="Nao"/>
    <x v="2"/>
    <m/>
    <s v="13/03/2026"/>
    <m/>
    <m/>
    <m/>
    <m/>
    <s v="KAM"/>
    <s v="08/04/2024"/>
    <s v="ID-06184184000173"/>
    <s v="Pago"/>
    <m/>
    <x v="0"/>
  </r>
  <r>
    <s v="COM697BB2F26FE31"/>
    <n v="241436"/>
    <s v="29/01/2026 16:20"/>
    <x v="4"/>
    <m/>
    <s v="30/01/2026"/>
    <s v="Aprovado"/>
    <n v="6"/>
    <n v="4"/>
    <n v="15600"/>
    <s v="Boleto Bradesco"/>
    <n v="14640.6"/>
    <s v=""/>
    <s v="Boleto"/>
    <s v="boleto"/>
    <s v="AI para Negócios - Imersão Presencial -  11 e 12 de Março de 2026"/>
    <s v="imersao-presencial-de-ai-ed4a26"/>
    <s v="Lais Guedes"/>
    <m/>
    <s v="06.184.184/0001-73"/>
    <s v="SEBRAE PREVIDENCIA - INSTITUTO SEBRAE DE SEGURIDADE SOCIAL"/>
    <s v="lais@sebraeprev.com.br"/>
    <s v="6133271226"/>
    <s v="6133271226"/>
    <s v="70770503"/>
    <s v="SEPN QUADRA 515 BLOCO C LOJA"/>
    <s v="32"/>
    <s v="ANDAR 1"/>
    <s v="ASA NORTE"/>
    <s v="Brasília"/>
    <s v="DF"/>
    <s v="Filial(São Paulo)"/>
    <s v="AI para Negócios - Imersão Presencial - 11 e 12 de Março de 2026"/>
    <m/>
    <m/>
    <m/>
    <s v="7d2db6651d77d884ec54f136d1662724"/>
    <m/>
    <s v="Nao"/>
    <x v="2"/>
    <m/>
    <s v="11/03/2026"/>
    <m/>
    <m/>
    <m/>
    <m/>
    <s v="KAM"/>
    <s v="08/04/2024"/>
    <s v="ID-06184184000173"/>
    <s v="Pago"/>
    <m/>
    <x v="0"/>
  </r>
  <r>
    <s v="ORD7W2LGD8UTN5F9"/>
    <n v="241435"/>
    <s v="29/01/2026 16:18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Anizio Wanderley Filho"/>
    <s v="04231529639"/>
    <m/>
    <m/>
    <s v="aniziobauru@gmail.com"/>
    <s v="5511971292372"/>
    <m/>
    <s v="38412215"/>
    <s v="Rua dos Colibris"/>
    <s v="337"/>
    <m/>
    <s v="Jardim das Palmeiras"/>
    <s v="Uberlândia"/>
    <s v="MG"/>
    <s v="Filial(São Paulo)"/>
    <m/>
    <m/>
    <m/>
    <m/>
    <s v="bedc7de347ccf074d20cd7ae869ced4e"/>
    <s v="OFFTRIBANCO"/>
    <s v="Nao"/>
    <x v="0"/>
    <m/>
    <s v="15/05/2025"/>
    <m/>
    <m/>
    <m/>
    <s v="Brasil"/>
    <s v="KAM"/>
    <s v="09/10/2025"/>
    <s v="ID-04231529639"/>
    <m/>
    <m/>
    <x v="1"/>
  </r>
  <r>
    <s v="ORDSQ73HM8179UK1"/>
    <n v="241426"/>
    <s v="29/01/2026 15:28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Rodrigo Lins"/>
    <s v="22741714835"/>
    <s v="17.351.180/0001-59"/>
    <s v="BANCO TRIANGULO S/A"/>
    <s v="rlins@tribanco.com.br"/>
    <s v="5511999210489"/>
    <m/>
    <s v="38400696"/>
    <s v="CESARIO ALVIM,"/>
    <s v="2209"/>
    <s v="."/>
    <s v="APARECIDA"/>
    <s v="Uberlândia"/>
    <s v="MG"/>
    <s v="Filial(São Paulo)"/>
    <m/>
    <m/>
    <m/>
    <m/>
    <s v="e3b2caa4503155b2107cad5e3fd97794"/>
    <s v="OFFTRIBANCO"/>
    <s v="Nao"/>
    <x v="0"/>
    <m/>
    <s v="15/05/2025"/>
    <m/>
    <m/>
    <m/>
    <s v="Brasil"/>
    <s v="KAM"/>
    <s v="06/03/2017"/>
    <s v="ID-17351180000159"/>
    <m/>
    <m/>
    <x v="1"/>
  </r>
  <r>
    <s v="ORDW32W3RVKOBRUK"/>
    <n v="241424"/>
    <s v="29/01/2026 15:23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Juliana de Oliveira Resende"/>
    <s v="03520804697"/>
    <m/>
    <m/>
    <s v="jresende@tribanco.com.br"/>
    <s v="5534984066718"/>
    <m/>
    <s v="38411159"/>
    <s v="Avenida dos Vinhedos"/>
    <s v="900"/>
    <m/>
    <s v="Morada da Colina"/>
    <s v="Uberlândia"/>
    <s v="MG"/>
    <s v="Filial(São Paulo)"/>
    <m/>
    <m/>
    <m/>
    <m/>
    <s v="418351cf7de5f1ab39ae88c74006e51a"/>
    <s v="OFFTRIBANCO"/>
    <s v="Nao"/>
    <x v="0"/>
    <m/>
    <s v="15/05/2025"/>
    <m/>
    <m/>
    <m/>
    <s v="Brasil"/>
    <s v="KAM"/>
    <m/>
    <s v="ID-03520804697"/>
    <m/>
    <m/>
    <x v="1"/>
  </r>
  <r>
    <s v="COM697B750B2F66C"/>
    <n v="241402"/>
    <s v="29/01/2026 11:56"/>
    <x v="4"/>
    <m/>
    <s v="29/01/2026"/>
    <s v="Aprovado"/>
    <n v="1"/>
    <n v="1"/>
    <n v="15500"/>
    <s v="Boleto Bradesco"/>
    <n v="14546.75"/>
    <s v=""/>
    <s v="Boleto"/>
    <s v="boleto"/>
    <s v="Executive Program - 25 a 27 de Maio de 2026"/>
    <s v="executive-program-ed5a26"/>
    <s v="Areane Jaqueline Springer"/>
    <m/>
    <s v="90.729.369/0001-22"/>
    <s v="COOPERATIVA DE CREDITO, POUPANCA E INVESTIMENTO REGIOES DAS CULTURAS - SICREDI DAS CULTURAS RS/MG"/>
    <s v="areane_springer@sicredi.com.br"/>
    <s v="5533320800"/>
    <s v="5533320800"/>
    <s v="98700000"/>
    <s v="SAO CRISTOVAO"/>
    <s v="30"/>
    <m/>
    <s v="CENTRO"/>
    <s v="Ijuí"/>
    <s v="RS"/>
    <s v="Filial(São Paulo)"/>
    <s v="Participante: Francisco Lunardi Guarda"/>
    <m/>
    <m/>
    <m/>
    <s v="ebb5308b342c40886d426f4e9b3bfdfe"/>
    <m/>
    <s v="Nao"/>
    <x v="7"/>
    <m/>
    <s v="25/05/2026"/>
    <m/>
    <m/>
    <m/>
    <m/>
    <s v="KAM"/>
    <s v="03/07/2017"/>
    <s v="ID-90729369000122"/>
    <s v="Aguardando recebimento"/>
    <m/>
    <x v="2"/>
  </r>
  <r>
    <s v="ORDJ4BRW9DUTDFON"/>
    <n v="241384"/>
    <s v="29/01/2026 10:17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rafael barra della torres"/>
    <s v="07705155680"/>
    <m/>
    <m/>
    <s v="rtorres@tribanco.com.br"/>
    <s v="5534998046837"/>
    <m/>
    <s v="38400376"/>
    <s v="Rua Melo Viana"/>
    <s v="514"/>
    <m/>
    <s v="Martins"/>
    <s v="Uberlândia"/>
    <s v="MG"/>
    <s v="Filial(São Paulo)"/>
    <m/>
    <m/>
    <m/>
    <m/>
    <s v="fa349c225ef71e45af05e1d02b115e09"/>
    <s v="OFFTRIBANCO"/>
    <s v="Nao"/>
    <x v="0"/>
    <m/>
    <s v="15/05/2025"/>
    <m/>
    <m/>
    <m/>
    <s v="Brasil"/>
    <s v="KAM"/>
    <m/>
    <s v="ID-07705155680"/>
    <m/>
    <m/>
    <x v="1"/>
  </r>
  <r>
    <s v="ORDOW5PYI46WTAEW"/>
    <n v="241383"/>
    <s v="29/01/2026 10:11"/>
    <x v="4"/>
    <m/>
    <s v="29/01/2026"/>
    <s v="Aprovado"/>
    <n v="1"/>
    <n v="0"/>
    <n v="0"/>
    <m/>
    <n v="0"/>
    <m/>
    <s v="Cortesia"/>
    <s v="cortesia"/>
    <s v="AI for Leaders - 2ª edição - 2025"/>
    <s v="ai-for-leaders-ed2a25"/>
    <s v="JAMIR BATISTA SOARES JUNIOR"/>
    <s v="00616414641"/>
    <m/>
    <m/>
    <s v="jamir@tribanco.com.br"/>
    <s v="5534998383951"/>
    <m/>
    <s v="38444230"/>
    <s v="Rua Estácio de Sá"/>
    <s v="1125"/>
    <m/>
    <s v="Miranda"/>
    <s v="Araguari"/>
    <s v="MG"/>
    <s v="Filial(São Paulo)"/>
    <m/>
    <m/>
    <m/>
    <m/>
    <s v="b854373953c60c0b493d8092539f1a9f"/>
    <s v="OFFTRIBANCO"/>
    <s v="Nao"/>
    <x v="0"/>
    <m/>
    <s v="15/05/2025"/>
    <m/>
    <m/>
    <m/>
    <s v="Brasil"/>
    <s v="KAM"/>
    <m/>
    <s v="ID-00616414641"/>
    <m/>
    <m/>
    <x v="1"/>
  </r>
  <r>
    <s v="ORDV6E7VTXIMBA72"/>
    <n v="241349"/>
    <s v="28/01/2026 18:1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JOAO HENRIQUE DALL OSTO ZABINI"/>
    <s v="42107297878"/>
    <m/>
    <m/>
    <s v="joao.zabini@hidratei.com.br"/>
    <s v="5511989315588"/>
    <m/>
    <s v="05315021"/>
    <s v="Rua Aroaba"/>
    <s v="482"/>
    <s v="81b"/>
    <s v="Vila Leopoldina"/>
    <s v="São Paulo"/>
    <s v="SP"/>
    <s v="Filial(São Paulo)"/>
    <m/>
    <m/>
    <m/>
    <m/>
    <s v="9c28234c3294f71e7d5804a4bc3629b9"/>
    <s v="Cortesia_BeautyFair"/>
    <s v="Nao"/>
    <x v="7"/>
    <m/>
    <s v="28/01/2026"/>
    <m/>
    <m/>
    <m/>
    <m/>
    <s v="KAM"/>
    <m/>
    <s v="ID-42107297878"/>
    <m/>
    <m/>
    <x v="1"/>
  </r>
  <r>
    <s v="ORD6YHMCQAJQP8WN"/>
    <n v="241348"/>
    <s v="28/01/2026 18:0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Thais Nakamura"/>
    <s v="37457151877"/>
    <m/>
    <m/>
    <s v="thais.nakamura@bimdistribuidora.com.br"/>
    <s v="5511974681518"/>
    <m/>
    <s v="05302041"/>
    <s v="Rua Brentano"/>
    <s v="306"/>
    <s v="-"/>
    <s v="Vila Hamburguesa"/>
    <s v="São Paulo"/>
    <s v="SP"/>
    <s v="Filial(São Paulo)"/>
    <m/>
    <m/>
    <m/>
    <m/>
    <s v="dd6c328d30aba07a2b44a676ed337e09"/>
    <s v="Cortesia_BeautyFair"/>
    <s v="Nao"/>
    <x v="7"/>
    <m/>
    <s v="28/01/2026"/>
    <m/>
    <m/>
    <m/>
    <m/>
    <s v="KAM"/>
    <m/>
    <s v="ID-37457151877"/>
    <m/>
    <m/>
    <x v="1"/>
  </r>
  <r>
    <s v="ORD6CXOZTMU6WRQ0"/>
    <n v="241347"/>
    <s v="28/01/2026 18:0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arlos Fernando Teixeira da Fonseca"/>
    <s v="12017428701"/>
    <m/>
    <m/>
    <s v="fernando.fonseca@dutycosmeticos.com"/>
    <s v="5521971601229"/>
    <m/>
    <s v="20231016"/>
    <s v="Rua Ubaldino do Amaral"/>
    <s v="41"/>
    <m/>
    <s v="Centro"/>
    <s v="Rio de Janeiro"/>
    <s v="RJ"/>
    <s v="Filial(São Paulo)"/>
    <m/>
    <m/>
    <m/>
    <m/>
    <s v="a3ee005837c0438931dbb962f6eb981a"/>
    <s v="Cortesia_BeautyFair"/>
    <s v="Nao"/>
    <x v="0"/>
    <m/>
    <s v="28/01/2026"/>
    <m/>
    <m/>
    <m/>
    <m/>
    <s v="KAM"/>
    <m/>
    <s v="ID-12017428701"/>
    <m/>
    <m/>
    <x v="1"/>
  </r>
  <r>
    <s v="ORDLLPUEIP00Q2KI"/>
    <n v="241346"/>
    <s v="28/01/2026 18:04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Andréa Previdelli"/>
    <s v="32605715825"/>
    <m/>
    <m/>
    <s v="andrea.previdelli@loreal.com"/>
    <s v="5516997022294"/>
    <m/>
    <s v="15904190"/>
    <s v="Avenida Ernesto Salvagni"/>
    <s v="678"/>
    <m/>
    <s v="Parque Residencial Laranjeiras III"/>
    <s v="Taquaritinga"/>
    <s v="SP"/>
    <s v="Filial(São Paulo)"/>
    <m/>
    <m/>
    <m/>
    <m/>
    <s v="105b35b0ce5377a50487dd933e83f9e7"/>
    <s v="Cortesia_BeautyFair"/>
    <s v="Nao"/>
    <x v="7"/>
    <m/>
    <s v="28/01/2026"/>
    <m/>
    <m/>
    <m/>
    <m/>
    <s v="KAM"/>
    <m/>
    <s v="ID-32605715825"/>
    <m/>
    <m/>
    <x v="1"/>
  </r>
  <r>
    <s v="ORDTM8UXEG08HK84"/>
    <n v="241345"/>
    <s v="28/01/2026 18:03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DANIELE LARANJEIRAS FIGUEIREDO"/>
    <s v="04836964474"/>
    <m/>
    <m/>
    <s v="daniele.laranjeiras@bimdistribuidora.com.br"/>
    <s v="5511942674496"/>
    <m/>
    <s v="04086003"/>
    <s v="Alameda dos Aicás"/>
    <s v="268"/>
    <s v="91"/>
    <s v="Indianópolis"/>
    <s v="São Paulo"/>
    <s v="SP"/>
    <s v="Filial(São Paulo)"/>
    <m/>
    <m/>
    <m/>
    <m/>
    <s v="5951ae98a8405e83244b0bfb8f7b204b"/>
    <s v="Cortesia_BeautyFair"/>
    <s v="Nao"/>
    <x v="7"/>
    <m/>
    <s v="28/01/2026"/>
    <m/>
    <m/>
    <m/>
    <m/>
    <s v="KAM"/>
    <m/>
    <s v="ID-04836964474"/>
    <m/>
    <m/>
    <x v="1"/>
  </r>
  <r>
    <s v="ORDX6M4RF6MJ3Y18"/>
    <n v="241335"/>
    <s v="28/01/2026 17:53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IBELE SUMIE ONO"/>
    <s v="24799853856"/>
    <m/>
    <m/>
    <s v="cibele@beautyfair.com.br"/>
    <s v="5511964400750"/>
    <m/>
    <s v="01506000"/>
    <s v="R GALVAO BUENO"/>
    <s v="41"/>
    <s v="ANDAR 9"/>
    <s v="LIBERDADE"/>
    <s v="SAO PAULO"/>
    <s v="SP"/>
    <s v="Filial(São Paulo)"/>
    <m/>
    <m/>
    <m/>
    <m/>
    <s v="562355bad0ec1f1e1ac8775980070663"/>
    <s v="Cortesia_BeautyFair"/>
    <s v="Nao"/>
    <x v="7"/>
    <m/>
    <s v="28/01/2026"/>
    <m/>
    <m/>
    <m/>
    <m/>
    <s v="KAM"/>
    <m/>
    <s v="ID-24799853856"/>
    <m/>
    <m/>
    <x v="1"/>
  </r>
  <r>
    <s v="ORDXTG8IXJK5KDQA"/>
    <n v="241334"/>
    <s v="28/01/2026 17:51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Alexandre Araújo de Deus"/>
    <s v="93665350620"/>
    <m/>
    <m/>
    <s v="alexandre.araujo@beautyfair.com.br"/>
    <s v="5511995944951"/>
    <m/>
    <s v="01506000"/>
    <s v="Rua Galvão Bueno"/>
    <s v="41"/>
    <m/>
    <s v="Liberdade"/>
    <s v="São Paulo"/>
    <s v="SP"/>
    <s v="Filial(São Paulo)"/>
    <m/>
    <m/>
    <m/>
    <m/>
    <s v="22ebec23a8890988b3dd6e0ff1f211aa"/>
    <s v="Cortesia_BeautyFair"/>
    <s v="Nao"/>
    <x v="7"/>
    <m/>
    <s v="28/01/2026"/>
    <m/>
    <m/>
    <m/>
    <m/>
    <s v="KAM"/>
    <m/>
    <s v="ID-93665350620"/>
    <m/>
    <m/>
    <x v="1"/>
  </r>
  <r>
    <s v="ORD0824LH272T9TD"/>
    <n v="241333"/>
    <s v="28/01/2026 17:51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Marisa sasaki"/>
    <s v="25925395816"/>
    <m/>
    <m/>
    <s v="msasakiogeda@gmail.com"/>
    <s v="5511991761225"/>
    <m/>
    <s v="09770170"/>
    <s v="Rua Carlos Rosa Lopes"/>
    <s v="85"/>
    <m/>
    <s v="Santa Terezinha"/>
    <s v="São Bernardo do Campo"/>
    <s v="SP"/>
    <s v="Filial(São Paulo)"/>
    <m/>
    <m/>
    <m/>
    <m/>
    <s v="108f1514508fa401290e84b3a0af2b63"/>
    <s v="Cortesia_BeautyFair"/>
    <s v="Nao"/>
    <x v="7"/>
    <m/>
    <s v="28/01/2026"/>
    <m/>
    <m/>
    <m/>
    <m/>
    <s v="KAM"/>
    <m/>
    <s v="ID-25925395816"/>
    <m/>
    <m/>
    <x v="1"/>
  </r>
  <r>
    <s v="ORDCG3EWHVDI90CL"/>
    <n v="241332"/>
    <s v="28/01/2026 17:4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Isabella rodrigues Guedes pérsico"/>
    <s v="12629644669"/>
    <m/>
    <m/>
    <s v="marketing@arvensis.com.br"/>
    <s v="5532991983547"/>
    <m/>
    <s v="36880025"/>
    <s v="Rua Sebastião Abrantes"/>
    <s v="72"/>
    <m/>
    <s v="Centro"/>
    <s v="Muriaé"/>
    <s v="MG"/>
    <s v="Filial(São Paulo)"/>
    <m/>
    <m/>
    <m/>
    <m/>
    <s v="efa5682ef29c070b119484fb9e441eb7"/>
    <s v="Cortesia_BeautyFair"/>
    <s v="Nao"/>
    <x v="7"/>
    <m/>
    <s v="28/01/2026"/>
    <m/>
    <m/>
    <m/>
    <m/>
    <s v="KAM"/>
    <m/>
    <s v="ID-12629644669"/>
    <m/>
    <m/>
    <x v="1"/>
  </r>
  <r>
    <s v="ORD0AOMWMJHT32XL"/>
    <n v="241324"/>
    <s v="28/01/2026 17:22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Fernanda Bittencourt"/>
    <s v="01601511639"/>
    <m/>
    <m/>
    <s v="fernanda.bittencourt@startse.com"/>
    <s v="5511933354455"/>
    <m/>
    <s v="01408001"/>
    <s v="Alameda Casa Branca"/>
    <s v="799"/>
    <s v="Apt 54G"/>
    <s v="Jardim Paulista"/>
    <s v="São Paulo"/>
    <s v="SP"/>
    <s v="Filial(São Paulo)"/>
    <m/>
    <m/>
    <m/>
    <m/>
    <s v="d47eabd28e134e70eff65b8ce21dd560"/>
    <s v="Cortesia_BeautyFair"/>
    <s v="Nao"/>
    <x v="7"/>
    <m/>
    <s v="28/01/2026"/>
    <m/>
    <m/>
    <m/>
    <m/>
    <s v="KAM"/>
    <s v="14/04/2023"/>
    <s v="ID-01601511639"/>
    <m/>
    <m/>
    <x v="1"/>
  </r>
  <r>
    <s v="ORD8HWJHZNH2XVWD"/>
    <n v="241323"/>
    <s v="28/01/2026 17:17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Felipe Augusto Camargo Lunardi"/>
    <s v="07372456894"/>
    <m/>
    <m/>
    <s v="felipe.lunardi@ikesaki.com.br"/>
    <s v="5511995557576"/>
    <m/>
    <s v="01506000"/>
    <s v="Rua Galvão Bueno"/>
    <s v="41"/>
    <m/>
    <s v="Liberdade"/>
    <s v="São Paulo"/>
    <s v="SP"/>
    <s v="Filial(São Paulo)"/>
    <m/>
    <m/>
    <m/>
    <m/>
    <s v="09d60a7c67e2ed4c1888388a8378b63a"/>
    <s v="Cortesia_BeautyFair"/>
    <s v="Nao"/>
    <x v="7"/>
    <m/>
    <s v="28/01/2026"/>
    <m/>
    <m/>
    <m/>
    <m/>
    <s v="KAM"/>
    <m/>
    <s v="ID-07372456894"/>
    <m/>
    <m/>
    <x v="1"/>
  </r>
  <r>
    <s v="ORDRXBQ5LP4FCMPY"/>
    <n v="241322"/>
    <s v="28/01/2026 17:1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Denis Simabucuro"/>
    <s v="07372456894"/>
    <m/>
    <m/>
    <s v="denis@ikesaki.com.br"/>
    <s v="5511997033521"/>
    <m/>
    <s v="01506000"/>
    <s v="Rua Galvão Bueno"/>
    <s v="41"/>
    <m/>
    <s v="Liberdade"/>
    <s v="São Paulo"/>
    <s v="SP"/>
    <s v="Filial(São Paulo)"/>
    <m/>
    <m/>
    <m/>
    <m/>
    <s v="bf0bfdcd644fd7915e927ede6423d98e"/>
    <s v="Cortesia_BeautyFair"/>
    <s v="Nao"/>
    <x v="7"/>
    <m/>
    <s v="28/01/2026"/>
    <m/>
    <m/>
    <m/>
    <m/>
    <s v="KAM"/>
    <m/>
    <s v="ID-07372456894"/>
    <m/>
    <m/>
    <x v="1"/>
  </r>
  <r>
    <s v="ORDX94L0ZVXQITGK"/>
    <n v="241320"/>
    <s v="28/01/2026 17:0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José Antônio de Paiva"/>
    <s v="11528838874"/>
    <m/>
    <m/>
    <s v="japaiva@gmail.com"/>
    <s v="5511991513378"/>
    <m/>
    <s v="01506000"/>
    <s v="Rua Galvão Bueno"/>
    <s v="41"/>
    <m/>
    <s v="Liberdade"/>
    <s v="São Paulo"/>
    <s v="SP"/>
    <s v="Filial(São Paulo)"/>
    <m/>
    <m/>
    <m/>
    <m/>
    <s v="52aba0ab84060854f8df71579fd765b6"/>
    <s v="Cortesia_BeautyFair"/>
    <s v="Nao"/>
    <x v="7"/>
    <m/>
    <s v="28/01/2026"/>
    <m/>
    <m/>
    <m/>
    <m/>
    <s v="KAM"/>
    <m/>
    <s v="ID-11528838874"/>
    <m/>
    <m/>
    <x v="1"/>
  </r>
  <r>
    <s v="ORD6F6KEYDLATWKR"/>
    <n v="241318"/>
    <s v="28/01/2026 17:0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Luana Bulhosa Leite"/>
    <s v="06476204807"/>
    <m/>
    <m/>
    <s v="luana.leite@ikesaki.com.br"/>
    <s v="5511934293084"/>
    <m/>
    <s v="01506000"/>
    <s v="Rua Galvão Bueno"/>
    <s v="41"/>
    <m/>
    <s v="Liberdade"/>
    <s v="São Paulo"/>
    <s v="SP"/>
    <s v="Filial(São Paulo)"/>
    <m/>
    <m/>
    <m/>
    <m/>
    <s v="68948f98cf2712c3d6ee39f29865a3a1"/>
    <s v="Cortesia_BeautyFair"/>
    <s v="Nao"/>
    <x v="7"/>
    <m/>
    <s v="28/01/2026"/>
    <m/>
    <m/>
    <m/>
    <m/>
    <s v="KAM"/>
    <m/>
    <s v="ID-06476204807"/>
    <m/>
    <m/>
    <x v="1"/>
  </r>
  <r>
    <s v="ORDV5JWZ1N8LH936"/>
    <n v="241316"/>
    <s v="28/01/2026 16:5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Deliane Leme"/>
    <s v="35929467811"/>
    <m/>
    <m/>
    <s v="delianecristina.leme@hotmail.com"/>
    <s v="5514996976723"/>
    <m/>
    <s v="18680440"/>
    <s v="Rua Nicolau Dias Batista"/>
    <s v="112"/>
    <m/>
    <s v="Parque Residencial Elizabeth"/>
    <s v="Lençóis Paulista"/>
    <s v="SP"/>
    <s v="Filial(São Paulo)"/>
    <m/>
    <m/>
    <m/>
    <m/>
    <s v="f04eae61457c90a0a305cfd6465128cb"/>
    <s v="Cortesia_BeautyFair"/>
    <s v="Nao"/>
    <x v="7"/>
    <m/>
    <s v="28/01/2026"/>
    <m/>
    <m/>
    <m/>
    <m/>
    <s v="KAM"/>
    <m/>
    <s v="ID-35929467811"/>
    <m/>
    <m/>
    <x v="1"/>
  </r>
  <r>
    <s v="ORDP7WK82QU979ZF"/>
    <n v="241315"/>
    <s v="28/01/2026 16:5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MICHAEL ALVES DA SILVA"/>
    <s v="33033172830"/>
    <m/>
    <m/>
    <s v="michael.silva3622@gmail.com"/>
    <s v="5511988938517"/>
    <m/>
    <s v="13332170"/>
    <s v="Rua Terni"/>
    <s v="192"/>
    <s v="H38"/>
    <s v="Jardim Bréscia"/>
    <s v="Indaiatuba"/>
    <s v="SP"/>
    <s v="Filial(São Paulo)"/>
    <m/>
    <m/>
    <m/>
    <m/>
    <s v="3702c65fff6e991be89624b8d64f8b97"/>
    <s v="Cortesia_BeautyFair"/>
    <s v="Nao"/>
    <x v="7"/>
    <m/>
    <s v="28/01/2026"/>
    <m/>
    <m/>
    <m/>
    <m/>
    <s v="KAM"/>
    <m/>
    <s v="ID-33033172830"/>
    <m/>
    <m/>
    <x v="1"/>
  </r>
  <r>
    <s v="ORDX3L0HD2TQLSZX"/>
    <n v="241312"/>
    <s v="28/01/2026 16:41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Ricardo Jo Ikesaki"/>
    <s v="06476204807"/>
    <m/>
    <m/>
    <s v="ricardoj@ikesaki.com.br"/>
    <s v="5511975649017"/>
    <m/>
    <s v="01506000"/>
    <s v="Rua Galvão Bueno"/>
    <s v="41"/>
    <m/>
    <s v="Liberdade"/>
    <s v="São Paulo"/>
    <s v="SP"/>
    <s v="Filial(São Paulo)"/>
    <m/>
    <m/>
    <m/>
    <m/>
    <s v="85302d5e5c19c7e89aae26236f8ef86f"/>
    <s v="Cortesia_BeautyFair"/>
    <s v="Nao"/>
    <x v="7"/>
    <m/>
    <s v="28/01/2026"/>
    <m/>
    <m/>
    <m/>
    <m/>
    <s v="KAM"/>
    <m/>
    <s v="ID-06476204807"/>
    <m/>
    <m/>
    <x v="1"/>
  </r>
  <r>
    <s v="ORDE7G58WSXHG9QR"/>
    <n v="241311"/>
    <s v="28/01/2026 16:34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Vitor Dan Ikesaki Fukui"/>
    <s v="49882519857"/>
    <m/>
    <m/>
    <s v="victordan199@gmail.com"/>
    <s v="5511943141101"/>
    <m/>
    <s v="01506000"/>
    <s v="Rua Galvão Bueno"/>
    <s v="41"/>
    <m/>
    <s v="Liberdade"/>
    <s v="São Paulo"/>
    <s v="SP"/>
    <s v="Filial(São Paulo)"/>
    <m/>
    <m/>
    <m/>
    <m/>
    <s v="f5a0a4e681b18422b03a01bb6cbe053e"/>
    <s v="Cortesia_BeautyFair"/>
    <s v="Nao"/>
    <x v="7"/>
    <m/>
    <s v="28/01/2026"/>
    <m/>
    <m/>
    <m/>
    <m/>
    <s v="KAM"/>
    <m/>
    <s v="ID-49882519857"/>
    <m/>
    <m/>
    <x v="1"/>
  </r>
  <r>
    <s v="ORD9DXQVAWLB8IWZ"/>
    <n v="241308"/>
    <s v="28/01/2026 16:22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Ricardo Spera Condo"/>
    <s v="35388512800"/>
    <m/>
    <m/>
    <s v="condo@ikesaki.com.br"/>
    <s v="5511997505675"/>
    <m/>
    <s v="01506000"/>
    <s v="Rua Galvão Bueno"/>
    <s v="41"/>
    <m/>
    <s v="Liberdade"/>
    <s v="São Paulo"/>
    <s v="SP"/>
    <s v="Filial(São Paulo)"/>
    <m/>
    <m/>
    <m/>
    <m/>
    <s v="5edfa5ea9f8beb5f4933ad3e9c16b777"/>
    <s v="Cortesia_BeautyFair"/>
    <s v="Nao"/>
    <x v="7"/>
    <m/>
    <s v="28/01/2026"/>
    <m/>
    <m/>
    <m/>
    <m/>
    <s v="KAM"/>
    <m/>
    <s v="ID-35388512800"/>
    <m/>
    <m/>
    <x v="1"/>
  </r>
  <r>
    <s v="ORD0ELR5ZFGWWK01"/>
    <n v="241305"/>
    <s v="28/01/2026 16:1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Ricardo Yoshikawa"/>
    <s v="29653466860"/>
    <m/>
    <m/>
    <s v="yoshi.ricardo@ikesaki.com.br"/>
    <s v="5511948046718"/>
    <m/>
    <s v="01506000"/>
    <s v="Rua Galvão Bueno"/>
    <s v="41"/>
    <m/>
    <s v="Liberdade"/>
    <s v="São Paulo"/>
    <s v="SP"/>
    <s v="Filial(São Paulo)"/>
    <m/>
    <m/>
    <m/>
    <m/>
    <s v="e0b45087626f50af688f454201fe4ee1"/>
    <s v="Cortesia_BeautyFair"/>
    <s v="Nao"/>
    <x v="7"/>
    <m/>
    <s v="28/01/2026"/>
    <m/>
    <m/>
    <m/>
    <m/>
    <s v="KAM"/>
    <m/>
    <s v="ID-29653466860"/>
    <m/>
    <m/>
    <x v="1"/>
  </r>
  <r>
    <s v="ORDORU1K35I4I8OX"/>
    <n v="241300"/>
    <s v="28/01/2026 16:0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Yasmin Mariano Nunes"/>
    <s v="44653162832"/>
    <m/>
    <m/>
    <s v="vendas@vizzela.com.br"/>
    <s v="5511912881301"/>
    <m/>
    <s v="08760500"/>
    <s v="Avenida Kaoru Hiramatsu"/>
    <s v="2341"/>
    <s v="Casa 183"/>
    <s v="Braz Cubas"/>
    <s v="Mogi das Cruzes"/>
    <s v="SP"/>
    <s v="Filial(São Paulo)"/>
    <m/>
    <m/>
    <m/>
    <m/>
    <s v="80e3f22b1999e485c52b69d014b06857"/>
    <s v="Cortesia_BeautyFair"/>
    <s v="Nao"/>
    <x v="7"/>
    <m/>
    <s v="28/01/2026"/>
    <m/>
    <m/>
    <m/>
    <m/>
    <s v="KAM"/>
    <m/>
    <s v="ID-44653162832"/>
    <m/>
    <m/>
    <x v="1"/>
  </r>
  <r>
    <s v="ORDJ3VJ6WPGGCQN6"/>
    <n v="241299"/>
    <s v="28/01/2026 16:0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Natalia Roberta Segantini Caldas"/>
    <s v="45382408858"/>
    <m/>
    <m/>
    <s v="comercial@vizzela.com.br"/>
    <s v="5511969235681"/>
    <m/>
    <s v="08775310"/>
    <s v="Rua Pedro Gomes"/>
    <s v="118"/>
    <m/>
    <s v="Jardim Rodeio"/>
    <s v="Mogi das Cruzes"/>
    <s v="SP"/>
    <s v="Filial(São Paulo)"/>
    <m/>
    <m/>
    <m/>
    <m/>
    <s v="cb82f63b29f2cb3c463ae4750e281066"/>
    <s v="Cortesia_BeautyFair"/>
    <s v="Nao"/>
    <x v="7"/>
    <m/>
    <s v="28/01/2026"/>
    <m/>
    <m/>
    <m/>
    <m/>
    <s v="KAM"/>
    <m/>
    <s v="ID-45382408858"/>
    <m/>
    <m/>
    <x v="1"/>
  </r>
  <r>
    <s v="ORD4TVAV4ZEI3CEI"/>
    <n v="241298"/>
    <s v="28/01/2026 15:5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Marcia Yumi Ikesaki Yokoyama"/>
    <s v="07800458822"/>
    <m/>
    <m/>
    <s v="marcia@ikesaki.com.br"/>
    <s v="5511975649017"/>
    <m/>
    <s v="01506000"/>
    <s v="Rua Galvão Bueno"/>
    <s v="41"/>
    <m/>
    <s v="Liberdade"/>
    <s v="São Paulo"/>
    <s v="SP"/>
    <s v="Filial(São Paulo)"/>
    <m/>
    <m/>
    <m/>
    <m/>
    <s v="995a44d0cbbfdad30de2319b8092380f"/>
    <s v="Cortesia_BeautyFair"/>
    <s v="Nao"/>
    <x v="7"/>
    <m/>
    <s v="28/01/2026"/>
    <m/>
    <m/>
    <m/>
    <m/>
    <s v="KAM"/>
    <m/>
    <s v="ID-07800458822"/>
    <m/>
    <m/>
    <x v="1"/>
  </r>
  <r>
    <s v="ORDEZDI0TR7E1O29"/>
    <n v="241297"/>
    <s v="28/01/2026 15:51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Suzi Hitomi Ikesaki"/>
    <s v="06927984801"/>
    <m/>
    <m/>
    <s v="suzi@ikesaki.com.br"/>
    <s v="5511975649017"/>
    <m/>
    <s v="01506000"/>
    <s v="Rua Galvão Bueno"/>
    <s v="41"/>
    <m/>
    <s v="Liberdade"/>
    <s v="São Paulo"/>
    <s v="SP"/>
    <s v="Filial(São Paulo)"/>
    <m/>
    <m/>
    <m/>
    <m/>
    <s v="ecec8cbcd84c47e08d6b6ab267a0df1b"/>
    <s v="Cortesia_BeautyFair"/>
    <s v="Nao"/>
    <x v="7"/>
    <m/>
    <s v="28/01/2026"/>
    <m/>
    <m/>
    <m/>
    <m/>
    <s v="KAM"/>
    <m/>
    <s v="ID-06927984801"/>
    <m/>
    <m/>
    <x v="1"/>
  </r>
  <r>
    <s v="ORDEKM4NIQJ8SAAS"/>
    <n v="241296"/>
    <s v="28/01/2026 15:4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ibele Zampolli"/>
    <s v="27895618857"/>
    <m/>
    <m/>
    <s v="cibele@ebccosmeticos.com.br"/>
    <s v="5511991720596"/>
    <m/>
    <s v="01506000"/>
    <s v="Rua Galvão Bueno"/>
    <s v="41"/>
    <m/>
    <s v="Liberdade"/>
    <s v="São Paulo"/>
    <s v="SP"/>
    <s v="Filial(São Paulo)"/>
    <m/>
    <m/>
    <m/>
    <m/>
    <s v="aeadb6c401b2d961c7f3de207c4b6e3b"/>
    <s v="Cortesia_BeautyFair"/>
    <s v="Nao"/>
    <x v="7"/>
    <m/>
    <s v="28/01/2026"/>
    <m/>
    <m/>
    <m/>
    <m/>
    <s v="KAM"/>
    <m/>
    <s v="ID-27895618857"/>
    <m/>
    <m/>
    <x v="1"/>
  </r>
  <r>
    <s v="ORDSQXDKYEIFX8TF"/>
    <n v="241293"/>
    <s v="28/01/2026 15:3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Rafael Corrêa"/>
    <s v="29621557828"/>
    <m/>
    <m/>
    <s v="rafaelcorrea.advogado@gmail.com"/>
    <s v="5511940065184"/>
    <m/>
    <s v="01506000"/>
    <s v="Rua Galvão Bueno"/>
    <s v="41"/>
    <m/>
    <s v="Liberdade"/>
    <s v="São Paulo"/>
    <s v="SP"/>
    <s v="Filial(São Paulo)"/>
    <m/>
    <m/>
    <m/>
    <m/>
    <s v="9e9a595806353291788e02888d8f8f1b"/>
    <s v="Cortesia_BeautyFair"/>
    <s v="Nao"/>
    <x v="7"/>
    <m/>
    <s v="28/01/2026"/>
    <m/>
    <m/>
    <m/>
    <m/>
    <s v="KAM"/>
    <m/>
    <s v="ID-29621557828"/>
    <m/>
    <m/>
    <x v="1"/>
  </r>
  <r>
    <s v="ORDULV5LPTXNTNEA"/>
    <n v="241291"/>
    <s v="28/01/2026 15:18"/>
    <x v="4"/>
    <m/>
    <s v="28/01/2026"/>
    <s v="Aprovado"/>
    <n v="1"/>
    <n v="1"/>
    <n v="13500"/>
    <s v="PIX"/>
    <n v="13500"/>
    <m/>
    <s v="PIX"/>
    <s v="pix"/>
    <s v="Executive Program - 23 a 25 de Março de 2026"/>
    <s v="executive-program-ed3a26"/>
    <s v="VALTER LACERDA DE ANDRADE JUNIOR"/>
    <s v="34453070837"/>
    <m/>
    <m/>
    <s v="vandrade@visa.com"/>
    <s v="5511973352153"/>
    <m/>
    <s v="04358090"/>
    <s v="Rua Orlando Murgel"/>
    <s v="352"/>
    <m/>
    <s v="Parque Jabaquara"/>
    <s v="São Paulo"/>
    <s v="SP"/>
    <s v="Filial(São Paulo)"/>
    <m/>
    <m/>
    <m/>
    <m/>
    <s v="8f9574161026de97180ee0d1cb2d3283"/>
    <s v="OFFVISAVALTER"/>
    <s v="Nao"/>
    <x v="0"/>
    <m/>
    <s v="23/03/2026"/>
    <m/>
    <m/>
    <m/>
    <m/>
    <s v="KAM"/>
    <s v="28/01/2026"/>
    <s v="ID-34453070837"/>
    <m/>
    <m/>
    <x v="0"/>
  </r>
  <r>
    <s v="ORD8VZP5SW50L7N9"/>
    <n v="241290"/>
    <s v="28/01/2026 15:12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Fernanda Vaz Do Val"/>
    <s v="07728681664"/>
    <m/>
    <m/>
    <s v="fernanda.vaz@eibeleza.com.br"/>
    <s v="5531991499481"/>
    <m/>
    <s v="31270640"/>
    <s v="Rua Walace"/>
    <s v="269"/>
    <s v="304"/>
    <s v="Uniao"/>
    <s v="Belo Horizonte"/>
    <s v="MG"/>
    <s v="Filial(São Paulo)"/>
    <m/>
    <m/>
    <m/>
    <m/>
    <s v="a8c0774d06d9f79c1c6bf183abeebda3"/>
    <s v="Cortesia_BeautyFair"/>
    <s v="Nao"/>
    <x v="7"/>
    <m/>
    <s v="28/01/2026"/>
    <m/>
    <m/>
    <m/>
    <m/>
    <s v="KAM"/>
    <m/>
    <s v="ID-07728681664"/>
    <m/>
    <m/>
    <x v="1"/>
  </r>
  <r>
    <s v="ORDKB0P5QTI2GLA7"/>
    <n v="241287"/>
    <s v="28/01/2026 14:57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Graziele Juliane Boz de Paula"/>
    <s v="35476836888"/>
    <m/>
    <m/>
    <s v="adm@vizzela.com.br"/>
    <s v="5511910260479"/>
    <m/>
    <s v="08775000"/>
    <s v="Avenida Lothar Waldemar Hoehne"/>
    <s v="180"/>
    <m/>
    <s v="Jardim Rodeio"/>
    <s v="Mogi das Cruzes"/>
    <s v="SP"/>
    <s v="Filial(São Paulo)"/>
    <m/>
    <m/>
    <m/>
    <m/>
    <s v="9ed197d0d4b11e6402e347facbaab3f4"/>
    <s v="Cortesia_BeautyFair"/>
    <s v="Nao"/>
    <x v="7"/>
    <m/>
    <s v="28/01/2026"/>
    <m/>
    <m/>
    <m/>
    <m/>
    <s v="KAM"/>
    <m/>
    <s v="ID-35476836888"/>
    <m/>
    <m/>
    <x v="1"/>
  </r>
  <r>
    <s v="ORD00JV4P9MGHG49"/>
    <n v="241286"/>
    <s v="28/01/2026 14:5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Francisco Thome"/>
    <s v="65593197920"/>
    <m/>
    <m/>
    <s v="fthome@taiff.com.br"/>
    <s v="5511964210151"/>
    <m/>
    <s v="09210360"/>
    <s v="Rua Rio Grande do Norte"/>
    <s v="326"/>
    <s v="Ap 01"/>
    <s v="Santa Terezinha"/>
    <s v="Santo André"/>
    <s v="SP"/>
    <s v="Filial(São Paulo)"/>
    <m/>
    <m/>
    <m/>
    <m/>
    <s v="1f78984b98762b20da012b974d7d8bfd"/>
    <s v="Cortesia_BeautyFair"/>
    <s v="Nao"/>
    <x v="7"/>
    <m/>
    <s v="28/01/2026"/>
    <m/>
    <m/>
    <m/>
    <m/>
    <s v="KAM"/>
    <m/>
    <s v="ID-65593197920"/>
    <m/>
    <m/>
    <x v="1"/>
  </r>
  <r>
    <s v="ORDGZ7MTN7RIB9GF"/>
    <n v="241285"/>
    <s v="28/01/2026 14:5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mariana burger dos santos"/>
    <s v="00212161008"/>
    <m/>
    <m/>
    <s v="mariana.burger@eibeleza.com.br"/>
    <s v="5511951310065"/>
    <m/>
    <s v="04110030"/>
    <s v="Rua Dona Carolina"/>
    <s v="91"/>
    <s v="62"/>
    <s v="Vila Mariana"/>
    <s v="São Paulo"/>
    <s v="SP"/>
    <s v="Filial(São Paulo)"/>
    <m/>
    <m/>
    <m/>
    <m/>
    <s v="a81fd66f027b53de8a38c2aa50833931"/>
    <s v="Cortesia_BeautyFair"/>
    <s v="Nao"/>
    <x v="7"/>
    <m/>
    <s v="28/01/2026"/>
    <m/>
    <m/>
    <m/>
    <m/>
    <s v="KAM"/>
    <m/>
    <s v="ID-00212161008"/>
    <m/>
    <m/>
    <x v="1"/>
  </r>
  <r>
    <s v="COM697A4850AA840"/>
    <n v="241282"/>
    <s v="28/01/2026 14:33"/>
    <x v="4"/>
    <m/>
    <s v="28/01/2026"/>
    <s v="Aprovado"/>
    <n v="2"/>
    <n v="1"/>
    <n v="0"/>
    <m/>
    <n v="0"/>
    <s v=""/>
    <s v="Cortesia"/>
    <s v="cortesia"/>
    <s v="AI for Leaders - 2026"/>
    <s v="ai-for-leaders-ed1a26"/>
    <s v="Brunno Freitas Ramos"/>
    <s v="08518770793"/>
    <m/>
    <m/>
    <s v="Brunno.ramos@irbre.com"/>
    <s v="5521995590818"/>
    <m/>
    <s v="04578-910"/>
    <s v="Avenida das Nações Unidas"/>
    <s v="12901"/>
    <m/>
    <s v="Brooklin Paulista"/>
    <s v="São Paulo"/>
    <s v="SP"/>
    <s v="Filial(São Paulo)"/>
    <s v="AI for Leaders - 2026"/>
    <m/>
    <m/>
    <m/>
    <s v="e8a3073ef1ce9c670b18cf73af8f22eb"/>
    <m/>
    <s v="Nao"/>
    <x v="6"/>
    <m/>
    <s v="13/01/2026"/>
    <m/>
    <m/>
    <m/>
    <s v="Brasil"/>
    <s v="KAM"/>
    <m/>
    <s v="ID-08518770793"/>
    <m/>
    <m/>
    <x v="1"/>
  </r>
  <r>
    <s v="COM697A40725F944"/>
    <n v="241277"/>
    <s v="28/01/2026 13:59"/>
    <x v="4"/>
    <m/>
    <s v="28/01/2026"/>
    <s v="Aprovado"/>
    <n v="2"/>
    <n v="1"/>
    <n v="0"/>
    <m/>
    <n v="0"/>
    <s v=""/>
    <s v="Cortesia"/>
    <s v="cortesia"/>
    <s v="RH Leadership Xperience 2026 - Ingresso Interactive"/>
    <s v="evento-rh-ed1a26_interactive"/>
    <s v="Maria Milene da Rocha Viana"/>
    <s v="70081991479"/>
    <m/>
    <m/>
    <s v="mileneviana1996@gmail.com"/>
    <s v="5519984452425"/>
    <m/>
    <s v="04578-910"/>
    <s v="Avenida das Nações Unidas"/>
    <s v="12901"/>
    <m/>
    <s v="Brooklin Paulista"/>
    <s v="São Paulo"/>
    <s v="SP"/>
    <s v="Filial(São Paulo)"/>
    <s v="RH Leadership Xperience 2026 - Ingresso Interactive"/>
    <m/>
    <m/>
    <m/>
    <s v="36cbbdaf0b45c22a4ade3ba821222bfe"/>
    <m/>
    <s v="Nao"/>
    <x v="7"/>
    <m/>
    <s v="26/03/2026"/>
    <m/>
    <m/>
    <m/>
    <m/>
    <s v="KAM"/>
    <m/>
    <s v="ID-70081991479"/>
    <m/>
    <m/>
    <x v="1"/>
  </r>
  <r>
    <s v="ORDQR9KC3YQM4ZUE"/>
    <n v="241276"/>
    <s v="28/01/2026 13:57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Gabriella Delfino"/>
    <s v="15095316706"/>
    <m/>
    <m/>
    <s v="gabriella.delfino@loreal.com"/>
    <s v="5521999827453"/>
    <m/>
    <s v="22261001"/>
    <s v="Rua do Humaitá"/>
    <s v="244"/>
    <s v="Bl1"/>
    <s v="Humaitá"/>
    <s v="Rio de Janeiro"/>
    <s v="RJ"/>
    <s v="Filial(São Paulo)"/>
    <m/>
    <m/>
    <m/>
    <m/>
    <s v="cb1e77f5137a274b46aad4e90f1943f4"/>
    <s v="Cortesia_BeautyFair"/>
    <s v="Nao"/>
    <x v="7"/>
    <m/>
    <s v="28/01/2026"/>
    <m/>
    <m/>
    <m/>
    <m/>
    <s v="KAM"/>
    <m/>
    <s v="ID-15095316706"/>
    <m/>
    <m/>
    <x v="1"/>
  </r>
  <r>
    <s v="ORDB0OC0NXRFJINY"/>
    <n v="241271"/>
    <s v="28/01/2026 13:45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amila Reis"/>
    <s v="05693604713"/>
    <m/>
    <m/>
    <s v="camila.reis@loreal.com"/>
    <s v="5521999698334"/>
    <m/>
    <s v="22041011"/>
    <s v="Rua Santa Clara"/>
    <s v="245"/>
    <s v="106"/>
    <s v="Copacabana"/>
    <s v="Rio de Janeiro"/>
    <s v="RJ"/>
    <s v="Filial(São Paulo)"/>
    <m/>
    <m/>
    <m/>
    <m/>
    <s v="22f18fd7e5d70d6233c1d131fef9547e"/>
    <s v="Cortesia_BeautyFair"/>
    <s v="Nao"/>
    <x v="7"/>
    <m/>
    <s v="28/01/2026"/>
    <m/>
    <m/>
    <m/>
    <m/>
    <s v="KAM"/>
    <m/>
    <s v="ID-05693604713"/>
    <m/>
    <m/>
    <x v="1"/>
  </r>
  <r>
    <s v="ORD4ZV1X9SUUAMZJ"/>
    <n v="241263"/>
    <s v="28/01/2026 12:24"/>
    <x v="4"/>
    <m/>
    <s v="28/01/2026"/>
    <s v="Aprovado"/>
    <n v="1"/>
    <n v="0"/>
    <n v="0"/>
    <m/>
    <n v="0"/>
    <m/>
    <s v="Cortesia"/>
    <s v="cortesia"/>
    <s v="AI for Leaders - 2ª edição - 2025"/>
    <s v="ai-for-leaders-ed2a25"/>
    <s v="Alfeu de Olveira Jácome"/>
    <s v="82803471604"/>
    <m/>
    <m/>
    <s v="alfeu@tribanco.com.br"/>
    <s v="5534999919329"/>
    <m/>
    <s v="38408268"/>
    <s v="Rua Lourdes de Carvalho"/>
    <s v="1615"/>
    <m/>
    <s v="Segismundo Pereira"/>
    <s v="Uberlândia"/>
    <s v="MG"/>
    <s v="Filial(São Paulo)"/>
    <m/>
    <m/>
    <m/>
    <m/>
    <s v="8c5d232d3ead2cc8c51d3a4a86135b4b"/>
    <s v="OFFTRIBANCO"/>
    <s v="Nao"/>
    <x v="0"/>
    <m/>
    <s v="15/05/2025"/>
    <m/>
    <m/>
    <m/>
    <s v="Brasil"/>
    <s v="KAM"/>
    <m/>
    <s v="ID-82803471604"/>
    <m/>
    <m/>
    <x v="1"/>
  </r>
  <r>
    <s v="ORDMEOF3OIIVZFCG"/>
    <n v="241262"/>
    <s v="28/01/2026 12:21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arolina Novaes Fernandes"/>
    <s v="10105951722"/>
    <m/>
    <m/>
    <s v="carolina.novaes@grupoboticario.com.br"/>
    <s v="5511976133716"/>
    <m/>
    <s v="05709050"/>
    <s v="Rua Samia Haddad"/>
    <s v="111"/>
    <s v="2A"/>
    <s v="Vila Suzana"/>
    <s v="São Paulo"/>
    <s v="SP"/>
    <s v="Filial(São Paulo)"/>
    <m/>
    <m/>
    <m/>
    <m/>
    <s v="9048f4a70013b5cc7e05ee33fce3cde3"/>
    <s v="Cortesia_BeautyFair"/>
    <s v="Nao"/>
    <x v="7"/>
    <m/>
    <s v="28/01/2026"/>
    <m/>
    <m/>
    <m/>
    <m/>
    <s v="KAM"/>
    <s v="20/05/2020"/>
    <s v="ID-10105951722"/>
    <m/>
    <m/>
    <x v="1"/>
  </r>
  <r>
    <s v="ORDHEAHTKJLW4ZKG"/>
    <n v="241258"/>
    <s v="28/01/2026 12:04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henrique semeghini"/>
    <s v="30781587808"/>
    <m/>
    <m/>
    <s v="henrique.semeghini@grupoboticario.com.br"/>
    <s v="5511999802209"/>
    <m/>
    <s v="04662002"/>
    <s v="Avenida Washington Luís"/>
    <s v="1576"/>
    <m/>
    <s v="Santo Amaro"/>
    <s v="São Paulo"/>
    <s v="SP"/>
    <s v="Filial(São Paulo)"/>
    <m/>
    <m/>
    <m/>
    <m/>
    <s v="f6338d455d0febe5fb20f5a8be0332bf"/>
    <s v="Cortesia_BeautyFair"/>
    <s v="Nao"/>
    <x v="7"/>
    <m/>
    <s v="28/01/2026"/>
    <m/>
    <m/>
    <m/>
    <m/>
    <s v="KAM"/>
    <s v="26/11/2023"/>
    <s v="ID-30781587808"/>
    <m/>
    <m/>
    <x v="1"/>
  </r>
  <r>
    <s v="ORD671HJ857DGR9M"/>
    <n v="241255"/>
    <s v="28/01/2026 11:5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Bruna Carneiro"/>
    <s v="34028519896"/>
    <m/>
    <m/>
    <s v="brunacpe@gmail.com"/>
    <s v="5511973748191"/>
    <m/>
    <s v="05634000"/>
    <s v="Rua David Ben Gurion"/>
    <s v="955"/>
    <s v="203 1"/>
    <s v="Jardim Monte Kemel"/>
    <s v="São Paulo"/>
    <s v="SP"/>
    <s v="Filial(São Paulo)"/>
    <m/>
    <m/>
    <m/>
    <m/>
    <s v="af524033af8ef86d0476e03eb1a0df36"/>
    <s v="Cortesia_BeautyFair"/>
    <s v="Nao"/>
    <x v="7"/>
    <m/>
    <s v="28/01/2026"/>
    <m/>
    <m/>
    <m/>
    <m/>
    <s v="KAM"/>
    <m/>
    <s v="ID-34028519896"/>
    <m/>
    <m/>
    <x v="1"/>
  </r>
  <r>
    <s v="ORDELDS86PZH5PNP"/>
    <n v="241253"/>
    <s v="28/01/2026 11:46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JOSE CARLOS BENATTI FILHO"/>
    <s v="07326773866"/>
    <m/>
    <m/>
    <s v="jbenatti@taiff.com.br"/>
    <s v="5511964210058"/>
    <m/>
    <s v="04696000"/>
    <s v="Avenida Engenheiro Eusébio Stevaux"/>
    <s v="800"/>
    <s v="APTO 204-A"/>
    <s v="Jurubatuba"/>
    <s v="São Paulo"/>
    <s v="SP"/>
    <s v="Filial(São Paulo)"/>
    <m/>
    <m/>
    <m/>
    <m/>
    <s v="e7c9be7f6f0727b99fd8f06c6113d852"/>
    <s v="Cortesia_BeautyFair"/>
    <s v="Nao"/>
    <x v="7"/>
    <m/>
    <s v="28/01/2026"/>
    <m/>
    <m/>
    <m/>
    <m/>
    <s v="KAM"/>
    <m/>
    <s v="ID-07326773866"/>
    <m/>
    <m/>
    <x v="1"/>
  </r>
  <r>
    <s v="ORD5U0201ONX50N5"/>
    <n v="241251"/>
    <s v="28/01/2026 11:44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Glaucia Rotta"/>
    <s v="29356291837"/>
    <m/>
    <m/>
    <s v="glaucia.rotta@alfaparfdbdc.com.br"/>
    <s v="5511984348910"/>
    <m/>
    <s v="18147212"/>
    <s v="Rua Manoel Mariano de Araújo"/>
    <s v="1342"/>
    <m/>
    <s v="Jardim Bela Vista"/>
    <s v="Araçariguama"/>
    <s v="SP"/>
    <s v="Filial(São Paulo)"/>
    <m/>
    <m/>
    <m/>
    <m/>
    <s v="5446d748461f50be6ee299cf73bbaf72"/>
    <s v="Cortesia_BeautyFair"/>
    <s v="Nao"/>
    <x v="7"/>
    <m/>
    <s v="28/01/2026"/>
    <m/>
    <m/>
    <m/>
    <m/>
    <s v="KAM"/>
    <s v="26/01/2024"/>
    <s v="ID-29356291837"/>
    <m/>
    <m/>
    <x v="1"/>
  </r>
  <r>
    <s v="ORDYUMCVNOLB3GYE"/>
    <n v="241250"/>
    <s v="28/01/2026 11:3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Douglas Moura"/>
    <s v="35104685896"/>
    <m/>
    <m/>
    <s v="douglas.moura@taiff.com.br"/>
    <s v="5511966896798"/>
    <m/>
    <s v="05836280"/>
    <s v="Rua Luís Gil"/>
    <s v="301"/>
    <m/>
    <s v="Jardim Monte Azul"/>
    <s v="São Paulo"/>
    <s v="SP"/>
    <s v="Filial(São Paulo)"/>
    <m/>
    <m/>
    <m/>
    <m/>
    <s v="e6ad7b9becf79f961347c62a61097dbf"/>
    <s v="Cortesia_BeautyFair"/>
    <s v="Nao"/>
    <x v="7"/>
    <m/>
    <s v="28/01/2026"/>
    <m/>
    <m/>
    <m/>
    <m/>
    <s v="KAM"/>
    <s v="05/03/2025"/>
    <s v="ID-35104685896"/>
    <m/>
    <m/>
    <x v="1"/>
  </r>
  <r>
    <s v="ORDPA03RHM3V6A1G"/>
    <n v="241248"/>
    <s v="28/01/2026 11:34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Rafael Carvalho da Silva"/>
    <s v="05492488627"/>
    <m/>
    <m/>
    <s v="rafael.carvalho@alfaparfdbdc.com.br"/>
    <s v="5511976963606"/>
    <m/>
    <s v="05083010"/>
    <s v="Avenida Diógenes Ribeiro de Lima"/>
    <s v="2991"/>
    <s v="apto 253"/>
    <s v="Alto da Lapa"/>
    <s v="São Paulo"/>
    <s v="SP"/>
    <s v="Filial(São Paulo)"/>
    <m/>
    <m/>
    <m/>
    <m/>
    <s v="504635c97565f68793a0a14f3f1928ed"/>
    <s v="Cortesia_BeautyFair"/>
    <s v="Nao"/>
    <x v="6"/>
    <m/>
    <s v="28/01/2026"/>
    <m/>
    <m/>
    <m/>
    <m/>
    <s v="KAM"/>
    <m/>
    <s v="ID-05492488627"/>
    <m/>
    <m/>
    <x v="1"/>
  </r>
  <r>
    <s v="ORD4JCTSDR3R7IGA"/>
    <n v="241245"/>
    <s v="28/01/2026 11:2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Breno Soares Correia Lustosa"/>
    <s v="11017563497"/>
    <m/>
    <m/>
    <s v="breno.lustosa@grupoboticario.com.br"/>
    <s v="5581989838701"/>
    <m/>
    <s v="51130320"/>
    <s v="Rua General Salgado"/>
    <s v="235"/>
    <s v="Apto 101"/>
    <s v="Boa Viagem"/>
    <s v="Recife"/>
    <s v="PE"/>
    <s v="Filial(São Paulo)"/>
    <m/>
    <m/>
    <m/>
    <m/>
    <s v="79c3f4c21ecf86a785f9cc92aa167a7d"/>
    <s v="Cortesia_BeautyFair"/>
    <s v="Nao"/>
    <x v="7"/>
    <m/>
    <s v="28/01/2026"/>
    <m/>
    <m/>
    <m/>
    <m/>
    <s v="KAM"/>
    <m/>
    <s v="ID-11017563497"/>
    <m/>
    <m/>
    <x v="1"/>
  </r>
  <r>
    <s v="ORD467XW4MC8RWL6"/>
    <n v="241244"/>
    <s v="28/01/2026 11:2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Danielle Jesus"/>
    <s v="10992943710"/>
    <m/>
    <m/>
    <s v="danielle@dutycosmeticos.com"/>
    <s v="5521981601898"/>
    <m/>
    <s v="22630011"/>
    <s v="Avenida Lúcio Costa"/>
    <s v="4350"/>
    <s v="Bl 6 apt 403"/>
    <s v="Barra da Tijuca"/>
    <s v="Rio de Janeiro"/>
    <s v="RJ"/>
    <s v="Filial(São Paulo)"/>
    <m/>
    <m/>
    <m/>
    <m/>
    <s v="0cfef1d12e8bb432714a13e5b332ec6d"/>
    <s v="Cortesia_BeautyFair"/>
    <s v="Nao"/>
    <x v="7"/>
    <m/>
    <s v="28/01/2026"/>
    <m/>
    <m/>
    <m/>
    <m/>
    <s v="KAM"/>
    <m/>
    <s v="ID-10992943710"/>
    <m/>
    <m/>
    <x v="1"/>
  </r>
  <r>
    <s v="ORDIRG3Z0I9PB2S3"/>
    <n v="241243"/>
    <s v="28/01/2026 11:22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arlos Fernando Teixeira da Fonseca"/>
    <s v="12017428701"/>
    <m/>
    <m/>
    <s v="fernando.fonseca@dutycosmeticos.com"/>
    <s v="5521971601229"/>
    <m/>
    <s v="20231016"/>
    <s v="Rua Ubaldino do Amaral"/>
    <s v="41"/>
    <m/>
    <s v="Centro"/>
    <s v="Rio de Janeiro"/>
    <s v="RJ"/>
    <s v="Filial(São Paulo)"/>
    <m/>
    <m/>
    <m/>
    <m/>
    <s v="8a64c9ade0fabe3476827fe0f159bcba"/>
    <s v="Cortesia_BeautyFair"/>
    <s v="Nao"/>
    <x v="7"/>
    <m/>
    <s v="28/01/2026"/>
    <m/>
    <m/>
    <m/>
    <m/>
    <s v="KAM"/>
    <m/>
    <s v="ID-12017428701"/>
    <m/>
    <m/>
    <x v="1"/>
  </r>
  <r>
    <s v="ORDPYVNLWYEPPS6E"/>
    <n v="241236"/>
    <s v="28/01/2026 11:10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Anna Michelin"/>
    <s v="39579551812"/>
    <m/>
    <m/>
    <s v="aninha.fulvia@gmail.com"/>
    <s v="5514991217197"/>
    <m/>
    <s v="17020018"/>
    <s v="Alameda das Rosas"/>
    <s v="16"/>
    <m/>
    <s v="Parque Vista Alegre"/>
    <s v="Bauru"/>
    <s v="SP"/>
    <s v="Filial(São Paulo)"/>
    <m/>
    <m/>
    <m/>
    <m/>
    <s v="71afe1a785a35e1a17d4bf1df742bd57"/>
    <s v="Cortesia_BeautyFair"/>
    <s v="Nao"/>
    <x v="7"/>
    <m/>
    <s v="28/01/2026"/>
    <m/>
    <m/>
    <m/>
    <m/>
    <s v="KAM"/>
    <m/>
    <s v="ID-39579551812"/>
    <m/>
    <m/>
    <x v="1"/>
  </r>
  <r>
    <s v="ORDH6MPSEWMK2YWW"/>
    <n v="241232"/>
    <s v="28/01/2026 10:50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Gabriel Gonçalves Breowicz Wendt"/>
    <s v="02514304130"/>
    <m/>
    <m/>
    <s v="gabrielbwendt@gmail.com"/>
    <s v="5511962330308"/>
    <m/>
    <s v="22203002"/>
    <s v="Rua farani"/>
    <s v="3"/>
    <s v="apto 901"/>
    <s v="Botafogo"/>
    <s v="Rio De Janeiro"/>
    <s v="RJ"/>
    <s v="Filial(São Paulo)"/>
    <m/>
    <m/>
    <m/>
    <m/>
    <s v="eab0d4911d4e553440f29b9570c4d247"/>
    <s v="Cortesia_BeautyFair"/>
    <s v="Nao"/>
    <x v="7"/>
    <m/>
    <s v="28/01/2026"/>
    <m/>
    <m/>
    <m/>
    <m/>
    <s v="KAM"/>
    <m/>
    <s v="ID-02514304130"/>
    <m/>
    <m/>
    <x v="1"/>
  </r>
  <r>
    <s v="ORD6KZJY00KVZ9X4"/>
    <n v="241231"/>
    <s v="28/01/2026 10:4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Guilherme Ascencio"/>
    <s v="38116951858"/>
    <m/>
    <m/>
    <s v="guilherme.ascencio33@gmail.com"/>
    <s v="5518981911400"/>
    <m/>
    <s v="18686451"/>
    <s v="Rua Antônio Frederico Ozanam"/>
    <s v="303"/>
    <m/>
    <s v="Residencial Spazio Verde"/>
    <s v="Lençóis Paulista"/>
    <s v="SP"/>
    <s v="Filial(São Paulo)"/>
    <m/>
    <m/>
    <m/>
    <m/>
    <s v="9bdb5e4bd6089f5e21afb8c2917549cd"/>
    <s v="Cortesia_BeautyFair"/>
    <s v="Nao"/>
    <x v="7"/>
    <m/>
    <s v="28/01/2026"/>
    <m/>
    <m/>
    <m/>
    <m/>
    <s v="KAM"/>
    <m/>
    <s v="ID-38116951858"/>
    <m/>
    <m/>
    <x v="1"/>
  </r>
  <r>
    <s v="ORDT7X8TUUSS6MNA"/>
    <n v="241230"/>
    <s v="28/01/2026 10:4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Camila Villalva Piccolomini Lazarini"/>
    <s v="17834366890"/>
    <m/>
    <m/>
    <s v="camila@vizzela.com.br"/>
    <s v="5519981378587"/>
    <m/>
    <s v="13920077"/>
    <s v="Rua Siqueira Campos"/>
    <s v="243"/>
    <s v="Apto 11"/>
    <s v="Centro"/>
    <s v="Pedreira"/>
    <s v="SP"/>
    <s v="Filial(São Paulo)"/>
    <m/>
    <m/>
    <m/>
    <m/>
    <s v="435c15eee5409594b0d57fd13b48c235"/>
    <s v="Cortesia_BeautyFair"/>
    <s v="Nao"/>
    <x v="7"/>
    <m/>
    <s v="28/01/2026"/>
    <m/>
    <m/>
    <m/>
    <m/>
    <s v="KAM"/>
    <m/>
    <s v="ID-17834366890"/>
    <m/>
    <m/>
    <x v="1"/>
  </r>
  <r>
    <s v="ORD2PKCSE5I74XRA"/>
    <n v="241228"/>
    <s v="28/01/2026 10:38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Marisa Sasaki"/>
    <s v="25925395816"/>
    <m/>
    <m/>
    <s v="gmarketing@arvensis.com.br"/>
    <s v="5511991761225"/>
    <m/>
    <s v="09770170"/>
    <s v="Rua Carlos Rosa Lopes"/>
    <s v="85"/>
    <m/>
    <s v="Santa Terezinha"/>
    <s v="São Bernardo do Campo"/>
    <s v="SP"/>
    <s v="Filial(São Paulo)"/>
    <m/>
    <m/>
    <m/>
    <m/>
    <s v="6b38acd0ae2084240dfb1ea6b7428d56"/>
    <s v="Cortesia_BeautyFair"/>
    <s v="Nao"/>
    <x v="7"/>
    <m/>
    <s v="28/01/2026"/>
    <m/>
    <m/>
    <m/>
    <m/>
    <s v="KAM"/>
    <m/>
    <s v="ID-25925395816"/>
    <m/>
    <m/>
    <x v="1"/>
  </r>
  <r>
    <s v="ORDQC56GNWK5SVHP"/>
    <n v="241227"/>
    <s v="28/01/2026 10:23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Tanise Diel Cassiano Seger"/>
    <s v="02389492061"/>
    <m/>
    <m/>
    <s v="digital@arvensis.com.br"/>
    <s v="5554996351783"/>
    <m/>
    <s v="18192028"/>
    <s v="Estrada da Cooperativa"/>
    <s v="21"/>
    <m/>
    <s v="Barreiros"/>
    <s v="Araçoiaba da Serra"/>
    <s v="SP"/>
    <s v="Filial(São Paulo)"/>
    <m/>
    <m/>
    <m/>
    <m/>
    <s v="510ac363902be93dd64d6a2a1dd03645"/>
    <s v="Cortesia_BeautyFair"/>
    <s v="Nao"/>
    <x v="7"/>
    <m/>
    <s v="28/01/2026"/>
    <m/>
    <m/>
    <m/>
    <m/>
    <s v="KAM"/>
    <m/>
    <s v="ID-02389492061"/>
    <m/>
    <m/>
    <x v="1"/>
  </r>
  <r>
    <s v="ORDMAS7I0FCAWOSO"/>
    <n v="241223"/>
    <s v="28/01/2026 10:00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Kaio Souza"/>
    <s v="10840018452"/>
    <m/>
    <m/>
    <s v="kaio.souza@loreal.com"/>
    <s v="5511993199452"/>
    <m/>
    <s v="05711001"/>
    <s v="Rua Doutor Luiz Migliano"/>
    <s v="1870"/>
    <s v="281b"/>
    <s v="Jardim Caboré"/>
    <s v="São Paulo"/>
    <s v="SP"/>
    <s v="Filial(São Paulo)"/>
    <m/>
    <m/>
    <m/>
    <m/>
    <s v="d7fa49496a95c9bada7fed7ed99d0dea"/>
    <s v="Cortesia_BeautyFair"/>
    <s v="Nao"/>
    <x v="7"/>
    <m/>
    <s v="28/01/2026"/>
    <m/>
    <m/>
    <m/>
    <m/>
    <s v="KAM"/>
    <s v="08/08/2025"/>
    <s v="ID-10840018452"/>
    <m/>
    <m/>
    <x v="1"/>
  </r>
  <r>
    <s v="ORD6NWJIU25EX0W3"/>
    <n v="241222"/>
    <s v="28/01/2026 09:59"/>
    <x v="4"/>
    <m/>
    <s v="28/01/2026"/>
    <s v="Aprovado"/>
    <n v="1"/>
    <n v="0"/>
    <n v="0"/>
    <m/>
    <n v="0"/>
    <m/>
    <s v="Cortesia"/>
    <s v="cortesia"/>
    <s v="Download NRF 2026 - 28 de Janeiro 2026"/>
    <s v="talk-online-internacional-ed1a26"/>
    <s v="Leonardo Pinto"/>
    <s v="20275049825"/>
    <m/>
    <m/>
    <s v="leonardopinto@arvensis.com.br"/>
    <s v="5516982530406"/>
    <m/>
    <s v="05588000"/>
    <s v="Avenida Engenheiro Heitor Antônio Eiras Garcia"/>
    <s v="509"/>
    <s v="apto 174 Torre 4"/>
    <s v="Jardim Esmeralda"/>
    <s v="São Paulo"/>
    <s v="SP"/>
    <s v="Filial(São Paulo)"/>
    <m/>
    <m/>
    <m/>
    <m/>
    <s v="5d670d444aa684257d74492fbe19a475"/>
    <s v="Cortesia_BeautyFair"/>
    <s v="Nao"/>
    <x v="7"/>
    <m/>
    <s v="28/01/2026"/>
    <m/>
    <m/>
    <m/>
    <m/>
    <s v="KAM"/>
    <m/>
    <s v="ID-20275049825"/>
    <m/>
    <m/>
    <x v="1"/>
  </r>
  <r>
    <s v="ORD44R7BS2DHNFVI"/>
    <n v="241196"/>
    <s v="27/01/2026 20:03"/>
    <x v="4"/>
    <m/>
    <s v="27/01/2026"/>
    <s v="Aprovado"/>
    <n v="1"/>
    <n v="0"/>
    <n v="0"/>
    <m/>
    <n v="0"/>
    <m/>
    <s v="Cortesia"/>
    <s v="cortesia"/>
    <s v="Download NRF 2026 - 28 de Janeiro 2026"/>
    <s v="talk-online-internacional-ed1a26"/>
    <s v="Filipi Nunes Erthal"/>
    <s v="03047584001"/>
    <m/>
    <m/>
    <s v="fnerthal@somaposto.com.br"/>
    <s v="5551995200766"/>
    <m/>
    <s v="92510300"/>
    <s v="Rua Buarque de Macedo"/>
    <s v="63"/>
    <m/>
    <s v="Centro"/>
    <s v="Montenegro"/>
    <s v="RS"/>
    <s v="Filial(São Paulo)"/>
    <m/>
    <m/>
    <m/>
    <m/>
    <s v="beb459336ccd7512e57b6eab30cb2c21"/>
    <s v="Cortesia_BeautyFair"/>
    <s v="Nao"/>
    <x v="7"/>
    <m/>
    <s v="28/01/2026"/>
    <m/>
    <m/>
    <m/>
    <m/>
    <s v="KAM"/>
    <s v="31/10/2023"/>
    <s v="ID-03047584001"/>
    <m/>
    <m/>
    <x v="1"/>
  </r>
  <r>
    <s v="ORDGE3JJZYI9QYIH"/>
    <n v="241190"/>
    <s v="27/01/2026 18:08"/>
    <x v="4"/>
    <m/>
    <s v="27/01/2026"/>
    <s v="Aprovado"/>
    <n v="1"/>
    <n v="0"/>
    <n v="0"/>
    <m/>
    <n v="0"/>
    <m/>
    <s v="Cortesia"/>
    <s v="cortesia"/>
    <s v="Download NRF 2026 - 28 de Janeiro 2026"/>
    <s v="talk-online-internacional-ed1a26"/>
    <s v="Fernanda Bittencourt"/>
    <s v="01601511639"/>
    <m/>
    <m/>
    <s v="fe_bitt@yahoo.com.br"/>
    <s v="5511933354455"/>
    <m/>
    <s v="01408001"/>
    <s v="Alameda Casa Branca"/>
    <s v="799"/>
    <s v="Apt 54G"/>
    <s v="Jardim Paulista"/>
    <s v="São Paulo"/>
    <s v="SP"/>
    <s v="Filial(São Paulo)"/>
    <m/>
    <m/>
    <m/>
    <m/>
    <s v="21459a16230250dc575af3b9825bcbf4"/>
    <s v="Cortesia_BeautyFair"/>
    <s v="Nao"/>
    <x v="7"/>
    <m/>
    <s v="28/01/2026"/>
    <m/>
    <m/>
    <m/>
    <m/>
    <s v="KAM"/>
    <s v="14/04/2023"/>
    <s v="ID-01601511639"/>
    <m/>
    <m/>
    <x v="1"/>
  </r>
  <r>
    <s v="COM69790FA246771"/>
    <n v="241166"/>
    <s v="27/01/2026 16:18"/>
    <x v="4"/>
    <m/>
    <s v="28/01/2026"/>
    <s v="Aprovado"/>
    <n v="1"/>
    <n v="1"/>
    <n v="175000"/>
    <s v="Boleto Bradesco"/>
    <n v="328475"/>
    <s v=""/>
    <s v="Boleto"/>
    <s v="boleto"/>
    <s v="Sicredi Gerações - Workshop Liderança [pagamento 02]"/>
    <s v="corporate-workshop-ed9a26_pagamento-02"/>
    <s v="Deise Casarotto da Silva"/>
    <m/>
    <s v="88.471.024/0001-70"/>
    <s v="COOPERATIVA DE CREDITO GERACOES - SICREDI GERACOES RS/MG"/>
    <s v="deise_silva@sicredi.com.br"/>
    <s v="51980174876"/>
    <s v="5137225005"/>
    <s v="96508001"/>
    <s v="SALDANHA MARINHO"/>
    <s v="825"/>
    <m/>
    <s v="CENTRO"/>
    <s v="Cachoeira do Sul"/>
    <s v="RS"/>
    <s v="Filial(São Paulo)"/>
    <s v="Workshop Sicredi Gerações RS/MG  – Liderança Educadora da Sede"/>
    <m/>
    <m/>
    <m/>
    <s v="48a4dc6e4bef35ff3bb699c509b89f49"/>
    <m/>
    <s v="Nao"/>
    <x v="7"/>
    <m/>
    <s v="30/07/2026"/>
    <m/>
    <m/>
    <m/>
    <m/>
    <s v="KAM"/>
    <s v="02/10/2024"/>
    <s v="ID-88471024000170"/>
    <s v="Aguardando recebimento"/>
    <m/>
    <x v="4"/>
  </r>
  <r>
    <s v="COM69790FA246771"/>
    <n v="241166"/>
    <s v="27/01/2026 16:18"/>
    <x v="4"/>
    <m/>
    <s v="28/01/2026"/>
    <s v="Aprovado"/>
    <n v="1"/>
    <n v="1"/>
    <n v="175000"/>
    <s v="Boleto Bradesco"/>
    <n v="328475"/>
    <s v=""/>
    <s v="Boleto"/>
    <s v="boleto"/>
    <s v="Sicredi Gerações - Workshop Liderança [pagamento01]"/>
    <s v="corporate-workshop-ed9a26_pagamento-01"/>
    <s v="Deise Casarotto da Silva"/>
    <m/>
    <s v="88.471.024/0001-70"/>
    <s v="COOPERATIVA DE CREDITO GERACOES - SICREDI GERACOES RS/MG"/>
    <s v="deise_silva@sicredi.com.br"/>
    <s v="51980174876"/>
    <s v="5137225005"/>
    <s v="96508001"/>
    <s v="SALDANHA MARINHO"/>
    <s v="825"/>
    <m/>
    <s v="CENTRO"/>
    <s v="Cachoeira do Sul"/>
    <s v="RS"/>
    <s v="Filial(São Paulo)"/>
    <s v="Workshop Sicredi Gerações RS/MG  – Liderança Educadora da Sede"/>
    <m/>
    <m/>
    <m/>
    <s v="48a4dc6e4bef35ff3bb699c509b89f49"/>
    <m/>
    <s v="Nao"/>
    <x v="7"/>
    <m/>
    <s v="30/03/2026"/>
    <m/>
    <m/>
    <m/>
    <m/>
    <s v="KAM"/>
    <s v="02/10/2024"/>
    <s v="ID-88471024000170"/>
    <s v="Aguardando recebimento"/>
    <m/>
    <x v="4"/>
  </r>
  <r>
    <s v="COM69790FA246771"/>
    <n v="241166"/>
    <s v="27/01/2026 16:18"/>
    <x v="4"/>
    <m/>
    <s v="28/01/2026"/>
    <s v="Aprovado"/>
    <n v="50"/>
    <n v="1"/>
    <n v="0"/>
    <s v="Boleto Bradesco"/>
    <n v="328475"/>
    <s v=""/>
    <s v="Boleto"/>
    <s v="boleto"/>
    <s v="Sicredi Gerações - Workshop Liderança"/>
    <s v="corporate-workshop-ed9a26"/>
    <s v="Deise Casarotto da Silva"/>
    <m/>
    <s v="88.471.024/0001-70"/>
    <s v="COOPERATIVA DE CREDITO GERACOES - SICREDI GERACOES RS/MG"/>
    <s v="deise_silva@sicredi.com.br"/>
    <s v="51980174876"/>
    <s v="5137225005"/>
    <s v="96508001"/>
    <s v="SALDANHA MARINHO"/>
    <s v="825"/>
    <m/>
    <s v="CENTRO"/>
    <s v="Cachoeira do Sul"/>
    <s v="RS"/>
    <s v="Filial(São Paulo)"/>
    <s v="Workshop Sicredi Gerações RS/MG  – Liderança Educadora da Sede"/>
    <m/>
    <m/>
    <m/>
    <s v="48a4dc6e4bef35ff3bb699c509b89f49"/>
    <m/>
    <s v="Nao"/>
    <x v="7"/>
    <m/>
    <s v="06/07/2026"/>
    <m/>
    <m/>
    <m/>
    <m/>
    <s v="KAM"/>
    <s v="02/10/2024"/>
    <s v="ID-88471024000170"/>
    <s v="Aguardando recebimento"/>
    <m/>
    <x v="4"/>
  </r>
  <r>
    <s v="COM6978F7E6D0179"/>
    <n v="241151"/>
    <s v="27/01/2026 14:37"/>
    <x v="4"/>
    <m/>
    <s v="27/01/2026"/>
    <s v="Aprovado"/>
    <n v="1"/>
    <n v="1"/>
    <n v="0"/>
    <m/>
    <n v="0"/>
    <s v=""/>
    <s v="Cortesia"/>
    <s v="cortesia"/>
    <s v="AI for Leaders - 2026"/>
    <s v="ai-for-leaders-ed1a26"/>
    <s v="Antônio Felipe Fonseca"/>
    <s v="33363762895"/>
    <m/>
    <m/>
    <s v="Felipe.fonseca@grupovamos.com.br"/>
    <s v="5511941699166"/>
    <m/>
    <s v="04578-910"/>
    <s v="Avenida das Nações Unidas"/>
    <s v="12901"/>
    <s v="9 andar"/>
    <s v="Brooklin Paulista"/>
    <s v="São Paulo"/>
    <s v="SP"/>
    <s v="Filial(São Paulo)"/>
    <s v="Cortesia StartSe"/>
    <m/>
    <m/>
    <m/>
    <s v="68769cd1f23a0c4ef3a222a8aa2b3073"/>
    <m/>
    <s v="Nao"/>
    <x v="5"/>
    <m/>
    <s v="13/01/2026"/>
    <m/>
    <m/>
    <m/>
    <s v="Brasil"/>
    <s v="KAM"/>
    <m/>
    <s v="ID-33363762895"/>
    <m/>
    <m/>
    <x v="1"/>
  </r>
  <r>
    <s v="COM6978EA91D85D7"/>
    <n v="241144"/>
    <s v="27/01/2026 13:40"/>
    <x v="4"/>
    <m/>
    <m/>
    <s v="Aprovado"/>
    <n v="1"/>
    <n v="1"/>
    <n v="0"/>
    <m/>
    <n v="0"/>
    <s v=""/>
    <s v="Cortesia"/>
    <s v="cortesia"/>
    <s v="AI para Negócios - Imersão Presencial -  11 e 12 de Março de 2026"/>
    <s v="imersao-presencial-de-ai-ed4a26"/>
    <s v="ANA ROCCO"/>
    <s v="09471330700"/>
    <m/>
    <m/>
    <s v="anacarolina_rocco@bat.com"/>
    <s v="5511999999999"/>
    <m/>
    <s v="04578-910"/>
    <s v="Avenida das Nações Unidas"/>
    <s v="12901"/>
    <m/>
    <s v="Brooklin Paulista"/>
    <s v="São Paulo"/>
    <s v="SP"/>
    <s v="Filial(São Paulo)"/>
    <s v="AI para Negócios - Imersão Presencial - 11 e 12 de Março de 2026"/>
    <m/>
    <m/>
    <m/>
    <s v="4c959d0dccb09491041504a6059d106f"/>
    <m/>
    <s v="Nao"/>
    <x v="10"/>
    <m/>
    <s v="11/03/2026"/>
    <m/>
    <m/>
    <m/>
    <m/>
    <s v="KAM"/>
    <m/>
    <s v="ID-09471330700"/>
    <m/>
    <m/>
    <x v="1"/>
  </r>
  <r>
    <s v="ORDRBHHWBIY0PJ55"/>
    <n v="240993"/>
    <s v="26/01/2026 09:38"/>
    <x v="4"/>
    <m/>
    <s v="26/01/2026"/>
    <s v="Aprovado"/>
    <n v="1"/>
    <n v="0"/>
    <n v="0"/>
    <m/>
    <n v="0"/>
    <m/>
    <s v="Cortesia"/>
    <s v="cortesia"/>
    <s v="AI for Leaders - 2ª edição - 2025"/>
    <s v="ai-for-leaders-ed2a25"/>
    <s v="PAMELA EDUARADA PEREIRA OLIVEIRA"/>
    <s v="01868706630"/>
    <m/>
    <m/>
    <s v="pameladuellder@gmail.com"/>
    <s v="5534997755356"/>
    <m/>
    <s v="38425522"/>
    <s v="Rua João Bernardes Cândido"/>
    <s v="88"/>
    <s v="CASA 2"/>
    <s v="Shopping Park"/>
    <s v="Uberlândia"/>
    <s v="MG"/>
    <s v="Filial(São Paulo)"/>
    <m/>
    <m/>
    <m/>
    <m/>
    <s v="bca6e81c6f0b790b199d502487c288b0"/>
    <s v="IAFORLEADERS100%OFFMARTINS"/>
    <s v="Nao"/>
    <x v="0"/>
    <m/>
    <s v="15/05/2025"/>
    <m/>
    <m/>
    <m/>
    <s v="Brasil"/>
    <s v="KAM"/>
    <m/>
    <s v="ID-01868706630"/>
    <m/>
    <m/>
    <x v="1"/>
  </r>
  <r>
    <s v="COM6973DF23A7333"/>
    <n v="240931"/>
    <s v="23/01/2026 17:50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Rachel Arruda Bueno Sarti"/>
    <s v="32318530874"/>
    <m/>
    <m/>
    <s v="rachel.sarti@dasa.com.br"/>
    <s v="5511972027013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64297097375c6798e9a92cc789988876"/>
    <m/>
    <s v="Nao"/>
    <x v="0"/>
    <m/>
    <s v="26/01/2026"/>
    <m/>
    <m/>
    <m/>
    <m/>
    <s v="KAM"/>
    <m/>
    <s v="ID-32318530874"/>
    <m/>
    <m/>
    <x v="1"/>
  </r>
  <r>
    <s v="COM6973DB864EAC5"/>
    <n v="240927"/>
    <s v="23/01/2026 17:35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Gilnara da Costa Silva"/>
    <s v="81938541014"/>
    <m/>
    <m/>
    <s v="gilnara.silva@basa.com.br"/>
    <s v="5591985854762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52e6c387311f5ad686ccf287193e1c98"/>
    <m/>
    <s v="Nao"/>
    <x v="4"/>
    <m/>
    <s v="26/01/2026"/>
    <m/>
    <m/>
    <m/>
    <m/>
    <s v="KAM"/>
    <m/>
    <s v="ID-81938541014"/>
    <m/>
    <m/>
    <x v="1"/>
  </r>
  <r>
    <s v="COM6973D250965C0"/>
    <n v="240918"/>
    <s v="23/01/2026 16:56"/>
    <x v="4"/>
    <m/>
    <s v="23/01/2026"/>
    <s v="Aprovado"/>
    <n v="1"/>
    <n v="1"/>
    <n v="325000"/>
    <s v="Boleto Bradesco"/>
    <n v="1220050"/>
    <s v=""/>
    <s v="Boleto"/>
    <s v="boleto"/>
    <s v="Sicredi Dexis - Jornada"/>
    <s v="corporate-jornada-ed7a26_pagamento01"/>
    <s v="Jessica Ketelin da Silva Correa"/>
    <m/>
    <s v="79.342.069/0001-53"/>
    <s v="COOPERATIVA DE CREDITO POUPANCA E INVESTIMENTO DEXIS SICREDI DEXIS"/>
    <s v="jessica_scorrea@sicredi.com.br"/>
    <s v="44999693880"/>
    <s v="4433445000"/>
    <s v="87013070"/>
    <s v="PARANA"/>
    <s v="891"/>
    <m/>
    <s v="ZONA 01"/>
    <s v="Maringá"/>
    <s v="PR"/>
    <s v="Filial(São Paulo)"/>
    <s v="Jornada Conselheiros Sicredi Dexis"/>
    <m/>
    <m/>
    <m/>
    <s v="0811c6fa0cbc3771af44bfbbe2deb543"/>
    <m/>
    <s v="Nao"/>
    <x v="7"/>
    <m/>
    <s v="22/02/2026"/>
    <m/>
    <m/>
    <m/>
    <m/>
    <s v="KAM"/>
    <s v="08/07/2019"/>
    <s v="ID-79342069000153"/>
    <s v="Pago"/>
    <m/>
    <x v="0"/>
  </r>
  <r>
    <s v="COM6973D250965C0"/>
    <n v="240918"/>
    <s v="23/01/2026 16:56"/>
    <x v="4"/>
    <m/>
    <s v="23/01/2026"/>
    <s v="Aprovado"/>
    <n v="1"/>
    <n v="1"/>
    <n v="325000"/>
    <s v="Boleto Bradesco"/>
    <n v="1220050"/>
    <s v=""/>
    <s v="Boleto"/>
    <s v="boleto"/>
    <s v="Sicredi Dexis - Jornada"/>
    <s v="corporate-jornada-ed7a26_pagamento02"/>
    <s v="Jessica Ketelin da Silva Correa"/>
    <m/>
    <s v="79.342.069/0001-53"/>
    <s v="COOPERATIVA DE CREDITO POUPANCA E INVESTIMENTO DEXIS SICREDI DEXIS"/>
    <s v="jessica_scorrea@sicredi.com.br"/>
    <s v="44999693880"/>
    <s v="4433445000"/>
    <s v="87013070"/>
    <s v="PARANA"/>
    <s v="891"/>
    <m/>
    <s v="ZONA 01"/>
    <s v="Maringá"/>
    <s v="PR"/>
    <s v="Filial(São Paulo)"/>
    <s v="Jornada Conselheiros Sicredi Dexis"/>
    <m/>
    <m/>
    <m/>
    <s v="0811c6fa0cbc3771af44bfbbe2deb543"/>
    <m/>
    <s v="Nao"/>
    <x v="7"/>
    <m/>
    <s v="29/03/2026"/>
    <m/>
    <m/>
    <m/>
    <m/>
    <s v="KAM"/>
    <s v="08/07/2019"/>
    <s v="ID-79342069000153"/>
    <s v="Pago"/>
    <m/>
    <x v="0"/>
  </r>
  <r>
    <s v="COM6973D250965C0"/>
    <n v="240918"/>
    <s v="23/01/2026 16:56"/>
    <x v="4"/>
    <m/>
    <s v="23/01/2026"/>
    <s v="Aprovado"/>
    <n v="1"/>
    <n v="1"/>
    <n v="325000"/>
    <s v="Boleto Bradesco"/>
    <n v="1220050"/>
    <s v=""/>
    <s v="Boleto"/>
    <s v="boleto"/>
    <s v="Sicredi Dexis - Jornada"/>
    <s v="corporate-jornada-ed7a26_pagamento03"/>
    <s v="Jessica Ketelin da Silva Correa"/>
    <m/>
    <s v="79.342.069/0001-53"/>
    <s v="COOPERATIVA DE CREDITO POUPANCA E INVESTIMENTO DEXIS SICREDI DEXIS"/>
    <s v="jessica_scorrea@sicredi.com.br"/>
    <s v="44999693880"/>
    <s v="4433445000"/>
    <s v="87013070"/>
    <s v="PARANA"/>
    <s v="891"/>
    <m/>
    <s v="ZONA 01"/>
    <s v="Maringá"/>
    <s v="PR"/>
    <s v="Filial(São Paulo)"/>
    <s v="Jornada Conselheiros Sicredi Dexis"/>
    <m/>
    <m/>
    <m/>
    <s v="0811c6fa0cbc3771af44bfbbe2deb543"/>
    <m/>
    <s v="Nao"/>
    <x v="7"/>
    <m/>
    <s v="26/04/2026"/>
    <m/>
    <m/>
    <m/>
    <m/>
    <s v="KAM"/>
    <s v="08/07/2019"/>
    <s v="ID-79342069000153"/>
    <s v="Pago"/>
    <m/>
    <x v="0"/>
  </r>
  <r>
    <s v="COM6973D250965C0"/>
    <n v="240918"/>
    <s v="23/01/2026 16:56"/>
    <x v="4"/>
    <m/>
    <s v="23/01/2026"/>
    <s v="Aprovado"/>
    <n v="1"/>
    <n v="1"/>
    <n v="325000"/>
    <s v="Boleto Bradesco"/>
    <n v="1220050"/>
    <s v=""/>
    <s v="Boleto"/>
    <s v="boleto"/>
    <s v="Sicredi Dexis - Jornada"/>
    <s v="corporate-jornada-ed7a26_pagamento04"/>
    <s v="Jessica Ketelin da Silva Correa"/>
    <m/>
    <s v="79.342.069/0001-53"/>
    <s v="COOPERATIVA DE CREDITO POUPANCA E INVESTIMENTO DEXIS SICREDI DEXIS"/>
    <s v="jessica_scorrea@sicredi.com.br"/>
    <s v="44999693880"/>
    <s v="4433445000"/>
    <s v="87013070"/>
    <s v="PARANA"/>
    <s v="891"/>
    <m/>
    <s v="ZONA 01"/>
    <s v="Maringá"/>
    <s v="PR"/>
    <s v="Filial(São Paulo)"/>
    <s v="Jornada Conselheiros Sicredi Dexis"/>
    <m/>
    <m/>
    <m/>
    <s v="0811c6fa0cbc3771af44bfbbe2deb543"/>
    <m/>
    <s v="Nao"/>
    <x v="7"/>
    <m/>
    <s v="04/05/2026"/>
    <m/>
    <m/>
    <m/>
    <m/>
    <s v="KAM"/>
    <s v="08/07/2019"/>
    <s v="ID-79342069000153"/>
    <s v="Pago"/>
    <m/>
    <x v="0"/>
  </r>
  <r>
    <s v="COM6973AFC2C2C99"/>
    <n v="240890"/>
    <s v="23/01/2026 14:28"/>
    <x v="4"/>
    <m/>
    <s v="23/01/2026"/>
    <s v="Aprovado"/>
    <n v="35"/>
    <n v="1"/>
    <n v="275000"/>
    <s v="Boleto Bradesco"/>
    <n v="516175"/>
    <s v=""/>
    <s v="Boleto"/>
    <s v="boleto"/>
    <s v="Multiplica - Business Strategy Design - pagamento 01"/>
    <s v="consulting-strategy-design-ed2a26_pagamento01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04/03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2"/>
    <s v="consulting-strategy-design-ed2a26_pagamento02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28/02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3"/>
    <s v="consulting-strategy-design-ed2a26_pagamento03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1/03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4"/>
    <s v="consulting-strategy-design-ed2a26_pagamento04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0/04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5"/>
    <s v="consulting-strategy-design-ed2a26_pagamento05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1/05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6"/>
    <s v="consulting-strategy-design-ed2a26_pagamento06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0/06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7"/>
    <s v="consulting-strategy-design-ed2a26_pagamento07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1/07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8"/>
    <s v="consulting-strategy-design-ed2a26_pagamento08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1/08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09"/>
    <s v="consulting-strategy-design-ed2a26_pagamento09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0/09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10"/>
    <s v="consulting-strategy-design-ed2a26_pagamento10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1/10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COM6973AFC2C2C99"/>
    <n v="240890"/>
    <s v="23/01/2026 14:28"/>
    <x v="4"/>
    <m/>
    <s v="23/01/2026"/>
    <s v="Aprovado"/>
    <n v="1"/>
    <n v="1"/>
    <n v="27500"/>
    <s v="Boleto Bradesco"/>
    <n v="516175"/>
    <s v=""/>
    <s v="Boleto"/>
    <s v="boleto"/>
    <s v="Multiplica - Business Strategy Design - pagamento 11"/>
    <s v="consulting-strategy-design-ed2a26_pagamento11"/>
    <s v="Giseli Munaretti de Oliveira"/>
    <m/>
    <s v="29.695.351/0001-46"/>
    <s v="PERPETUO CONSULTORIA ESPECIALIZADA LTDA"/>
    <s v="giseli.oliveira@grupomultiplica.com.br"/>
    <s v="11948148240"/>
    <s v="1125785628"/>
    <s v="01311000"/>
    <s v="PAULISTA"/>
    <s v="283"/>
    <s v="CONJ 141"/>
    <s v="BELA VISTA"/>
    <s v="São Paulo"/>
    <s v="SP"/>
    <s v="Filial(São Paulo)"/>
    <s v="Multiplica - Business Strategy Design"/>
    <m/>
    <m/>
    <m/>
    <s v="47eab543350ddbf2505235d3c1c61bac"/>
    <m/>
    <s v="Nao"/>
    <x v="11"/>
    <m/>
    <s v="30/11/2026"/>
    <m/>
    <m/>
    <m/>
    <s v="StartSe Consulting,StartSe Consulting,StartSe Consulting,StartSe Consulting,StartSe Consulting,StartSe Consulting,StartSe Consulting,StartSe Consulting,StartSe Consulting,StartSe Consulting,StartSe Consulting"/>
    <s v="KAM"/>
    <s v="17/06/2022"/>
    <s v="ID-29695351000146"/>
    <s v="Aguardando recebimento"/>
    <m/>
    <x v="4"/>
  </r>
  <r>
    <s v="ORD0EAT50OPY1X7E"/>
    <n v="240813"/>
    <s v="22/01/2026 17:19"/>
    <x v="4"/>
    <m/>
    <s v="22/01/2026"/>
    <s v="Aprovado"/>
    <n v="1"/>
    <n v="0"/>
    <n v="0"/>
    <m/>
    <n v="0"/>
    <m/>
    <s v="Cortesia"/>
    <s v="cortesia"/>
    <s v="AI for Leaders - 2ª edição - 2025"/>
    <s v="ai-for-leaders-ed2a25"/>
    <s v="Nixon Santos Ribeiro"/>
    <s v="01516651685"/>
    <m/>
    <m/>
    <s v="nribeiro@tribanco.com.br"/>
    <s v="5534999991747"/>
    <m/>
    <s v="38408084"/>
    <s v="Rua Manoel Camargos da Cruz"/>
    <s v="285"/>
    <s v="Apto 603"/>
    <s v="Santa Mônica"/>
    <s v="Uberlândia"/>
    <s v="MG"/>
    <s v="Filial(São Paulo)"/>
    <m/>
    <m/>
    <m/>
    <m/>
    <s v="860c652a57610a0da4556d7df1d4e6b2"/>
    <s v="OFFTRIBANCO"/>
    <s v="Nao"/>
    <x v="0"/>
    <m/>
    <s v="15/05/2025"/>
    <m/>
    <m/>
    <m/>
    <s v="Brasil"/>
    <s v="KAM"/>
    <m/>
    <s v="ID-01516651685"/>
    <m/>
    <m/>
    <x v="1"/>
  </r>
  <r>
    <s v="ORD9N9IPTEHRV8FK"/>
    <n v="240812"/>
    <s v="22/01/2026 17:16"/>
    <x v="4"/>
    <m/>
    <s v="22/01/2026"/>
    <s v="Aprovado"/>
    <n v="1"/>
    <n v="0"/>
    <n v="0"/>
    <m/>
    <n v="0"/>
    <m/>
    <s v="Cortesia"/>
    <s v="cortesia"/>
    <s v="AI for Leaders - 2ª edição - 2025"/>
    <s v="ai-for-leaders-ed2a25"/>
    <s v="Alfeu de Oliveira Jácome"/>
    <s v="82803471604"/>
    <m/>
    <m/>
    <s v="alfeu@tribanco.com.br"/>
    <s v="5534999919329"/>
    <m/>
    <s v="38408268"/>
    <s v="Rua Lourdes de Carvalho"/>
    <s v="1615"/>
    <m/>
    <s v="Segismundo Pereira"/>
    <s v="Uberlândia"/>
    <s v="MG"/>
    <s v="Filial(São Paulo)"/>
    <m/>
    <m/>
    <m/>
    <m/>
    <s v="6d9575ed8d8266a660e216344f3fcfe5"/>
    <s v="OFFTRIBANCO"/>
    <s v="Nao"/>
    <x v="0"/>
    <m/>
    <s v="15/05/2025"/>
    <m/>
    <m/>
    <m/>
    <s v="Brasil"/>
    <s v="KAM"/>
    <m/>
    <s v="ID-82803471604"/>
    <m/>
    <m/>
    <x v="1"/>
  </r>
  <r>
    <s v="COM697259BDE8FAD"/>
    <n v="240782"/>
    <s v="22/01/2026 14:09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Marcelo Ferreira da Gama"/>
    <s v="12762462851"/>
    <m/>
    <m/>
    <s v="marcelo.gama@lusobank.com.br"/>
    <s v="5511976154262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8a998869abc0e55dbce2ce3fdea95a66"/>
    <m/>
    <s v="Nao"/>
    <x v="4"/>
    <m/>
    <s v="26/01/2026"/>
    <m/>
    <m/>
    <m/>
    <m/>
    <s v="KAM"/>
    <m/>
    <s v="ID-12762462851"/>
    <m/>
    <m/>
    <x v="1"/>
  </r>
  <r>
    <s v="ORD040SYG7B6MX0U"/>
    <n v="240756"/>
    <s v="22/01/2026 10:30"/>
    <x v="4"/>
    <m/>
    <s v="22/01/2026"/>
    <s v="Aprovado"/>
    <n v="1"/>
    <n v="3"/>
    <n v="850.08"/>
    <s v="Braintree"/>
    <n v="797.8"/>
    <s v="28974115835F8PI6EOBE"/>
    <s v="Crédito Parcelado"/>
    <s v="mastercard"/>
    <s v="RH Leadership Xperience 2026 - Ingresso Interactive"/>
    <s v="evento-rh-ed1a26_interactive"/>
    <s v="Samara Marinho Lisboa"/>
    <s v="93895445304"/>
    <s v="35.125.640/0001-02"/>
    <s v="Distribuidora Litoral de Gêneros Alimentícios Ltda"/>
    <s v="contasapagar@brokersaoluis.com.br"/>
    <s v="5598981181541"/>
    <m/>
    <s v="65095601"/>
    <s v="Avenida Engenheiro Emiliano Macieira"/>
    <s v="34"/>
    <s v="Rod Br 135"/>
    <s v="Tibiri"/>
    <s v="São Luís"/>
    <s v="MA"/>
    <s v="Filial(São Paulo)"/>
    <m/>
    <m/>
    <m/>
    <m/>
    <s v="e8b046e1282240d28d8cea91a1da0761"/>
    <s v="Interactive-NewBrokers"/>
    <s v="Nao"/>
    <x v="7"/>
    <m/>
    <s v="26/03/2026"/>
    <m/>
    <m/>
    <m/>
    <m/>
    <s v="KAM"/>
    <s v="29/04/2025"/>
    <s v="ID-35125640000102"/>
    <m/>
    <m/>
    <x v="0"/>
  </r>
  <r>
    <s v="COM697148048AE0A"/>
    <n v="240721"/>
    <s v="21/01/2026 18:41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Alexandre Mancini"/>
    <s v="21814251839"/>
    <m/>
    <m/>
    <s v="Alexandre.Mancini@senior.com.br"/>
    <s v="5519997253989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336576ff5fa982bf2bcc7738590673f1"/>
    <m/>
    <s v="Nao"/>
    <x v="5"/>
    <m/>
    <s v="26/01/2026"/>
    <m/>
    <m/>
    <m/>
    <m/>
    <s v="KAM"/>
    <m/>
    <s v="ID-21814251839"/>
    <m/>
    <m/>
    <x v="1"/>
  </r>
  <r>
    <s v="COM6971479130415"/>
    <n v="240720"/>
    <s v="21/01/2026 18:39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Priscila Falcão"/>
    <s v="09815924737"/>
    <m/>
    <m/>
    <s v="pbfalcao@ipiranga.ipiranga"/>
    <s v="5521996762674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eab6cc3eefb37a93e13dcc3c900359c3"/>
    <m/>
    <s v="Nao"/>
    <x v="4"/>
    <m/>
    <s v="26/01/2026"/>
    <m/>
    <m/>
    <m/>
    <m/>
    <s v="KAM"/>
    <m/>
    <s v="ID-09815924737"/>
    <m/>
    <m/>
    <x v="1"/>
  </r>
  <r>
    <s v="COM6971226F5EB0A"/>
    <n v="240702"/>
    <s v="21/01/2026 16:01"/>
    <x v="4"/>
    <m/>
    <m/>
    <s v="Aprovado"/>
    <n v="1"/>
    <n v="1"/>
    <n v="0"/>
    <m/>
    <n v="0"/>
    <s v=""/>
    <s v="Cortesia"/>
    <s v="cortesia"/>
    <s v="Executive Program - 23 a 25 de Março de 2026"/>
    <s v="executive-program-ed3a26"/>
    <s v="Amanda Rubino"/>
    <s v="43033558879"/>
    <m/>
    <m/>
    <s v="amanda.rubino@mondial.com.br"/>
    <s v="5511912151947"/>
    <m/>
    <s v="04578-910"/>
    <s v="Avenida das Nações Unidas"/>
    <s v="12901"/>
    <m/>
    <s v="Brooklin Paulista"/>
    <s v="São Paulo"/>
    <s v="SP"/>
    <s v="Filial(São Paulo)"/>
    <s v="430.335.588-79"/>
    <m/>
    <m/>
    <m/>
    <s v="518880b3e2053a5c7ef30e0583bfad38"/>
    <m/>
    <s v="Nao"/>
    <x v="4"/>
    <m/>
    <s v="23/03/2026"/>
    <m/>
    <m/>
    <m/>
    <m/>
    <s v="KAM"/>
    <m/>
    <s v="ID-43033558879"/>
    <m/>
    <m/>
    <x v="1"/>
  </r>
  <r>
    <s v="COM697113E598594"/>
    <n v="240694"/>
    <s v="21/01/2026 14:59"/>
    <x v="4"/>
    <m/>
    <m/>
    <s v="Aprovado"/>
    <n v="2"/>
    <n v="1"/>
    <n v="0"/>
    <m/>
    <n v="0"/>
    <s v=""/>
    <s v="Cortesia"/>
    <s v="cortesia"/>
    <s v="Executive Program - 26 a 28 de Janeiro de 2026"/>
    <s v="executive-program-ed1a26"/>
    <s v="Fiorella Peroni"/>
    <s v="05201859860"/>
    <m/>
    <m/>
    <s v="fiorella.peroni@oracle.com"/>
    <s v="5511999999999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bb72ffbff42b4926eb6b6fdf61f10a50"/>
    <m/>
    <s v="Nao"/>
    <x v="10"/>
    <m/>
    <s v="26/01/2026"/>
    <m/>
    <m/>
    <m/>
    <m/>
    <s v="KAM"/>
    <s v="16/04/2026"/>
    <s v="ID-05201859860"/>
    <m/>
    <m/>
    <x v="1"/>
  </r>
  <r>
    <s v="COM69711348D2219"/>
    <n v="240692"/>
    <s v="21/01/2026 14:56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ALLEN CHAHAD"/>
    <s v="29510918857"/>
    <m/>
    <m/>
    <s v="allen@vibra.digital"/>
    <s v="5511975411621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1ce878a6a84db9ced5cf7273112c7087"/>
    <m/>
    <s v="Nao"/>
    <x v="3"/>
    <m/>
    <s v="26/01/2026"/>
    <m/>
    <m/>
    <m/>
    <m/>
    <s v="KAM"/>
    <m/>
    <s v="ID-29510918857"/>
    <m/>
    <m/>
    <x v="1"/>
  </r>
  <r>
    <s v="COM697110DDB7267"/>
    <n v="240688"/>
    <s v="21/01/2026 14:46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Rafael Leite Gregorio"/>
    <s v="01464883424"/>
    <m/>
    <m/>
    <s v="rafael.gregorio@santander.com.br"/>
    <s v="5561981348409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6ed314f15b3ee5ecbe6feb5964d4a667"/>
    <m/>
    <s v="Nao"/>
    <x v="4"/>
    <m/>
    <s v="26/01/2026"/>
    <m/>
    <m/>
    <m/>
    <m/>
    <s v="KAM"/>
    <m/>
    <s v="ID-01464883424"/>
    <m/>
    <m/>
    <x v="1"/>
  </r>
  <r>
    <s v="COM6971107A70110"/>
    <n v="240687"/>
    <s v="21/01/2026 14:44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Fabio Domingues de Oliveira"/>
    <s v="15548167855"/>
    <m/>
    <m/>
    <s v="fabio.doliveira@jsl.com.br"/>
    <s v="5555119557791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3c9ff058e0569cd128e74ede387db39b"/>
    <m/>
    <s v="Nao"/>
    <x v="5"/>
    <m/>
    <s v="26/01/2026"/>
    <m/>
    <m/>
    <m/>
    <m/>
    <s v="KAM"/>
    <s v="10/07/2023"/>
    <s v="ID-15548167855"/>
    <m/>
    <m/>
    <x v="1"/>
  </r>
  <r>
    <s v="COM69710DBC0E796"/>
    <n v="240685"/>
    <s v="21/01/2026 14:32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William Vicentini"/>
    <s v="35954421803"/>
    <m/>
    <m/>
    <s v="william.vicentini@olxbr.com"/>
    <s v="5511950912634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fa01f52afbed7c73f610d0370f484d4a"/>
    <m/>
    <s v="Nao"/>
    <x v="8"/>
    <m/>
    <s v="26/01/2026"/>
    <m/>
    <m/>
    <m/>
    <m/>
    <s v="KAM"/>
    <m/>
    <s v="ID-35954421803"/>
    <m/>
    <m/>
    <x v="1"/>
  </r>
  <r>
    <s v="COM69710D57E07C0"/>
    <n v="240684"/>
    <s v="21/01/2026 14:31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Felipe Tadeu Valcanaia"/>
    <s v="06362747992"/>
    <m/>
    <m/>
    <s v="felipe.valcanaia@olxbr.com"/>
    <s v="5547988054899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69343b51e7ca21f97023742ef1244948"/>
    <m/>
    <s v="Nao"/>
    <x v="8"/>
    <m/>
    <s v="26/01/2026"/>
    <m/>
    <m/>
    <m/>
    <m/>
    <s v="KAM"/>
    <m/>
    <s v="ID-06362747992"/>
    <m/>
    <m/>
    <x v="1"/>
  </r>
  <r>
    <s v="COM69710CB01CB63"/>
    <n v="240683"/>
    <s v="21/01/2026 14:28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Silvano Lima de luna"/>
    <s v="06938565805"/>
    <m/>
    <m/>
    <s v="Silvano.Luna@cacaufoods.com.br"/>
    <s v="5511999999999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839e50d3887664636964c38ed436406b"/>
    <m/>
    <s v="Nao"/>
    <x v="11"/>
    <m/>
    <s v="26/01/2026"/>
    <m/>
    <m/>
    <m/>
    <m/>
    <s v="KAM"/>
    <s v="27/03/2026"/>
    <s v="ID-06938565805"/>
    <m/>
    <m/>
    <x v="1"/>
  </r>
  <r>
    <s v="ORD206UW739LXI6C"/>
    <n v="240629"/>
    <s v="21/01/2026 08:47"/>
    <x v="4"/>
    <m/>
    <s v="21/01/2026"/>
    <s v="Aprovado"/>
    <n v="1"/>
    <n v="0"/>
    <n v="0"/>
    <m/>
    <n v="0"/>
    <m/>
    <s v="Cortesia"/>
    <s v="cortesia"/>
    <s v="AI for Leaders - 2ª edição - 2025"/>
    <s v="ai-for-leaders-ed2a25"/>
    <s v="Bruna Meireles dos Santos"/>
    <s v="11145923666"/>
    <m/>
    <m/>
    <s v="bruna.santos@martins.com.br"/>
    <s v="5534991519667"/>
    <m/>
    <s v="38410384"/>
    <s v="Avenida Serra do Espinhaço"/>
    <s v="911"/>
    <m/>
    <s v="São Jorge"/>
    <s v="Uberlândia"/>
    <s v="MG"/>
    <s v="Filial(São Paulo)"/>
    <m/>
    <m/>
    <m/>
    <m/>
    <s v="203b3d78907594c38b04d13a4745310a"/>
    <s v="IAFORLEADERS100%OFFMARTINS"/>
    <s v="Nao"/>
    <x v="0"/>
    <m/>
    <s v="15/05/2025"/>
    <m/>
    <m/>
    <m/>
    <s v="Brasil"/>
    <s v="KAM"/>
    <m/>
    <s v="ID-11145923666"/>
    <m/>
    <m/>
    <x v="1"/>
  </r>
  <r>
    <s v="COM696E6DFB225F0"/>
    <n v="240520"/>
    <s v="19/01/2026 14:46"/>
    <x v="4"/>
    <m/>
    <s v="19/01/2026"/>
    <s v="Aprovado"/>
    <n v="1"/>
    <n v="1"/>
    <n v="0"/>
    <m/>
    <n v="0"/>
    <s v=""/>
    <s v="Cortesia"/>
    <s v="cortesia"/>
    <s v="Executive Program - 23 a 25 de Março de 2026"/>
    <s v="executive-program-ed3a26"/>
    <s v="Marco Aurélio Alves Melo"/>
    <s v="77898435168"/>
    <m/>
    <m/>
    <s v="marcoaurelio@grupomtf.com.br"/>
    <s v="556291570090"/>
    <m/>
    <s v="04578-910"/>
    <s v="Avenida das Nações Unidas"/>
    <s v="12901"/>
    <m/>
    <s v="Brooklin Paulista"/>
    <s v="São Paulo"/>
    <s v="SP"/>
    <s v="Filial(São Paulo)"/>
    <s v="Executive Program - 23 a 25 de Março de 2026"/>
    <m/>
    <m/>
    <m/>
    <s v="3052b39b557ec0a7894de58a121c2741"/>
    <m/>
    <s v="Nao"/>
    <x v="0"/>
    <m/>
    <s v="23/03/2026"/>
    <m/>
    <m/>
    <m/>
    <m/>
    <s v="KAM"/>
    <m/>
    <s v="ID-77898435168"/>
    <m/>
    <m/>
    <x v="1"/>
  </r>
  <r>
    <s v="ORD2J89D39MUAO47"/>
    <n v="240417"/>
    <s v="16/01/2026 16:00"/>
    <x v="4"/>
    <m/>
    <s v="16/01/2026"/>
    <s v="Aprovado"/>
    <n v="1"/>
    <n v="0"/>
    <n v="0"/>
    <m/>
    <n v="0"/>
    <m/>
    <s v="Cortesia"/>
    <s v="cortesia"/>
    <s v="AI for Leaders - 2ª edição - 2025"/>
    <s v="ai-for-leaders-ed2a25"/>
    <s v="Luiz Felipe Vieira Maciel"/>
    <s v="13318947601"/>
    <m/>
    <m/>
    <s v="luiz.felipe@martins.com.br"/>
    <s v="5534999943641"/>
    <m/>
    <s v="38413069"/>
    <s v="Avenida Jacarandá"/>
    <s v="100"/>
    <s v="Apto 202 - C"/>
    <s v="Jaraguá"/>
    <s v="Uberlândia"/>
    <s v="MG"/>
    <s v="Filial(São Paulo)"/>
    <m/>
    <m/>
    <m/>
    <m/>
    <s v="0a54016ec0d787dab5d1dc3b18a3c7f9"/>
    <s v="IAFORLEADERS100%OFFMARTINS"/>
    <s v="Nao"/>
    <x v="0"/>
    <m/>
    <s v="15/05/2025"/>
    <m/>
    <m/>
    <m/>
    <s v="Brasil"/>
    <s v="KAM"/>
    <m/>
    <s v="ID-13318947601"/>
    <m/>
    <m/>
    <x v="1"/>
  </r>
  <r>
    <s v="COM696A4A16E38FE"/>
    <n v="240377"/>
    <s v="16/01/2026 11:24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José Fernando Uchôa Costa Neto"/>
    <s v="37532618404"/>
    <m/>
    <m/>
    <s v="jfuchoa@compesa.com.br"/>
    <s v="5581982426670"/>
    <m/>
    <s v="50040-000"/>
    <s v="Avenida Cruz Cabugá"/>
    <s v="1387"/>
    <m/>
    <s v="Santo Amaro"/>
    <s v="Recife"/>
    <s v="PE"/>
    <s v="Filial(São Paulo)"/>
    <s v="Executive Program - 26 a 28 de Janeiro de 2026"/>
    <m/>
    <m/>
    <m/>
    <s v="d96f88220f7e6ddd1a3396876c726814"/>
    <m/>
    <s v="Nao"/>
    <x v="2"/>
    <m/>
    <s v="26/01/2026"/>
    <m/>
    <m/>
    <m/>
    <m/>
    <s v="KAM"/>
    <m/>
    <s v="ID-37532618404"/>
    <m/>
    <m/>
    <x v="1"/>
  </r>
  <r>
    <s v="COM696A1C6A38478"/>
    <n v="240349"/>
    <s v="16/01/2026 08:09"/>
    <x v="4"/>
    <m/>
    <s v="16/01/2026"/>
    <s v="Aprovado"/>
    <n v="2"/>
    <n v="1"/>
    <n v="0"/>
    <m/>
    <n v="0"/>
    <s v=""/>
    <s v="Cortesia"/>
    <s v="cortesia"/>
    <s v="AI for Leaders - 2ª edição - 2025"/>
    <s v="ai-for-leaders-ed2a25"/>
    <s v="Pamela Lima de Oliveira"/>
    <s v="40075590824"/>
    <m/>
    <m/>
    <s v="pamela6202@gmail.com"/>
    <s v="5535998087375"/>
    <m/>
    <s v="05616-011"/>
    <s v="Rua Dom Armando Lombardi"/>
    <s v="800"/>
    <m/>
    <s v="Vila Progredior"/>
    <s v="São Paulo"/>
    <s v="SP"/>
    <s v="Filial(São Paulo)"/>
    <s v="AI for Leaders - 2ª edição - 2025"/>
    <m/>
    <m/>
    <m/>
    <s v="60220befd1da69f73540ad4ca1ed7891"/>
    <m/>
    <s v="Nao"/>
    <x v="6"/>
    <m/>
    <s v="15/05/2025"/>
    <m/>
    <m/>
    <m/>
    <s v="Brasil"/>
    <s v="KAM"/>
    <m/>
    <s v="ID-40075590824"/>
    <m/>
    <m/>
    <x v="1"/>
  </r>
  <r>
    <s v="COM696924BA3E3D2"/>
    <n v="240308"/>
    <s v="15/01/2026 14:32"/>
    <x v="4"/>
    <m/>
    <m/>
    <s v="Aprovado"/>
    <n v="1"/>
    <n v="1"/>
    <n v="0"/>
    <m/>
    <n v="0"/>
    <s v=""/>
    <s v="Cortesia"/>
    <s v="cortesia"/>
    <s v="Download NRF 2026 - 28 de Janeiro 2026"/>
    <s v="talk-online-internacional-ed1a26"/>
    <s v="Daniella Alexim Romano"/>
    <s v="41018920838"/>
    <m/>
    <m/>
    <s v="daniellaromano3@gmail.com"/>
    <s v="551197514800"/>
    <m/>
    <s v="04578-910"/>
    <s v="Avenida das Nações Unidas"/>
    <s v="12901"/>
    <m/>
    <s v="Brooklin Paulista"/>
    <s v="São Paulo"/>
    <s v="SP"/>
    <s v="Filial(São Paulo)"/>
    <s v="Download NRF 2026 - 28 de Janeiro 2026"/>
    <m/>
    <m/>
    <m/>
    <s v="57ffb2473db1ae760ba1d391bd81216d"/>
    <m/>
    <s v="Nao"/>
    <x v="6"/>
    <m/>
    <s v="28/01/2026"/>
    <m/>
    <m/>
    <m/>
    <m/>
    <s v="KAM"/>
    <m/>
    <s v="ID-41018920838"/>
    <m/>
    <m/>
    <x v="1"/>
  </r>
  <r>
    <s v="ORDZ7IY3R77RKFVM"/>
    <n v="240297"/>
    <s v="15/01/2026 13:12"/>
    <x v="4"/>
    <m/>
    <s v="15/01/2026"/>
    <s v="Aprovado"/>
    <n v="1"/>
    <n v="0"/>
    <n v="0"/>
    <m/>
    <n v="0"/>
    <m/>
    <s v="Cortesia"/>
    <s v="cortesia"/>
    <s v="AI for Leaders - 2ª edição - 2025"/>
    <s v="ai-for-leaders-ed2a25"/>
    <s v="Andreia Martins Lopes"/>
    <s v="84714921649"/>
    <m/>
    <m/>
    <s v="alopes@tribanco.com.br"/>
    <s v="5534991357294"/>
    <m/>
    <s v="38400074"/>
    <s v="Rua Carajás"/>
    <s v="1600"/>
    <s v="Bloco D APTO 02"/>
    <s v="Lídice"/>
    <s v="Uberlândia"/>
    <s v="MG"/>
    <s v="Filial(São Paulo)"/>
    <m/>
    <m/>
    <m/>
    <m/>
    <s v="84e32bf820ef8cae37a30bfce3129ee8"/>
    <s v="OFFTRIBANCO"/>
    <s v="Nao"/>
    <x v="0"/>
    <m/>
    <s v="15/05/2025"/>
    <m/>
    <m/>
    <m/>
    <s v="Brasil"/>
    <s v="KAM"/>
    <m/>
    <s v="ID-84714921649"/>
    <m/>
    <m/>
    <x v="1"/>
  </r>
  <r>
    <s v="ORDUVYXWYDFIJ2WN"/>
    <n v="240229"/>
    <s v="14/01/2026 15:12"/>
    <x v="4"/>
    <m/>
    <s v="14/01/2026"/>
    <s v="Aprovado"/>
    <n v="1"/>
    <n v="0"/>
    <n v="0"/>
    <m/>
    <n v="0"/>
    <m/>
    <s v="Cortesia"/>
    <s v="cortesia"/>
    <s v="AI for Leaders - 2ª edição - 2025"/>
    <s v="ai-for-leaders-ed2a25"/>
    <s v="HILEJHANNE DE PAULA ALVES"/>
    <s v="04739621606"/>
    <m/>
    <m/>
    <s v="halves@tribancoseguros.com.br"/>
    <s v="5534988279323"/>
    <m/>
    <s v="38408648"/>
    <s v="Rua Leopoldo Bulhões"/>
    <s v="274"/>
    <m/>
    <s v="Pampulha"/>
    <s v="Uberlândia"/>
    <s v="MG"/>
    <s v="Filial(São Paulo)"/>
    <m/>
    <m/>
    <m/>
    <m/>
    <s v="84e29b0c8a3a5389d2810fb31a89a380"/>
    <s v="OFFTRIBANCO"/>
    <s v="Nao"/>
    <x v="0"/>
    <m/>
    <s v="15/05/2025"/>
    <m/>
    <m/>
    <m/>
    <s v="Brasil"/>
    <s v="KAM"/>
    <m/>
    <s v="ID-04739621606"/>
    <m/>
    <m/>
    <x v="1"/>
  </r>
  <r>
    <s v="ORDT9YF66992UPFN"/>
    <n v="240227"/>
    <s v="14/01/2026 15:05"/>
    <x v="4"/>
    <m/>
    <s v="14/01/2026"/>
    <s v="Aprovado"/>
    <n v="1"/>
    <n v="0"/>
    <n v="0"/>
    <m/>
    <n v="0"/>
    <m/>
    <s v="Cortesia"/>
    <s v="cortesia"/>
    <s v="AI for Leaders - 2ª edição - 2025"/>
    <s v="ai-for-leaders-ed2a25"/>
    <s v="Roberta Berjas de Barros"/>
    <s v="28917841899"/>
    <m/>
    <m/>
    <s v="robertab@tribanco.com.br"/>
    <s v="5511997863924"/>
    <m/>
    <s v="01307002"/>
    <s v="Rua Frei Caneca"/>
    <s v="1380"/>
    <s v="Andar 4"/>
    <s v="Consolação"/>
    <s v="São Paulo"/>
    <s v="SP"/>
    <s v="Filial(São Paulo)"/>
    <m/>
    <m/>
    <m/>
    <m/>
    <s v="9d1295a8ae0fc69e1c926f84eb735849"/>
    <s v="OFFTRIBANCO"/>
    <s v="Nao"/>
    <x v="0"/>
    <m/>
    <s v="15/05/2025"/>
    <m/>
    <m/>
    <m/>
    <s v="Brasil"/>
    <s v="KAM"/>
    <s v="28/04/2025"/>
    <s v="ID-28917841899"/>
    <m/>
    <m/>
    <x v="1"/>
  </r>
  <r>
    <s v="ORD8GSSNM4L50XY4"/>
    <n v="240160"/>
    <s v="14/01/2026 14:05"/>
    <x v="4"/>
    <m/>
    <s v="14/01/2026"/>
    <s v="Aprovado"/>
    <n v="1"/>
    <n v="0"/>
    <n v="0"/>
    <m/>
    <n v="0"/>
    <m/>
    <s v="Cortesia"/>
    <s v="cortesia"/>
    <s v="AI for Leaders - 2ª edição - 2025"/>
    <s v="ai-for-leaders-ed2a25"/>
    <s v="Roberta Berjas de Barros"/>
    <s v="28917841899"/>
    <m/>
    <m/>
    <s v="robertab@tribanco.com.br"/>
    <s v="5511997863924"/>
    <m/>
    <s v="01307002"/>
    <s v="Rua Frei Caneca"/>
    <s v="1380"/>
    <s v="Andar 4"/>
    <s v="Consolação"/>
    <s v="São Paulo"/>
    <s v="SP"/>
    <s v="Filial(São Paulo)"/>
    <m/>
    <m/>
    <m/>
    <m/>
    <s v="9619d660c1a2fd177637d1456517f286"/>
    <s v="OFFTRIBANCO"/>
    <s v="Nao"/>
    <x v="0"/>
    <m/>
    <s v="15/05/2025"/>
    <m/>
    <m/>
    <m/>
    <s v="Brasil"/>
    <s v="KAM"/>
    <s v="28/04/2025"/>
    <s v="ID-28917841899"/>
    <m/>
    <m/>
    <x v="1"/>
  </r>
  <r>
    <s v="COM6967C9D884842"/>
    <n v="240159"/>
    <s v="14/01/2026 13:52"/>
    <x v="4"/>
    <m/>
    <s v="30/01/2026"/>
    <s v="Aprovado"/>
    <n v="1"/>
    <n v="1"/>
    <n v="1500000"/>
    <s v="Boleto Bradesco"/>
    <n v="1407750"/>
    <s v=""/>
    <s v="Boleto"/>
    <s v="boleto"/>
    <s v="GM Financial/Banco GM - Contrato Guarda-chuva"/>
    <s v="corporate-melhor-escolha-ed3a26"/>
    <s v="Valeria Machado"/>
    <m/>
    <s v="59.274.605/0001-13"/>
    <s v="BANCO GM S.A"/>
    <s v="valeriamachado@gmfinancial.com"/>
    <s v="11953053199"/>
    <s v="1189221469"/>
    <s v="04062003"/>
    <s v="INDIANOPOLIS"/>
    <s v="3096"/>
    <m/>
    <s v="INDIANOPOLIS"/>
    <s v="São Paulo"/>
    <s v="SP"/>
    <s v="Filial(São Paulo)"/>
    <s v="StartSe 2026/2027"/>
    <m/>
    <m/>
    <m/>
    <s v="a1e7cac78ecd2363132aeefb9c464f9f"/>
    <m/>
    <s v="Nao"/>
    <x v="10"/>
    <m/>
    <s v="31/12/2099"/>
    <m/>
    <m/>
    <m/>
    <m/>
    <s v="KAM"/>
    <s v="28/09/2017"/>
    <s v="ID-59274605000113"/>
    <s v="Aguardando recebimento"/>
    <m/>
    <x v="2"/>
  </r>
  <r>
    <s v="ORD91PSVK5BQCM4C"/>
    <n v="240121"/>
    <s v="14/01/2026 09:39"/>
    <x v="4"/>
    <m/>
    <s v="14/01/2026"/>
    <s v="Aprovado"/>
    <n v="1"/>
    <n v="0"/>
    <n v="0"/>
    <m/>
    <n v="0"/>
    <m/>
    <s v="Cortesia"/>
    <s v="cortesia"/>
    <s v="AI for Leaders - 2ª edição - 2025"/>
    <s v="ai-for-leaders-ed2a25"/>
    <s v="Marcos Clay da Rocha e Silva"/>
    <s v="75933675172"/>
    <m/>
    <m/>
    <s v="mclay@tribanco.com.br"/>
    <s v="5534992340001"/>
    <m/>
    <s v="38406064"/>
    <s v="Rua Antônio Francisco Rosa"/>
    <s v="231"/>
    <s v="Alameda dos Ingás, 450"/>
    <s v="Aclimação"/>
    <s v="Uberlândia"/>
    <s v="MG"/>
    <s v="Filial(São Paulo)"/>
    <m/>
    <m/>
    <m/>
    <m/>
    <s v="c600084fb5d6a1558fdd5defd90db392"/>
    <s v="OFFTRIBANCO"/>
    <s v="Nao"/>
    <x v="0"/>
    <m/>
    <s v="15/05/2025"/>
    <m/>
    <m/>
    <m/>
    <s v="Brasil"/>
    <s v="KAM"/>
    <m/>
    <s v="ID-75933675172"/>
    <m/>
    <m/>
    <x v="1"/>
  </r>
  <r>
    <s v="COM6966B3D0EDF3C"/>
    <n v="240092"/>
    <s v="13/01/2026 18:06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Fabiana Meneses"/>
    <s v="32101598825"/>
    <m/>
    <m/>
    <s v="Fabiana.meneses@omni.com.br"/>
    <s v="5511981520887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15cb2685f761770187c3726f9c295c58"/>
    <m/>
    <s v="Nao"/>
    <x v="8"/>
    <m/>
    <s v="26/01/2026"/>
    <m/>
    <m/>
    <m/>
    <m/>
    <s v="KAM"/>
    <s v="29/10/2019"/>
    <s v="ID-32101598825"/>
    <m/>
    <m/>
    <x v="1"/>
  </r>
  <r>
    <s v="ORDVE0R2L2HJMI7O"/>
    <n v="240086"/>
    <s v="13/01/2026 17:09"/>
    <x v="4"/>
    <m/>
    <s v="13/01/2026"/>
    <s v="Aprovado"/>
    <n v="1"/>
    <n v="0"/>
    <n v="0"/>
    <m/>
    <n v="0"/>
    <m/>
    <s v="Cortesia"/>
    <s v="cortesia"/>
    <s v="AI for Leaders - 2ª edição - 2025"/>
    <s v="ai-for-leaders-ed2a25"/>
    <s v="Fabrício Silva de Oliveira"/>
    <s v="04035137669"/>
    <m/>
    <m/>
    <s v="folivei@tribanco.com.br"/>
    <s v="5534998876612"/>
    <m/>
    <s v="38400694"/>
    <s v="Av. Cesário Alvim"/>
    <s v="2209"/>
    <m/>
    <s v="Nossa Sra. Aparecida"/>
    <s v="uberlandia"/>
    <s v="MG"/>
    <s v="Filial(São Paulo)"/>
    <m/>
    <m/>
    <m/>
    <m/>
    <s v="41369fc95e1529d9c38e06289cfb1500"/>
    <s v="OFFTRIBANCO"/>
    <s v="Nao"/>
    <x v="0"/>
    <m/>
    <s v="15/05/2025"/>
    <m/>
    <m/>
    <m/>
    <s v="Brasil"/>
    <s v="KAM"/>
    <m/>
    <s v="ID-04035137669"/>
    <m/>
    <m/>
    <x v="1"/>
  </r>
  <r>
    <s v="ORD6G1X3W4F1XTGW"/>
    <n v="240082"/>
    <s v="13/01/2026 16:36"/>
    <x v="4"/>
    <m/>
    <s v="13/01/2026"/>
    <s v="Aprovado"/>
    <n v="1"/>
    <n v="0"/>
    <n v="0"/>
    <m/>
    <n v="0"/>
    <m/>
    <s v="Cortesia"/>
    <s v="cortesia"/>
    <s v="AI for Leaders - 2ª edição - 2025"/>
    <s v="ai-for-leaders-ed2a25"/>
    <s v="Fabrício Silva de Oliveira"/>
    <s v="04035137669"/>
    <m/>
    <m/>
    <s v="folivei@tribanco.com.br"/>
    <s v="5534998876612"/>
    <m/>
    <s v="38400694"/>
    <s v="Avenida Cesário Alvim"/>
    <s v="2209"/>
    <m/>
    <s v="Nossa Sra. Aparecida"/>
    <s v="Uberlândia"/>
    <s v="MG"/>
    <s v="Filial(São Paulo)"/>
    <m/>
    <m/>
    <m/>
    <m/>
    <s v="2936e32a4113d48ad341004ab6924170"/>
    <s v="OFFTRIBANCO"/>
    <s v="Nao"/>
    <x v="0"/>
    <m/>
    <s v="15/05/2025"/>
    <m/>
    <m/>
    <m/>
    <s v="Brasil"/>
    <s v="KAM"/>
    <m/>
    <s v="ID-04035137669"/>
    <m/>
    <m/>
    <x v="1"/>
  </r>
  <r>
    <s v="ORD8N1HWQ34JNOVJ"/>
    <n v="240080"/>
    <s v="13/01/2026 16:10"/>
    <x v="4"/>
    <m/>
    <s v="13/01/2026"/>
    <s v="Aprovado"/>
    <n v="1"/>
    <n v="0"/>
    <n v="0"/>
    <m/>
    <n v="0"/>
    <m/>
    <s v="Cortesia"/>
    <s v="cortesia"/>
    <s v="AI for Leaders - 2ª edição - 2025"/>
    <s v="ai-for-leaders-ed2a25"/>
    <s v="Priscila Barbosa da Silva"/>
    <s v="21881328821"/>
    <s v="17.351.180/0001-59"/>
    <s v="BANCO TRIANGULO S/A"/>
    <s v="pbsilva@tribanco.com.br"/>
    <s v="5511981290547"/>
    <m/>
    <s v="38400696"/>
    <s v="CESARIO ALVIM,"/>
    <s v="2209"/>
    <s v="Empresarial"/>
    <s v="APARECIDA"/>
    <s v="Uberlândia"/>
    <s v="MG"/>
    <s v="Filial(São Paulo)"/>
    <m/>
    <m/>
    <m/>
    <m/>
    <s v="3908ca519439514d159df6ed80d1209a"/>
    <s v="OFFTRIBANCO"/>
    <s v="Nao"/>
    <x v="0"/>
    <m/>
    <s v="15/05/2025"/>
    <m/>
    <m/>
    <m/>
    <s v="Brasil"/>
    <s v="KAM"/>
    <s v="06/03/2017"/>
    <s v="ID-17351180000159"/>
    <m/>
    <m/>
    <x v="1"/>
  </r>
  <r>
    <s v="COM6966943101B43"/>
    <n v="240077"/>
    <s v="13/01/2026 15:51"/>
    <x v="4"/>
    <m/>
    <s v="13/01/2026"/>
    <s v="Aprovado"/>
    <n v="20"/>
    <n v="6"/>
    <n v="645000"/>
    <s v="Boleto Bradesco"/>
    <n v="645000"/>
    <s v=""/>
    <s v="Boleto"/>
    <s v="boleto"/>
    <s v="China Xperience - IPM Educação"/>
    <s v="china-xperience-ed14a26"/>
    <s v="Pedro Ernesto Fereira Miranda"/>
    <m/>
    <s v="34.896.823/0001-69"/>
    <s v="IPM EDUCACAO LTDA"/>
    <s v="pedro@ipmeducacao.com.br"/>
    <s v="62981123842"/>
    <s v="6282650187"/>
    <s v="74840060"/>
    <s v="ARUMA"/>
    <s v="129"/>
    <s v="QUADRA163 LOTE 12"/>
    <s v="PRQ AMAZONIA"/>
    <s v="Goiânia"/>
    <s v="GO"/>
    <s v="Turismo - 50%"/>
    <s v="China Xperience - IPM Educação"/>
    <m/>
    <m/>
    <m/>
    <s v="82322e983964af39a1caa69821977e2a"/>
    <m/>
    <s v="Nao"/>
    <x v="11"/>
    <m/>
    <s v="18/05/2026"/>
    <m/>
    <m/>
    <s v="https://loja.startse.com.br//processamento/fatura/82322e983964af39a1caa69821977e2a"/>
    <s v="China"/>
    <s v="KAM"/>
    <s v="13/01/2026"/>
    <s v="ID-34896823000169"/>
    <s v="Aguardando recebimento"/>
    <m/>
    <x v="4"/>
  </r>
  <r>
    <s v="ORDZYKRJ6MXL53SD"/>
    <n v="240067"/>
    <s v="13/01/2026 14:18"/>
    <x v="4"/>
    <m/>
    <s v="13/01/2026"/>
    <s v="Aprovado"/>
    <n v="1"/>
    <n v="0"/>
    <n v="0"/>
    <m/>
    <n v="0"/>
    <m/>
    <s v="Cortesia"/>
    <s v="cortesia"/>
    <s v="AI for Leaders - 2ª edição - 2025"/>
    <s v="ai-for-leaders-ed2a25"/>
    <s v="FERNANDA RODRIGUES MOYZES"/>
    <s v="04859186680"/>
    <m/>
    <m/>
    <s v="fmoyzes@tribanco.com.br"/>
    <s v="5534991214053"/>
    <m/>
    <s v="38410665"/>
    <s v="Avenida Vereador Carlito Cordeiro"/>
    <s v="2315"/>
    <s v="Rua 05, 346"/>
    <s v="Jardim Botânico"/>
    <s v="Uberlândia"/>
    <s v="MG"/>
    <s v="Filial(São Paulo)"/>
    <m/>
    <m/>
    <m/>
    <m/>
    <s v="e5b18e2b6b0ce19e6a5ef7fa74de42d1"/>
    <s v="OFFTRIBANCO"/>
    <s v="Nao"/>
    <x v="0"/>
    <m/>
    <s v="15/05/2025"/>
    <m/>
    <m/>
    <m/>
    <s v="Brasil"/>
    <s v="KAM"/>
    <m/>
    <s v="ID-04859186680"/>
    <m/>
    <m/>
    <x v="1"/>
  </r>
  <r>
    <s v="ORDCS6DMVBM695FY"/>
    <n v="240066"/>
    <s v="13/01/2026 14:16"/>
    <x v="4"/>
    <m/>
    <s v="13/01/2026"/>
    <s v="Aprovado"/>
    <n v="1"/>
    <n v="0"/>
    <n v="0"/>
    <m/>
    <n v="0"/>
    <m/>
    <s v="Cortesia"/>
    <s v="cortesia"/>
    <s v="AI for Leaders - 2ª edição - 2025"/>
    <s v="ai-for-leaders-ed2a25"/>
    <s v="Michelle Fidélis Vieira de Paiva"/>
    <s v="06202090626"/>
    <m/>
    <m/>
    <s v="mpai@tribanco.com.br"/>
    <s v="5534996857442"/>
    <m/>
    <s v="38405356"/>
    <s v="Rua Jornalista José Batista Coury"/>
    <s v="196"/>
    <s v="casa"/>
    <s v="Alto Umuarama"/>
    <s v="Uberlândia"/>
    <s v="MG"/>
    <s v="Filial(São Paulo)"/>
    <m/>
    <m/>
    <m/>
    <m/>
    <s v="91a58853dd49afc2719090134d67fe65"/>
    <s v="OFFTRIBANCO"/>
    <s v="Nao"/>
    <x v="0"/>
    <m/>
    <s v="15/05/2025"/>
    <m/>
    <m/>
    <m/>
    <s v="Brasil"/>
    <s v="KAM"/>
    <s v="21/03/2022"/>
    <s v="ID-06202090626"/>
    <m/>
    <m/>
    <x v="1"/>
  </r>
  <r>
    <s v="ORDIGD8F01EJ9X5B"/>
    <n v="240026"/>
    <s v="12/01/2026 18:42"/>
    <x v="4"/>
    <m/>
    <s v="12/01/2026"/>
    <s v="Aprovado"/>
    <n v="9"/>
    <n v="1"/>
    <n v="7000"/>
    <s v="Braintree"/>
    <n v="7000"/>
    <s v="28974115835EVEV1JHJE"/>
    <s v="Crédito à Vista"/>
    <s v="visa"/>
    <s v="RH Leadership Xperience 2026 - Ingresso Interactive"/>
    <s v="evento-rh-ed1a26_interactive"/>
    <s v="Cintia Salmazo"/>
    <s v="14745806884"/>
    <m/>
    <m/>
    <s v="csalmazo@ford.com"/>
    <s v="5511971205644"/>
    <m/>
    <s v="04210060"/>
    <s v="Rua Oliveira Alves"/>
    <s v="354"/>
    <s v="Apto62"/>
    <s v="Ipiranga"/>
    <s v="São Paulo"/>
    <s v="SP"/>
    <s v="Filial(São Paulo)"/>
    <m/>
    <m/>
    <m/>
    <m/>
    <s v="943702f59858560e7b1a3e499fdaed32"/>
    <s v="FORDRH"/>
    <s v="Nao"/>
    <x v="6"/>
    <m/>
    <s v="26/03/2026"/>
    <m/>
    <m/>
    <m/>
    <m/>
    <s v="KAM"/>
    <s v="06/11/2024"/>
    <s v="ID-14745806884"/>
    <m/>
    <m/>
    <x v="0"/>
  </r>
  <r>
    <s v="ORDIGD8F01EJ9X5B"/>
    <n v="240026"/>
    <s v="12/01/2026 18:42"/>
    <x v="4"/>
    <m/>
    <s v="12/01/2026"/>
    <s v="Aprovado"/>
    <n v="1"/>
    <n v="1"/>
    <n v="0"/>
    <s v="Braintree"/>
    <n v="7000"/>
    <s v="28974115835EVEV1JHJE"/>
    <s v="Crédito à Vista"/>
    <s v="visa"/>
    <s v="RH Leadership Xperience 2026 - Ingresso Platinum"/>
    <s v="evento-rh-ed1a26_platinum"/>
    <s v="Cintia Salmazo"/>
    <s v="14745806884"/>
    <m/>
    <m/>
    <s v="csalmazo@ford.com"/>
    <s v="5511971205644"/>
    <m/>
    <s v="04210060"/>
    <s v="Rua Oliveira Alves"/>
    <s v="354"/>
    <s v="Apto62"/>
    <s v="Ipiranga"/>
    <s v="São Paulo"/>
    <s v="SP"/>
    <s v="Filial(São Paulo)"/>
    <m/>
    <m/>
    <m/>
    <m/>
    <s v="943702f59858560e7b1a3e499fdaed32"/>
    <s v="FORDRH"/>
    <s v="Nao"/>
    <x v="6"/>
    <m/>
    <s v="26/03/2026"/>
    <m/>
    <m/>
    <m/>
    <m/>
    <s v="KAM"/>
    <s v="06/11/2024"/>
    <s v="ID-14745806884"/>
    <m/>
    <m/>
    <x v="0"/>
  </r>
  <r>
    <s v="COM69652F6923851"/>
    <n v="239974"/>
    <s v="12/01/2026 14:29"/>
    <x v="4"/>
    <m/>
    <s v="12/01/2026"/>
    <s v="Aprovado"/>
    <n v="2"/>
    <n v="1"/>
    <n v="31000"/>
    <s v="Boleto Bradesco"/>
    <n v="29093.5"/>
    <s v=""/>
    <s v="Boleto"/>
    <s v="boleto"/>
    <s v="Executive Program - 25 a 27 de Maio de 2026"/>
    <s v="executive-program-ed5a26"/>
    <s v="SICREDI GERACOES RS/MG"/>
    <m/>
    <s v="88.471.024/0001-70"/>
    <s v="COOPERATIVA DE CREDITO GERACOES - SICREDI GERACOES RS/MG"/>
    <s v="deise_silva@sicredi.com.br"/>
    <s v="5137225005"/>
    <s v="5137225005"/>
    <s v="96508001"/>
    <s v="SALDANHA MARINHO"/>
    <s v="825"/>
    <m/>
    <s v="CENTRO"/>
    <s v="Cachoeira do Sul"/>
    <s v="RS"/>
    <s v="Filial(São Paulo)"/>
    <s v="Executive Program StartSe - Participantes: Fabio Shoiti Kanno e Renê Ribeiro de Lima"/>
    <m/>
    <m/>
    <m/>
    <s v="768d68caf170f34b8f7876780f20a5f1"/>
    <m/>
    <s v="Nao"/>
    <x v="7"/>
    <m/>
    <s v="25/05/2026"/>
    <m/>
    <m/>
    <m/>
    <m/>
    <s v="KAM"/>
    <s v="02/10/2024"/>
    <s v="ID-88471024000170"/>
    <s v="Aguardando recebimento"/>
    <m/>
    <x v="2"/>
  </r>
  <r>
    <s v="COM6965236940739"/>
    <n v="239964"/>
    <s v="12/01/2026 13:38"/>
    <x v="4"/>
    <m/>
    <s v="12/01/2026"/>
    <s v="Aprovado"/>
    <n v="1"/>
    <n v="1"/>
    <n v="0"/>
    <m/>
    <n v="0"/>
    <s v=""/>
    <s v="Cortesia"/>
    <s v="cortesia"/>
    <s v="AI para Negócios - Imersão Presencial -  22 e 23 de Janeiro de 2026"/>
    <s v="imersao-presencial-de-ai-ed1a26"/>
    <s v="Carlos Rogério Aldeia"/>
    <s v="01074515730"/>
    <m/>
    <m/>
    <s v="carlos.rogerio@cinbal.com.br"/>
    <s v="5524992793925"/>
    <m/>
    <s v="04578-910"/>
    <s v="Avenida das Nações Unidas"/>
    <s v="12901"/>
    <m/>
    <s v="Brooklin Paulista"/>
    <s v="São Paulo"/>
    <s v="SP"/>
    <s v="Filial(São Paulo)"/>
    <s v="AI para Negócios - Imersão Presencial - 22 e 23 de Janeiro de 2026"/>
    <m/>
    <m/>
    <m/>
    <s v="47d8f49581e491a345f79c876f4b6540"/>
    <m/>
    <s v="Nao"/>
    <x v="8"/>
    <m/>
    <s v="22/01/2026"/>
    <m/>
    <m/>
    <m/>
    <m/>
    <s v="KAM"/>
    <m/>
    <s v="ID-01074515730"/>
    <m/>
    <m/>
    <x v="1"/>
  </r>
  <r>
    <s v="ORD532B4THLTLE7G"/>
    <n v="239959"/>
    <s v="12/01/2026 12:05"/>
    <x v="4"/>
    <m/>
    <s v="12/01/2026"/>
    <s v="Aprovado"/>
    <n v="1"/>
    <n v="1"/>
    <n v="3700"/>
    <s v="Braintree"/>
    <n v="3472.45"/>
    <s v="28974115835EVEU85JLE"/>
    <s v="Crédito à Vista"/>
    <s v="visa"/>
    <s v="RH Leadership Xperience 2026 - Ingresso Platinum"/>
    <s v="evento-rh-ed1a26_platinum"/>
    <s v="Asia Shipping Transportes Internacionais Ltda"/>
    <s v="27707272811"/>
    <s v="01.137.526/0001-80"/>
    <s v="ASIA SHIPPING TRANSPORTES INTERNACIONAIS LTDA"/>
    <s v="sergio.bueno@br-asgroup.com"/>
    <s v="5511972355070"/>
    <m/>
    <s v="11050031"/>
    <s v="Rua Alexandre Herculano"/>
    <s v="197"/>
    <s v="Sala 702-703-1301-1304"/>
    <s v="Gonzaga"/>
    <s v="Santos"/>
    <s v="SP"/>
    <s v="Filial(São Paulo)"/>
    <m/>
    <m/>
    <m/>
    <m/>
    <s v="249e15bfff1ccd2a7a35cc57510cf212"/>
    <s v="Especial_FernandaBitt"/>
    <s v="Nao"/>
    <x v="7"/>
    <m/>
    <s v="26/03/2026"/>
    <m/>
    <m/>
    <m/>
    <m/>
    <s v="KAM"/>
    <s v="29/12/2023"/>
    <s v="ID-01137526000180"/>
    <m/>
    <m/>
    <x v="0"/>
  </r>
  <r>
    <s v="ORDADBDBC4R6ZC91"/>
    <n v="239951"/>
    <s v="12/01/2026 11:11"/>
    <x v="4"/>
    <m/>
    <s v="12/01/2026"/>
    <s v="Aprovado"/>
    <n v="1"/>
    <n v="0"/>
    <n v="0"/>
    <m/>
    <n v="0"/>
    <m/>
    <s v="Cortesia"/>
    <s v="cortesia"/>
    <s v="AI MAX - Turma 15"/>
    <s v="ai-max-ed15a26"/>
    <s v="Michelle Martins Ferreira"/>
    <s v="36703021821"/>
    <m/>
    <m/>
    <s v="michelle.ferreira@fraslemobility.com"/>
    <s v="5554999582674"/>
    <m/>
    <s v="04578910"/>
    <s v="Avenida das Nações Unidas 12901"/>
    <s v="12901"/>
    <m/>
    <s v="Brooklin Paulista"/>
    <s v="São Paulo"/>
    <s v="SP"/>
    <s v="Filial(São Paulo)"/>
    <m/>
    <m/>
    <m/>
    <m/>
    <s v="fe6ccd746e9c8be9c7c16f7eeec962eb"/>
    <s v="CORTESIARANDONCORP"/>
    <s v="Nao"/>
    <x v="0"/>
    <m/>
    <s v="22/01/2026"/>
    <m/>
    <m/>
    <m/>
    <s v="Vale do Silício,Brasil"/>
    <s v="KAM"/>
    <m/>
    <s v="ID-36703021821"/>
    <m/>
    <m/>
    <x v="1"/>
  </r>
  <r>
    <s v="COM6964FF6AC3E3A"/>
    <n v="239949"/>
    <s v="12/01/2026 11:04"/>
    <x v="4"/>
    <m/>
    <s v="12/01/2026"/>
    <s v="Aprovado"/>
    <n v="1"/>
    <n v="1"/>
    <n v="0"/>
    <m/>
    <n v="0"/>
    <s v=""/>
    <s v="Cortesia"/>
    <s v="cortesia"/>
    <s v="Data for Leaders - 2025"/>
    <s v="data-for-leaders-ed1a25"/>
    <s v="Michelle Martins Ferreira"/>
    <s v="36703021821"/>
    <m/>
    <m/>
    <s v="michelle.ferreira@fraslemobility.com"/>
    <s v="5499582674"/>
    <m/>
    <s v="04578-910"/>
    <s v="Avenida das Nações Unidas 12901"/>
    <s v="12901"/>
    <m/>
    <s v="Brooklin Paulista"/>
    <s v="São Paulo"/>
    <s v="SP"/>
    <s v="Filial(São Paulo)"/>
    <s v="Cortesia"/>
    <m/>
    <m/>
    <m/>
    <s v="3dc1c2aaed3181c79a5a59079cdc5947"/>
    <m/>
    <s v="Nao"/>
    <x v="0"/>
    <m/>
    <s v="01/01/2025"/>
    <m/>
    <m/>
    <m/>
    <s v="Brasil"/>
    <s v="KAM"/>
    <m/>
    <s v="ID-36703021821"/>
    <m/>
    <m/>
    <x v="1"/>
  </r>
  <r>
    <s v="COM6964EF09D1596"/>
    <n v="239941"/>
    <s v="12/01/2026 09:54"/>
    <x v="4"/>
    <m/>
    <s v="12/01/2026"/>
    <s v="Aprovado"/>
    <n v="3"/>
    <n v="1"/>
    <n v="9000"/>
    <s v="Boleto Bradesco"/>
    <n v="8446.5"/>
    <s v=""/>
    <s v="Boleto"/>
    <s v="boleto"/>
    <s v="AI para Negócios - Imersão Presencial -  22 e 23 de Janeiro de 2026"/>
    <s v="imersao-presencial-de-ai-ed1a26"/>
    <s v="Raquel Zachara"/>
    <m/>
    <s v="21.045.128/0001-41"/>
    <s v="POLO CURSOS E PALESTRAS LTDA"/>
    <s v="sebrae.sc@polopalestrantes.com"/>
    <s v="12991718728"/>
    <s v="1236725532"/>
    <s v="12125360"/>
    <s v="Avenida Tom Jobim"/>
    <s v="257"/>
    <s v="Sala 02"/>
    <s v="Loteamento Residencial Porto Seguro"/>
    <s v="Tremembé"/>
    <s v="SP"/>
    <s v="Filial(São Paulo)"/>
    <s v="Sebrae SC - AI para Negócios - Imersão Presencial - 22 e 23 de Janeiro de 2026 - Fabio Burigo Zanuzzi - Roberto Tavares de Albuquerque - Rafael Barcelos Perfeito"/>
    <m/>
    <m/>
    <m/>
    <s v="3323f2f0ba739c5f321b23ffcb3a707c"/>
    <m/>
    <s v="Nao"/>
    <x v="2"/>
    <m/>
    <s v="22/01/2026"/>
    <m/>
    <m/>
    <m/>
    <m/>
    <s v="KAM"/>
    <s v="17/10/2024"/>
    <s v="ID-21045128000141"/>
    <s v="Pago"/>
    <m/>
    <x v="0"/>
  </r>
  <r>
    <s v="COM6964E778E0244"/>
    <n v="239935"/>
    <s v="12/01/2026 09:22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Jonas Eduardo Nicodemo"/>
    <s v="05769412631"/>
    <m/>
    <m/>
    <s v="jonasen@sebraesp.com.br"/>
    <s v="5511983691994"/>
    <m/>
    <s v="01504-001"/>
    <s v="Rua Vergueiro"/>
    <s v="1117"/>
    <m/>
    <s v="Liberdade"/>
    <s v="São Paulo"/>
    <s v="SP"/>
    <s v="Filial(São Paulo)"/>
    <s v="Executive Program - 26 a 28 de Janeiro de 2026"/>
    <m/>
    <m/>
    <m/>
    <s v="99a11e8226aeb42fbb15040747c26204"/>
    <m/>
    <s v="Nao"/>
    <x v="2"/>
    <m/>
    <s v="26/01/2026"/>
    <m/>
    <m/>
    <m/>
    <m/>
    <s v="KAM"/>
    <m/>
    <s v="ID-05769412631"/>
    <m/>
    <m/>
    <x v="1"/>
  </r>
  <r>
    <s v="ORDCQ89LKGQSQPSM"/>
    <n v="239890"/>
    <s v="09/01/2026 21:56"/>
    <x v="4"/>
    <m/>
    <s v="09/01/2026"/>
    <s v="Aprovado"/>
    <n v="1"/>
    <n v="0"/>
    <n v="0"/>
    <m/>
    <n v="0"/>
    <m/>
    <s v="Cortesia"/>
    <s v="cortesia"/>
    <s v="AI for Leaders - 2ª edição - 2025"/>
    <s v="ai-for-leaders-ed2a25"/>
    <s v="Marcos Vinicius Benvindo Moreira"/>
    <s v="07613357651"/>
    <m/>
    <m/>
    <s v="marcos.moreira@martins.com.br"/>
    <s v="5534996532123"/>
    <m/>
    <s v="38408094"/>
    <s v="Praça Geraldo Teixeira Machado"/>
    <s v="364"/>
    <m/>
    <s v="Santa Mônica"/>
    <s v="Uberlândia"/>
    <s v="MG"/>
    <s v="Filial(São Paulo)"/>
    <m/>
    <m/>
    <m/>
    <m/>
    <s v="0255769965fcecc010e00fb0c7194560"/>
    <s v="IAFORLEADERS100%OFFMARTINS"/>
    <s v="Nao"/>
    <x v="0"/>
    <m/>
    <s v="15/05/2025"/>
    <m/>
    <m/>
    <m/>
    <s v="Brasil"/>
    <s v="KAM"/>
    <m/>
    <s v="ID-07613357651"/>
    <m/>
    <m/>
    <x v="1"/>
  </r>
  <r>
    <s v="ORDJDJGMKI2I1TED"/>
    <n v="239880"/>
    <s v="09/01/2026 17:36"/>
    <x v="4"/>
    <m/>
    <s v="13/01/2026"/>
    <s v="Aprovado"/>
    <n v="1"/>
    <n v="1"/>
    <n v="850.08"/>
    <s v="Boleto Bradesco"/>
    <n v="797.8"/>
    <m/>
    <s v="Boleto"/>
    <s v="boleto"/>
    <s v="RH Leadership Xperience 2026 - Ingresso Interactive"/>
    <s v="evento-rh-ed1a26_interactive"/>
    <s v="Eugênia Carolina Morais Duarte"/>
    <s v="09168640498"/>
    <s v="11.895.927/0001-53"/>
    <s v="NORDESA LOGISTICA E DISTRIBUICAO LTDA"/>
    <s v="eugenia@nordesa.com.br"/>
    <s v="5583998004278"/>
    <m/>
    <s v="58087000"/>
    <s v="CRUZ DAS ARMAS"/>
    <s v="2222"/>
    <s v="TERREO"/>
    <s v="CRUZ DAS ARMAS"/>
    <s v="João Pessoa"/>
    <s v="PB"/>
    <s v="Filial(São Paulo)"/>
    <m/>
    <m/>
    <m/>
    <m/>
    <s v="5ae9e3d6a2371a9472e48fab42e627a5"/>
    <s v="Interactive-NewBrokers"/>
    <s v="Nao"/>
    <x v="7"/>
    <m/>
    <s v="26/03/2026"/>
    <m/>
    <m/>
    <m/>
    <m/>
    <s v="KAM"/>
    <s v="03/07/2019"/>
    <s v="ID-11895927000153"/>
    <m/>
    <m/>
    <x v="0"/>
  </r>
  <r>
    <s v="ORDZWR7004YWG4CQ"/>
    <n v="239821"/>
    <s v="09/01/2026 12:38"/>
    <x v="4"/>
    <m/>
    <s v="09/01/2026"/>
    <s v="Aprovado"/>
    <n v="1"/>
    <n v="0"/>
    <n v="0"/>
    <m/>
    <n v="0"/>
    <m/>
    <s v="Cortesia"/>
    <s v="cortesia"/>
    <s v="AI MAX - Turma 15"/>
    <s v="ai-max-ed15a26"/>
    <s v="Juliene Salvan"/>
    <s v="00694199907"/>
    <m/>
    <m/>
    <s v="jsalvan@band.com.br"/>
    <s v="5511986411141"/>
    <m/>
    <s v="04562000"/>
    <s v="Rua Indiana"/>
    <s v="555"/>
    <s v="apto 82"/>
    <s v="Brooklin Paulista"/>
    <s v="São Paulo"/>
    <s v="SP"/>
    <s v="Filial(São Paulo)"/>
    <m/>
    <m/>
    <m/>
    <m/>
    <s v="85a7555c1e106cbb64243c733de1c47f"/>
    <s v="JulieneSalvanCORTESIA"/>
    <s v="Nao"/>
    <x v="3"/>
    <m/>
    <s v="22/01/2026"/>
    <m/>
    <m/>
    <m/>
    <s v="Vale do Silício,Brasil"/>
    <s v="KAM"/>
    <m/>
    <s v="ID-00694199907"/>
    <m/>
    <m/>
    <x v="1"/>
  </r>
  <r>
    <s v="COM696112EBD1A46"/>
    <n v="239816"/>
    <s v="09/01/2026 11:38"/>
    <x v="4"/>
    <m/>
    <m/>
    <s v="Aprovado"/>
    <n v="1"/>
    <n v="1"/>
    <n v="0"/>
    <m/>
    <n v="0"/>
    <s v=""/>
    <s v="Cortesia"/>
    <s v="cortesia"/>
    <s v="Executive Program - 26 a 28 de Janeiro de 2026"/>
    <s v="executive-program-ed1a26"/>
    <s v="Francisco Lima Júnior"/>
    <s v="81033567191"/>
    <m/>
    <m/>
    <s v="francisco.junior@sebraego.com.br"/>
    <s v="5562985974502"/>
    <m/>
    <s v="74215-095"/>
    <s v="Avenida T 3"/>
    <s v="1000"/>
    <m/>
    <s v="Setor Bueno"/>
    <s v="Goiânia"/>
    <s v="GO"/>
    <s v="Filial(São Paulo)"/>
    <s v="Executive Program - 26 a 28 de Janeiro de 2026"/>
    <m/>
    <m/>
    <m/>
    <s v="09484d4a379041ec5540dfd262fd9d33"/>
    <m/>
    <s v="Nao"/>
    <x v="2"/>
    <m/>
    <s v="26/01/2026"/>
    <m/>
    <m/>
    <m/>
    <m/>
    <s v="KAM"/>
    <s v="23/08/2017"/>
    <s v="ID-81033567191"/>
    <m/>
    <m/>
    <x v="1"/>
  </r>
  <r>
    <s v="COM69602259B1EF6"/>
    <n v="239763"/>
    <s v="08/01/2026 18:32"/>
    <x v="4"/>
    <m/>
    <s v="08/01/2026"/>
    <s v="Aprovado"/>
    <n v="4"/>
    <n v="1"/>
    <n v="0"/>
    <m/>
    <n v="0"/>
    <s v=""/>
    <s v="Cortesia"/>
    <s v="cortesia"/>
    <s v="AI for Leaders - 2026"/>
    <s v="ai-for-leaders-ed1a26"/>
    <s v="Aline Soares da Silva"/>
    <s v="34276703840"/>
    <m/>
    <m/>
    <s v="Aline.soares@automob.com.br"/>
    <s v="5511999999999"/>
    <m/>
    <s v="04578-910"/>
    <s v="Avenida das Nações Unidas"/>
    <s v="12901"/>
    <m/>
    <s v="Brooklin Paulista"/>
    <s v="São Paulo"/>
    <s v="SP"/>
    <s v="Filial(São Paulo)"/>
    <s v="AI for Leaders"/>
    <m/>
    <m/>
    <m/>
    <s v="b33fb53110db02d9b67200e7d3d75564"/>
    <m/>
    <s v="Nao"/>
    <x v="5"/>
    <m/>
    <s v="13/01/2026"/>
    <m/>
    <m/>
    <m/>
    <s v="Brasil"/>
    <s v="KAM"/>
    <m/>
    <s v="ID-34276703840"/>
    <m/>
    <m/>
    <x v="1"/>
  </r>
  <r>
    <s v="COM696021DEDCF97"/>
    <n v="239762"/>
    <s v="08/01/2026 18:30"/>
    <x v="4"/>
    <m/>
    <s v="08/01/2026"/>
    <s v="Aprovado"/>
    <n v="1"/>
    <n v="1"/>
    <n v="0"/>
    <m/>
    <n v="0"/>
    <s v=""/>
    <s v="Cortesia"/>
    <s v="cortesia"/>
    <s v="AI for Leaders"/>
    <s v="ai-for-leaders-ed1a23"/>
    <s v="Peterson Francisco de Jesus"/>
    <s v="38513762857"/>
    <m/>
    <m/>
    <s v="Peterson.jesus@simpar.com.br"/>
    <s v="5511999999999"/>
    <m/>
    <s v="04578-910"/>
    <s v="Avenida das Nações Unidas"/>
    <s v="12901"/>
    <m/>
    <s v="Brooklin Paulista"/>
    <s v="São Paulo"/>
    <s v="SP"/>
    <s v="Filial(São Paulo)"/>
    <s v="AI for Leaders"/>
    <m/>
    <m/>
    <m/>
    <s v="8d22c615fbb4ab997deaf42f15a6c7c7"/>
    <m/>
    <s v="Nao"/>
    <x v="5"/>
    <m/>
    <s v="01/05/2023"/>
    <m/>
    <m/>
    <m/>
    <s v="Brasil"/>
    <s v="KAM"/>
    <m/>
    <s v="ID-38513762857"/>
    <m/>
    <m/>
    <x v="1"/>
  </r>
  <r>
    <s v="COM6960215719CF2"/>
    <n v="239761"/>
    <s v="08/01/2026 18:27"/>
    <x v="4"/>
    <m/>
    <s v="08/01/2026"/>
    <s v="Aprovado"/>
    <n v="5"/>
    <n v="1"/>
    <n v="0"/>
    <m/>
    <n v="0"/>
    <s v=""/>
    <s v="Cortesia"/>
    <s v="cortesia"/>
    <s v="AI for Leaders"/>
    <s v="ai-for-leaders-ed1a23"/>
    <s v="KENNEDY MOURAO FIGUEIREDO"/>
    <s v="06257693683"/>
    <m/>
    <m/>
    <s v="kennedy.figueiredo@grupovamos.com.br"/>
    <s v="5511999999999"/>
    <m/>
    <s v="04578-910"/>
    <s v="Avenida das Nações Unidas"/>
    <s v="12901"/>
    <m/>
    <s v="Brooklin Paulista"/>
    <s v="São Paulo"/>
    <s v="SP"/>
    <s v="Filial(São Paulo)"/>
    <s v="AI for Leaders"/>
    <m/>
    <m/>
    <m/>
    <s v="6531130419483cdb9d961174e0ca654b"/>
    <m/>
    <s v="Nao"/>
    <x v="5"/>
    <m/>
    <s v="01/05/2023"/>
    <m/>
    <m/>
    <m/>
    <s v="Brasil"/>
    <s v="KAM"/>
    <m/>
    <s v="ID-06257693683"/>
    <m/>
    <m/>
    <x v="1"/>
  </r>
  <r>
    <s v="COM69601FE35B805"/>
    <n v="239759"/>
    <s v="08/01/2026 18:21"/>
    <x v="4"/>
    <m/>
    <s v="08/01/2026"/>
    <s v="Aprovado"/>
    <n v="1"/>
    <n v="1"/>
    <n v="0"/>
    <m/>
    <n v="0"/>
    <s v=""/>
    <s v="Cortesia"/>
    <s v="cortesia"/>
    <s v="Executive Program - 26 a 28 de Janeiro de 2026"/>
    <s v="executive-program-ed1a26"/>
    <s v="Larissa Matos Cardoso Castro"/>
    <s v="02920544594"/>
    <m/>
    <m/>
    <s v="larissa.castro@odontoprev.com.br"/>
    <s v="557188607385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0853b79376dbbdec70b0000ca5511440"/>
    <m/>
    <s v="Nao"/>
    <x v="0"/>
    <m/>
    <s v="26/01/2026"/>
    <m/>
    <m/>
    <m/>
    <m/>
    <s v="KAM"/>
    <m/>
    <s v="ID-02920544594"/>
    <m/>
    <m/>
    <x v="1"/>
  </r>
  <r>
    <s v="COM69601EB6DF042"/>
    <n v="239758"/>
    <s v="08/01/2026 18:16"/>
    <x v="4"/>
    <m/>
    <s v="08/01/2026"/>
    <s v="Aprovado"/>
    <n v="1"/>
    <n v="1"/>
    <n v="0"/>
    <m/>
    <n v="0"/>
    <s v=""/>
    <s v="Cortesia"/>
    <s v="cortesia"/>
    <s v="Executive Program - 26 a 28 de Janeiro de 2026"/>
    <s v="executive-program-ed1a26"/>
    <s v="Paloma Camargo Antonio"/>
    <s v="28362638818"/>
    <m/>
    <m/>
    <s v="abfm@abfm.com.br"/>
    <s v="5511943936547"/>
    <m/>
    <s v="04578-910"/>
    <s v="Avenida das Nações Unidas"/>
    <s v="12901"/>
    <m/>
    <s v="Brooklin Paulista"/>
    <s v="São Paulo"/>
    <s v="SP"/>
    <s v="Filial(São Paulo)"/>
    <s v="Executive Program - 26 a 28 de Janeiro de 2026"/>
    <m/>
    <m/>
    <m/>
    <s v="daa0241436a9fed1294c81640ce6f03b"/>
    <m/>
    <s v="Nao"/>
    <x v="0"/>
    <m/>
    <s v="26/01/2026"/>
    <m/>
    <m/>
    <m/>
    <m/>
    <s v="KAM"/>
    <m/>
    <s v="ID-28362638818"/>
    <m/>
    <m/>
    <x v="1"/>
  </r>
  <r>
    <s v="COM695EC6500B8F6"/>
    <n v="239680"/>
    <s v="07/01/2026 17:47"/>
    <x v="4"/>
    <m/>
    <s v="07/01/2026"/>
    <s v="Aprovado"/>
    <n v="1"/>
    <n v="1"/>
    <n v="97500"/>
    <s v="Boleto Bradesco"/>
    <n v="97500"/>
    <s v=""/>
    <s v="Boleto"/>
    <s v="boleto"/>
    <s v="Incidência de Multa"/>
    <s v="multa-ed1a22"/>
    <s v="Fernanda Bittencourt"/>
    <m/>
    <s v="02.846.056/0001-97"/>
    <s v="MOTIVA INFRAESTRUTURA DE MOBILIDADE S.A."/>
    <s v="fernanda.bittencourt@startse.com"/>
    <s v="11933354455"/>
    <s v="1197394814"/>
    <s v="05425070"/>
    <s v="DRA RUTH CARDOSO"/>
    <s v="8501"/>
    <s v="ANDAR 5"/>
    <s v="PINHEIROS"/>
    <s v="São Paulo"/>
    <s v="SP"/>
    <s v="Filial(São Paulo)"/>
    <s v="Multa de 15% referente ao distrato do contrato junto à StartSe | Imersão Internacional China."/>
    <m/>
    <m/>
    <m/>
    <s v="731719e59145811c8e4769341cae6f81"/>
    <m/>
    <s v="Nao"/>
    <x v="7"/>
    <m/>
    <s v="01/01/2022"/>
    <m/>
    <m/>
    <m/>
    <m/>
    <s v="KAM"/>
    <s v="17/08/2018"/>
    <s v="ID-02846056000197"/>
    <s v="Pago"/>
    <m/>
    <x v="0"/>
  </r>
  <r>
    <s v="ORDN4UHFQJY10DQU"/>
    <n v="239640"/>
    <s v="07/01/2026 09:20"/>
    <x v="4"/>
    <m/>
    <s v="07/01/2026"/>
    <s v="Aprovado"/>
    <n v="1"/>
    <n v="0"/>
    <n v="0"/>
    <m/>
    <n v="0"/>
    <m/>
    <s v="Cortesia"/>
    <s v="cortesia"/>
    <s v="AI for Leaders - 2ª edição - 2025"/>
    <s v="ai-for-leaders-ed2a25"/>
    <s v="Luiz Gustavo Neves"/>
    <s v="12694498698"/>
    <m/>
    <m/>
    <s v="luiz.neve@martins.com.br"/>
    <s v="5534987009803"/>
    <m/>
    <s v="38408603"/>
    <s v="Rua Tapajós"/>
    <s v="263"/>
    <m/>
    <s v="Vigilato Pereira"/>
    <s v="Uberlândia"/>
    <s v="MG"/>
    <s v="Filial(São Paulo)"/>
    <m/>
    <m/>
    <m/>
    <m/>
    <s v="7c69d149a7e3cf81904b61ebc66a4c9a"/>
    <s v="IAFORLEADERS100%OFFMARTINS"/>
    <s v="Nao"/>
    <x v="0"/>
    <m/>
    <s v="15/05/2025"/>
    <m/>
    <m/>
    <m/>
    <s v="Brasil"/>
    <s v="KAM"/>
    <m/>
    <s v="ID-12694498698"/>
    <m/>
    <m/>
    <x v="1"/>
  </r>
  <r>
    <s v="ORDOVO1RYKIL9DDP"/>
    <n v="239637"/>
    <s v="07/01/2026 09:03"/>
    <x v="4"/>
    <m/>
    <s v="07/01/2026"/>
    <s v="Aprovado"/>
    <n v="1"/>
    <n v="0"/>
    <n v="0"/>
    <m/>
    <n v="0"/>
    <m/>
    <s v="Cortesia"/>
    <s v="cortesia"/>
    <s v="AI for Leaders - 2ª edição - 2025"/>
    <s v="ai-for-leaders-ed2a25"/>
    <s v="João Paulo Silva Moreira"/>
    <s v="07088036606"/>
    <m/>
    <m/>
    <s v="joao.moreir@martins.com.br"/>
    <s v="5534999700948"/>
    <m/>
    <s v="38400679"/>
    <s v="Rua Jatai"/>
    <s v="1150"/>
    <m/>
    <s v="Nossa Sra. Aparecida"/>
    <s v="Uberlândia"/>
    <s v="MG"/>
    <s v="Filial(São Paulo)"/>
    <m/>
    <m/>
    <m/>
    <m/>
    <s v="baa8fdd12bf2403dcc29f6d134a4def6"/>
    <s v="IAFORLEADERS100%OFFMARTINS"/>
    <s v="Nao"/>
    <x v="0"/>
    <m/>
    <s v="15/05/2025"/>
    <m/>
    <m/>
    <m/>
    <s v="Brasil"/>
    <s v="KAM"/>
    <m/>
    <s v="ID-07088036606"/>
    <m/>
    <m/>
    <x v="1"/>
  </r>
  <r>
    <s v="ORD0OP5PWT8KVH1R"/>
    <n v="239623"/>
    <s v="06/01/2026 18:18"/>
    <x v="4"/>
    <m/>
    <s v="06/01/2026"/>
    <s v="Aprovado"/>
    <n v="1"/>
    <n v="0"/>
    <n v="0"/>
    <m/>
    <n v="0"/>
    <m/>
    <s v="Cortesia"/>
    <s v="cortesia"/>
    <s v="AI for Leaders - 2ª edição - 2025"/>
    <s v="ai-for-leaders-ed2a25"/>
    <s v="MARIA APARECIDA FERREIRA"/>
    <s v="02607724619"/>
    <m/>
    <m/>
    <s v="maria.ferreira@martins.com.br"/>
    <s v="5534988279529"/>
    <m/>
    <s v="38401760"/>
    <s v="Rua Maestro Alyrio França"/>
    <s v="126"/>
    <s v="ap 02"/>
    <s v="Santa Rosa"/>
    <s v="Uberlândia"/>
    <s v="MG"/>
    <s v="Filial(São Paulo)"/>
    <m/>
    <m/>
    <m/>
    <m/>
    <s v="ba3edc694cf3ecd936f94e26de4e408a"/>
    <s v="IAFORLEADERS100%OFFMARTINS"/>
    <s v="Nao"/>
    <x v="0"/>
    <m/>
    <s v="15/05/2025"/>
    <m/>
    <m/>
    <m/>
    <s v="Brasil"/>
    <s v="KAM"/>
    <m/>
    <s v="ID-02607724619"/>
    <m/>
    <m/>
    <x v="1"/>
  </r>
  <r>
    <s v="COM695D69EB75B9D"/>
    <n v="239614"/>
    <s v="06/01/2026 17:00"/>
    <x v="4"/>
    <m/>
    <s v="06/01/2026"/>
    <s v="Aprovado"/>
    <n v="4"/>
    <n v="1"/>
    <n v="47952"/>
    <s v="Boleto Bradesco"/>
    <n v="45002.95"/>
    <s v=""/>
    <s v="Boleto"/>
    <s v="boleto"/>
    <s v="AI Journey - Turma 3"/>
    <s v="ai-journey-ed1a26"/>
    <s v="Déborah Vivian Grigória Pereira"/>
    <m/>
    <s v="03.566.655/0001-10"/>
    <s v="COOPERATIVA DE CREDITO, POUPANCA E INVESTIMENTO CELEIRO CENTRO OESTE SICREDI CELEIRO CENTRO OESTE"/>
    <s v="pereira_deborah@sicredi.com.br"/>
    <s v="67992261264"/>
    <s v="6732952097"/>
    <s v="79490011"/>
    <s v="MINAS GERAIS"/>
    <s v="1226"/>
    <s v="ESQUINA COM AVENIDA GETULIO VARGAS 1 E 2 PISO"/>
    <s v="CENTRO"/>
    <s v="São Gabriel do Oeste"/>
    <s v="MS"/>
    <s v="Filial(São Paulo)"/>
    <s v="4 Inscrições AI Journey - Participantes: Eduardo Jose Morando Freitas, Raiany Sousa Gomes, Kauan Scatolin Sabka e Jonatas Stein Ribeiro"/>
    <m/>
    <m/>
    <m/>
    <s v="f206d55ae75deac5cfbf176bb3550652"/>
    <m/>
    <s v="Nao"/>
    <x v="7"/>
    <m/>
    <s v="12/02/2026"/>
    <m/>
    <m/>
    <m/>
    <s v="Brasil,Vale do Silício,Brasil,Vale do Silício,Brasil"/>
    <s v="KAM"/>
    <s v="06/01/2026"/>
    <s v="ID-03566655000110"/>
    <s v="Pago"/>
    <m/>
    <x v="0"/>
  </r>
  <r>
    <s v="COM695D69EB75B9D"/>
    <n v="239614"/>
    <s v="06/01/2026 17:00"/>
    <x v="4"/>
    <m/>
    <s v="06/01/2026"/>
    <s v="Aprovado"/>
    <n v="4"/>
    <n v="1"/>
    <n v="0"/>
    <s v="Boleto Bradesco"/>
    <n v="45002.95"/>
    <s v=""/>
    <s v="Boleto"/>
    <s v="boleto"/>
    <s v="AI for Leaders - 2ª edição - 2025"/>
    <s v="ai-for-leaders-ed2a25"/>
    <s v="Déborah Vivian Grigória Pereira"/>
    <m/>
    <s v="03.566.655/0001-10"/>
    <s v="COOPERATIVA DE CREDITO, POUPANCA E INVESTIMENTO CELEIRO CENTRO OESTE SICREDI CELEIRO CENTRO OESTE"/>
    <s v="pereira_deborah@sicredi.com.br"/>
    <s v="67992261264"/>
    <s v="6732952097"/>
    <s v="79490011"/>
    <s v="MINAS GERAIS"/>
    <s v="1226"/>
    <s v="ESQUINA COM AVENIDA GETULIO VARGAS 1 E 2 PISO"/>
    <s v="CENTRO"/>
    <s v="São Gabriel do Oeste"/>
    <s v="MS"/>
    <s v="Filial(São Paulo)"/>
    <s v="4 Inscrições AI Journey - Participantes: Eduardo Jose Morando Freitas, Raiany Sousa Gomes, Kauan Scatolin Sabka e Jonatas Stein Ribeiro"/>
    <m/>
    <m/>
    <m/>
    <s v="f206d55ae75deac5cfbf176bb3550652"/>
    <m/>
    <s v="Nao"/>
    <x v="7"/>
    <m/>
    <s v="15/05/2025"/>
    <m/>
    <m/>
    <m/>
    <s v="Brasil,Vale do Silício,Brasil,Vale do Silício,Brasil"/>
    <s v="KAM"/>
    <s v="06/01/2026"/>
    <s v="ID-03566655000110"/>
    <s v="Pago"/>
    <m/>
    <x v="0"/>
  </r>
  <r>
    <s v="COM695D69EB75B9D"/>
    <n v="239614"/>
    <s v="06/01/2026 17:00"/>
    <x v="4"/>
    <m/>
    <s v="06/01/2026"/>
    <s v="Aprovado"/>
    <n v="0"/>
    <n v="1"/>
    <n v="0"/>
    <s v="Boleto Bradesco"/>
    <n v="45002.95"/>
    <s v=""/>
    <s v="Boleto"/>
    <s v="boleto"/>
    <s v="AI MAX - Turma 15"/>
    <s v="ai-max-ed15a26"/>
    <s v="Déborah Vivian Grigória Pereira"/>
    <m/>
    <s v="03.566.655/0001-10"/>
    <s v="COOPERATIVA DE CREDITO, POUPANCA E INVESTIMENTO CELEIRO CENTRO OESTE SICREDI CELEIRO CENTRO OESTE"/>
    <s v="pereira_deborah@sicredi.com.br"/>
    <s v="67992261264"/>
    <s v="6732952097"/>
    <s v="79490011"/>
    <s v="MINAS GERAIS"/>
    <s v="1226"/>
    <s v="ESQUINA COM AVENIDA GETULIO VARGAS 1 E 2 PISO"/>
    <s v="CENTRO"/>
    <s v="São Gabriel do Oeste"/>
    <s v="MS"/>
    <s v="Filial(São Paulo)"/>
    <s v="4 Inscrições AI Journey - Participantes: Eduardo Jose Morando Freitas, Raiany Sousa Gomes, Kauan Scatolin Sabka e Jonatas Stein Ribeiro"/>
    <m/>
    <m/>
    <m/>
    <s v="f206d55ae75deac5cfbf176bb3550652"/>
    <m/>
    <s v="Nao"/>
    <x v="7"/>
    <m/>
    <s v="22/01/2026"/>
    <m/>
    <m/>
    <m/>
    <s v="Brasil,Vale do Silício,Brasil,Vale do Silício,Brasil"/>
    <s v="KAM"/>
    <s v="06/01/2026"/>
    <s v="ID-03566655000110"/>
    <s v="Pago"/>
    <m/>
    <x v="0"/>
  </r>
  <r>
    <s v="COM695D69EB75B9D"/>
    <n v="239614"/>
    <s v="06/01/2026 17:00"/>
    <x v="4"/>
    <m/>
    <s v="06/01/2026"/>
    <s v="Aprovado"/>
    <n v="4"/>
    <n v="1"/>
    <n v="0"/>
    <s v="Boleto Bradesco"/>
    <n v="45002.95"/>
    <s v=""/>
    <s v="Boleto"/>
    <s v="boleto"/>
    <s v="AI MAX - Turma 18"/>
    <s v="ai-max-ed18a26"/>
    <s v="Déborah Vivian Grigória Pereira"/>
    <m/>
    <s v="03.566.655/0001-10"/>
    <s v="COOPERATIVA DE CREDITO, POUPANCA E INVESTIMENTO CELEIRO CENTRO OESTE SICREDI CELEIRO CENTRO OESTE"/>
    <s v="pereira_deborah@sicredi.com.br"/>
    <s v="67992261264"/>
    <s v="6732952097"/>
    <s v="79490011"/>
    <s v="MINAS GERAIS"/>
    <s v="1226"/>
    <s v="ESQUINA COM AVENIDA GETULIO VARGAS 1 E 2 PISO"/>
    <s v="CENTRO"/>
    <s v="São Gabriel do Oeste"/>
    <s v="MS"/>
    <s v="Filial(São Paulo)"/>
    <s v="4 Inscrições AI Journey - Participantes: Eduardo Jose Morando Freitas, Raiany Sousa Gomes, Kauan Scatolin Sabka e Jonatas Stein Ribeiro"/>
    <m/>
    <m/>
    <m/>
    <s v="f206d55ae75deac5cfbf176bb3550652"/>
    <m/>
    <s v="Nao"/>
    <x v="7"/>
    <m/>
    <s v="27/05/2026"/>
    <m/>
    <m/>
    <m/>
    <s v="Brasil,Vale do Silício,Brasil,Vale do Silício,Brasil"/>
    <s v="KAM"/>
    <s v="06/01/2026"/>
    <s v="ID-03566655000110"/>
    <s v="Pago"/>
    <m/>
    <x v="0"/>
  </r>
  <r>
    <s v="COM695D4106D666F"/>
    <n v="239594"/>
    <s v="06/01/2026 14:06"/>
    <x v="4"/>
    <m/>
    <s v="06/01/2026"/>
    <s v="Aprovado"/>
    <n v="1"/>
    <n v="1"/>
    <n v="8000"/>
    <s v="Boleto Bradesco"/>
    <n v="8000"/>
    <s v=""/>
    <s v="Boleto"/>
    <s v="boleto"/>
    <s v="Tomorrow Learning - São Paulo - 19 a 21 de Janeiro 2026"/>
    <s v="tomorrow-learning-ed2a26"/>
    <s v="André Kohama"/>
    <s v="97097470020"/>
    <m/>
    <m/>
    <s v="andre.kohama@startse.com"/>
    <s v="5511991249858"/>
    <m/>
    <s v="05633-010"/>
    <s v="Rua Doutor Mário de Moura e Albuquerque"/>
    <s v="400"/>
    <s v="ap 103 D"/>
    <s v="Jardim Monte Kemel"/>
    <s v="São Paulo"/>
    <s v="SP"/>
    <s v="Filial(São Paulo)"/>
    <s v="kOHAMA B2B"/>
    <m/>
    <m/>
    <m/>
    <s v="1592be1bb2780cf56eec1ef257d10b0c"/>
    <m/>
    <s v="Nao"/>
    <x v="10"/>
    <m/>
    <s v="19/01/2026"/>
    <m/>
    <m/>
    <m/>
    <s v="Vale do Silício"/>
    <s v="KAM"/>
    <s v="06/01/2026"/>
    <s v="ID-97097470020"/>
    <s v="Pago"/>
    <m/>
    <x v="0"/>
  </r>
  <r>
    <s v="COM695D3E4B16432"/>
    <n v="239593"/>
    <s v="06/01/2026 13:54"/>
    <x v="4"/>
    <m/>
    <m/>
    <s v="Aprovado"/>
    <n v="1"/>
    <n v="1"/>
    <n v="0"/>
    <m/>
    <n v="0"/>
    <s v=""/>
    <s v="Cortesia"/>
    <s v="cortesia"/>
    <s v="Tomorrow Learning - São Paulo - 19 a 21 de Janeiro 2026"/>
    <s v="tomorrow-learning-ed2a26"/>
    <s v="André Kohama"/>
    <s v="97097470020"/>
    <m/>
    <m/>
    <s v="andre.kohama@startse.com"/>
    <s v="5511991249858"/>
    <m/>
    <s v="05633-010"/>
    <s v="Rua Doutor Mário de Moura e Albuquerque"/>
    <s v="400"/>
    <s v="ap 103 D"/>
    <s v="Jardim Monte Kemel"/>
    <s v="São Paulo"/>
    <s v="SP"/>
    <s v="Filial(São Paulo)"/>
    <s v="Kohama B2B"/>
    <m/>
    <m/>
    <m/>
    <s v="0c7e110d4391bc8aa287f56f265e2cc0"/>
    <m/>
    <s v="Nao"/>
    <x v="10"/>
    <m/>
    <s v="19/01/2026"/>
    <m/>
    <m/>
    <m/>
    <s v="Vale do Silício"/>
    <s v="KAM"/>
    <s v="06/01/2026"/>
    <s v="ID-97097470020"/>
    <m/>
    <m/>
    <x v="1"/>
  </r>
  <r>
    <s v="ORDBRJBX5BWX2YYA"/>
    <n v="239560"/>
    <s v="05/01/2026 17:16"/>
    <x v="4"/>
    <m/>
    <s v="05/01/2026"/>
    <s v="Aprovado"/>
    <n v="1"/>
    <n v="0"/>
    <n v="0"/>
    <m/>
    <n v="0"/>
    <m/>
    <s v="Cortesia"/>
    <s v="cortesia"/>
    <s v="Programa de Liderança Feminina - Turma 03"/>
    <s v="programa-de-lideranca-feminina-ed3a25"/>
    <s v="Ana Laura Macedo Couto"/>
    <s v="51623197830"/>
    <m/>
    <m/>
    <s v="anacoutoo@outlook.com"/>
    <s v="5515997308739"/>
    <m/>
    <s v="06132140"/>
    <s v="Rua Circular"/>
    <s v="1"/>
    <m/>
    <s v="Santo Antônio"/>
    <s v="Osasco"/>
    <s v="SP"/>
    <s v="Filial(São Paulo)"/>
    <m/>
    <m/>
    <m/>
    <m/>
    <s v="09a46e52dcee877f1577d515cb80313f"/>
    <s v="offplfcortesia2026"/>
    <s v="Nao"/>
    <x v="0"/>
    <m/>
    <s v="18/07/2025"/>
    <m/>
    <m/>
    <m/>
    <s v="Brasil"/>
    <s v="KAM"/>
    <m/>
    <s v="ID-51623197830"/>
    <m/>
    <m/>
    <x v="1"/>
  </r>
  <r>
    <s v="COM695C13BE18157"/>
    <n v="239556"/>
    <s v="05/01/2026 16:40"/>
    <x v="4"/>
    <m/>
    <s v="05/01/2026"/>
    <s v="Aprovado"/>
    <n v="1"/>
    <n v="1"/>
    <n v="0"/>
    <m/>
    <n v="0"/>
    <s v=""/>
    <s v="Cortesia"/>
    <s v="cortesia"/>
    <s v="AI for Leaders - 2025"/>
    <s v="ai-for-leaders-ed1a25"/>
    <s v="Marcos Cassol"/>
    <s v="90207009015"/>
    <m/>
    <m/>
    <s v="cassolmarcosr@johndeere.com"/>
    <s v="5519996400520"/>
    <m/>
    <s v="13337-300"/>
    <s v="Rodovia Engenheiro Ermênio de Oliveira Penteado"/>
    <s v="S/N"/>
    <m/>
    <s v="Helvétia"/>
    <s v="Indaiatuba"/>
    <s v="SP"/>
    <s v="Filial(São Paulo)"/>
    <s v="Cassol John Deere"/>
    <m/>
    <m/>
    <m/>
    <s v="0d2227bd1a6dbc0c95740483866ddd86"/>
    <m/>
    <s v="Nao"/>
    <x v="10"/>
    <m/>
    <s v="21/01/2025"/>
    <m/>
    <m/>
    <m/>
    <s v="Brasil"/>
    <s v="KAM"/>
    <m/>
    <s v="ID-90207009015"/>
    <m/>
    <m/>
    <x v="1"/>
  </r>
  <r>
    <s v="COM695C0F5EB464C"/>
    <n v="239555"/>
    <s v="05/01/2026 16:22"/>
    <x v="4"/>
    <m/>
    <s v="05/01/2026"/>
    <s v="Aprovado"/>
    <n v="1"/>
    <n v="1"/>
    <n v="0"/>
    <m/>
    <n v="0"/>
    <s v=""/>
    <s v="Cortesia"/>
    <s v="cortesia"/>
    <s v="AI para Negócios - Imersão Presencial -  22 e 23 de Janeiro de 2026"/>
    <s v="imersao-presencial-de-ai-ed1a26"/>
    <s v="Isabela Lobel"/>
    <s v="41745113819"/>
    <m/>
    <m/>
    <s v="isabela_lobel@hotmail.com"/>
    <s v="5511999886459"/>
    <m/>
    <s v="05414-025"/>
    <s v="Rua Francisco Leitão"/>
    <s v="97"/>
    <m/>
    <s v="Pinheiros"/>
    <s v="São Paulo"/>
    <s v="SP"/>
    <s v="Filial(São Paulo)"/>
    <s v="AI para Negócios - Imersão Presencial - 22 e 23 de Janeiro de 2026"/>
    <m/>
    <m/>
    <m/>
    <s v="3eb1381e8da81f94ccafc61d98db3621"/>
    <m/>
    <s v="Nao"/>
    <x v="6"/>
    <m/>
    <s v="22/01/2026"/>
    <m/>
    <m/>
    <m/>
    <m/>
    <s v="KAM"/>
    <m/>
    <s v="ID-41745113819"/>
    <m/>
    <m/>
    <x v="1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  <r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5"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4B4121-8BA5-42AC-BC67-6801497817B8}" name="PivotTable1" cacheId="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2" firstHeaderRow="1" firstDataRow="3" firstDataCol="1" rowPageCount="1" colPageCount="1"/>
  <pivotFields count="52">
    <pivotField showAll="0"/>
    <pivotField showAll="0"/>
    <pivotField showAll="0"/>
    <pivotField axis="axisCol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7">
        <item x="0"/>
        <item x="10"/>
        <item x="12"/>
        <item x="2"/>
        <item x="8"/>
        <item x="11"/>
        <item x="7"/>
        <item x="4"/>
        <item x="3"/>
        <item x="13"/>
        <item x="1"/>
        <item x="5"/>
        <item x="14"/>
        <item x="9"/>
        <item x="6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1"/>
        <item x="4"/>
        <item x="3"/>
        <item x="2"/>
        <item x="0"/>
        <item x="5"/>
        <item t="default"/>
      </items>
    </pivotField>
  </pivotFields>
  <rowFields count="1">
    <field x="39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2">
    <field x="3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pageFields count="1">
    <pageField fld="51" hier="-1"/>
  </pageFields>
  <dataFields count="2">
    <dataField name="Sum of Total" fld="9" baseField="0" baseItem="0"/>
    <dataField name="Sum of Quantidad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63EB6-0682-4836-938E-7DF419AB64C0}">
  <dimension ref="A1:O44"/>
  <sheetViews>
    <sheetView tabSelected="1" topLeftCell="A32" workbookViewId="0">
      <selection activeCell="D28" sqref="D28"/>
    </sheetView>
  </sheetViews>
  <sheetFormatPr defaultRowHeight="14.5" x14ac:dyDescent="0.35"/>
  <cols>
    <col min="1" max="1" width="38.7265625" bestFit="1" customWidth="1"/>
    <col min="2" max="2" width="15.26953125" bestFit="1" customWidth="1"/>
    <col min="3" max="3" width="17.1796875" bestFit="1" customWidth="1"/>
    <col min="4" max="4" width="11.36328125" bestFit="1" customWidth="1"/>
    <col min="5" max="5" width="17.1796875" bestFit="1" customWidth="1"/>
    <col min="6" max="6" width="11.81640625" bestFit="1" customWidth="1"/>
    <col min="7" max="7" width="17.1796875" bestFit="1" customWidth="1"/>
    <col min="8" max="8" width="11.36328125" bestFit="1" customWidth="1"/>
    <col min="9" max="9" width="17.1796875" bestFit="1" customWidth="1"/>
    <col min="10" max="10" width="11.36328125" bestFit="1" customWidth="1"/>
    <col min="11" max="11" width="17.1796875" bestFit="1" customWidth="1"/>
    <col min="12" max="12" width="11.36328125" bestFit="1" customWidth="1"/>
    <col min="13" max="13" width="17.1796875" bestFit="1" customWidth="1"/>
    <col min="14" max="14" width="16.1796875" bestFit="1" customWidth="1"/>
    <col min="15" max="15" width="22" bestFit="1" customWidth="1"/>
  </cols>
  <sheetData>
    <row r="1" spans="1:15" x14ac:dyDescent="0.35">
      <c r="A1" s="6" t="s">
        <v>49</v>
      </c>
      <c r="B1" t="s">
        <v>9869</v>
      </c>
    </row>
    <row r="3" spans="1:15" x14ac:dyDescent="0.35">
      <c r="B3" s="6" t="s">
        <v>9864</v>
      </c>
    </row>
    <row r="4" spans="1:15" x14ac:dyDescent="0.35">
      <c r="B4">
        <v>1</v>
      </c>
      <c r="D4">
        <v>2</v>
      </c>
      <c r="F4">
        <v>3</v>
      </c>
      <c r="H4">
        <v>4</v>
      </c>
      <c r="J4">
        <v>5</v>
      </c>
      <c r="L4" t="s">
        <v>9862</v>
      </c>
      <c r="N4" t="s">
        <v>9866</v>
      </c>
      <c r="O4" t="s">
        <v>9867</v>
      </c>
    </row>
    <row r="5" spans="1:15" x14ac:dyDescent="0.35">
      <c r="A5" s="6" t="s">
        <v>9861</v>
      </c>
      <c r="B5" t="s">
        <v>9868</v>
      </c>
      <c r="C5" t="s">
        <v>9865</v>
      </c>
      <c r="D5" t="s">
        <v>9868</v>
      </c>
      <c r="E5" t="s">
        <v>9865</v>
      </c>
      <c r="F5" t="s">
        <v>9868</v>
      </c>
      <c r="G5" t="s">
        <v>9865</v>
      </c>
      <c r="H5" t="s">
        <v>9868</v>
      </c>
      <c r="I5" t="s">
        <v>9865</v>
      </c>
      <c r="J5" t="s">
        <v>9868</v>
      </c>
      <c r="K5" t="s">
        <v>9865</v>
      </c>
      <c r="L5" t="s">
        <v>9868</v>
      </c>
      <c r="M5" t="s">
        <v>9865</v>
      </c>
    </row>
    <row r="6" spans="1:15" x14ac:dyDescent="0.35">
      <c r="A6" s="7" t="s">
        <v>73</v>
      </c>
      <c r="B6" s="8">
        <v>299190</v>
      </c>
      <c r="C6" s="8">
        <v>67</v>
      </c>
      <c r="D6" s="8">
        <v>1375599.8199999998</v>
      </c>
      <c r="E6" s="8">
        <v>105</v>
      </c>
      <c r="F6" s="8">
        <v>2009490.42</v>
      </c>
      <c r="G6" s="8">
        <v>52</v>
      </c>
      <c r="H6" s="8">
        <v>1962677</v>
      </c>
      <c r="I6" s="8">
        <v>54</v>
      </c>
      <c r="J6" s="8">
        <v>29065.62</v>
      </c>
      <c r="K6" s="8">
        <v>39</v>
      </c>
      <c r="L6" s="8"/>
      <c r="M6" s="8"/>
      <c r="N6" s="8">
        <v>5676022.8600000003</v>
      </c>
      <c r="O6" s="8">
        <v>317</v>
      </c>
    </row>
    <row r="7" spans="1:15" x14ac:dyDescent="0.35">
      <c r="A7" s="7" t="s">
        <v>1046</v>
      </c>
      <c r="B7" s="8">
        <v>3215000</v>
      </c>
      <c r="C7" s="8">
        <v>9</v>
      </c>
      <c r="D7" s="8">
        <v>158780</v>
      </c>
      <c r="E7" s="8">
        <v>26</v>
      </c>
      <c r="F7" s="8">
        <v>4463796.04</v>
      </c>
      <c r="G7" s="8">
        <v>26</v>
      </c>
      <c r="H7" s="8">
        <v>310329</v>
      </c>
      <c r="I7" s="8">
        <v>19</v>
      </c>
      <c r="J7" s="8">
        <v>12000</v>
      </c>
      <c r="K7" s="8">
        <v>27</v>
      </c>
      <c r="L7" s="8"/>
      <c r="M7" s="8"/>
      <c r="N7" s="8">
        <v>8159905.04</v>
      </c>
      <c r="O7" s="8">
        <v>107</v>
      </c>
    </row>
    <row r="8" spans="1:15" x14ac:dyDescent="0.35">
      <c r="A8" s="7" t="s">
        <v>1443</v>
      </c>
      <c r="B8" s="8"/>
      <c r="C8" s="8"/>
      <c r="D8" s="8"/>
      <c r="E8" s="8"/>
      <c r="F8" s="8"/>
      <c r="G8" s="8"/>
      <c r="H8" s="8"/>
      <c r="I8" s="8"/>
      <c r="J8" s="8">
        <v>0</v>
      </c>
      <c r="K8" s="8">
        <v>1</v>
      </c>
      <c r="L8" s="8"/>
      <c r="M8" s="8"/>
      <c r="N8" s="8">
        <v>0</v>
      </c>
      <c r="O8" s="8">
        <v>1</v>
      </c>
    </row>
    <row r="9" spans="1:15" x14ac:dyDescent="0.35">
      <c r="A9" s="7" t="s">
        <v>232</v>
      </c>
      <c r="B9" s="8">
        <v>72200</v>
      </c>
      <c r="C9" s="8">
        <v>37</v>
      </c>
      <c r="D9" s="8">
        <v>240500</v>
      </c>
      <c r="E9" s="8">
        <v>10</v>
      </c>
      <c r="F9" s="8">
        <v>3002500.0399999991</v>
      </c>
      <c r="G9" s="8">
        <v>80</v>
      </c>
      <c r="H9" s="8">
        <v>2089500</v>
      </c>
      <c r="I9" s="8">
        <v>68</v>
      </c>
      <c r="J9" s="8">
        <v>18500</v>
      </c>
      <c r="K9" s="8">
        <v>14</v>
      </c>
      <c r="L9" s="8"/>
      <c r="M9" s="8"/>
      <c r="N9" s="8">
        <v>5423200.0399999991</v>
      </c>
      <c r="O9" s="8">
        <v>209</v>
      </c>
    </row>
    <row r="10" spans="1:15" x14ac:dyDescent="0.35">
      <c r="A10" s="7" t="s">
        <v>595</v>
      </c>
      <c r="B10" s="8">
        <v>0</v>
      </c>
      <c r="C10" s="8">
        <v>4</v>
      </c>
      <c r="D10" s="8">
        <v>459440.08999999997</v>
      </c>
      <c r="E10" s="8">
        <v>22</v>
      </c>
      <c r="F10" s="8">
        <v>46500</v>
      </c>
      <c r="G10" s="8">
        <v>26</v>
      </c>
      <c r="H10" s="8">
        <v>1270000</v>
      </c>
      <c r="I10" s="8">
        <v>39</v>
      </c>
      <c r="J10" s="8">
        <v>0</v>
      </c>
      <c r="K10" s="8">
        <v>8</v>
      </c>
      <c r="L10" s="8"/>
      <c r="M10" s="8"/>
      <c r="N10" s="8">
        <v>1775940.0899999999</v>
      </c>
      <c r="O10" s="8">
        <v>99</v>
      </c>
    </row>
    <row r="11" spans="1:15" x14ac:dyDescent="0.35">
      <c r="A11" s="7" t="s">
        <v>1383</v>
      </c>
      <c r="B11" s="8">
        <v>1195000</v>
      </c>
      <c r="C11" s="8">
        <v>66</v>
      </c>
      <c r="D11" s="8">
        <v>0</v>
      </c>
      <c r="E11" s="8">
        <v>3</v>
      </c>
      <c r="F11" s="8">
        <v>0</v>
      </c>
      <c r="G11" s="8">
        <v>10</v>
      </c>
      <c r="H11" s="8"/>
      <c r="I11" s="8"/>
      <c r="J11" s="8">
        <v>130000</v>
      </c>
      <c r="K11" s="8">
        <v>3</v>
      </c>
      <c r="L11" s="8"/>
      <c r="M11" s="8"/>
      <c r="N11" s="8">
        <v>1325000</v>
      </c>
      <c r="O11" s="8">
        <v>82</v>
      </c>
    </row>
    <row r="12" spans="1:15" x14ac:dyDescent="0.35">
      <c r="A12" s="7" t="s">
        <v>473</v>
      </c>
      <c r="B12" s="8">
        <v>3039302.46</v>
      </c>
      <c r="C12" s="8">
        <v>131</v>
      </c>
      <c r="D12" s="8">
        <v>2936445.76</v>
      </c>
      <c r="E12" s="8">
        <v>133</v>
      </c>
      <c r="F12" s="8">
        <v>376650.01</v>
      </c>
      <c r="G12" s="8">
        <v>7</v>
      </c>
      <c r="H12" s="8">
        <v>831199.35999999987</v>
      </c>
      <c r="I12" s="8">
        <v>62</v>
      </c>
      <c r="J12" s="8">
        <v>121900</v>
      </c>
      <c r="K12" s="8">
        <v>32</v>
      </c>
      <c r="L12" s="8"/>
      <c r="M12" s="8"/>
      <c r="N12" s="8">
        <v>7305497.5899999999</v>
      </c>
      <c r="O12" s="8">
        <v>365</v>
      </c>
    </row>
    <row r="13" spans="1:15" x14ac:dyDescent="0.35">
      <c r="A13" s="7" t="s">
        <v>283</v>
      </c>
      <c r="B13" s="8">
        <v>650000</v>
      </c>
      <c r="C13" s="8">
        <v>129</v>
      </c>
      <c r="D13" s="8">
        <v>2730719.98</v>
      </c>
      <c r="E13" s="8">
        <v>93</v>
      </c>
      <c r="F13" s="8">
        <v>793597</v>
      </c>
      <c r="G13" s="8">
        <v>36</v>
      </c>
      <c r="H13" s="8">
        <v>735951.26</v>
      </c>
      <c r="I13" s="8">
        <v>24</v>
      </c>
      <c r="J13" s="8">
        <v>2250</v>
      </c>
      <c r="K13" s="8">
        <v>17</v>
      </c>
      <c r="L13" s="8"/>
      <c r="M13" s="8"/>
      <c r="N13" s="8">
        <v>4912518.24</v>
      </c>
      <c r="O13" s="8">
        <v>299</v>
      </c>
    </row>
    <row r="14" spans="1:15" x14ac:dyDescent="0.35">
      <c r="A14" s="7" t="s">
        <v>249</v>
      </c>
      <c r="B14" s="8">
        <v>0</v>
      </c>
      <c r="C14" s="8">
        <v>2</v>
      </c>
      <c r="D14" s="8">
        <v>30000</v>
      </c>
      <c r="E14" s="8">
        <v>5</v>
      </c>
      <c r="F14" s="8">
        <v>178500</v>
      </c>
      <c r="G14" s="8">
        <v>11</v>
      </c>
      <c r="H14" s="8">
        <v>36000</v>
      </c>
      <c r="I14" s="8">
        <v>5</v>
      </c>
      <c r="J14" s="8">
        <v>29900</v>
      </c>
      <c r="K14" s="8">
        <v>12</v>
      </c>
      <c r="L14" s="8"/>
      <c r="M14" s="8"/>
      <c r="N14" s="8">
        <v>274400</v>
      </c>
      <c r="O14" s="8">
        <v>35</v>
      </c>
    </row>
    <row r="15" spans="1:15" x14ac:dyDescent="0.35">
      <c r="A15" s="7" t="s">
        <v>3533</v>
      </c>
      <c r="B15" s="8"/>
      <c r="C15" s="8"/>
      <c r="D15" s="8"/>
      <c r="E15" s="8"/>
      <c r="F15" s="8"/>
      <c r="G15" s="8"/>
      <c r="H15" s="8">
        <v>0</v>
      </c>
      <c r="I15" s="8">
        <v>2</v>
      </c>
      <c r="J15" s="8"/>
      <c r="K15" s="8"/>
      <c r="L15" s="8"/>
      <c r="M15" s="8"/>
      <c r="N15" s="8">
        <v>0</v>
      </c>
      <c r="O15" s="8">
        <v>2</v>
      </c>
    </row>
    <row r="16" spans="1:15" x14ac:dyDescent="0.35">
      <c r="A16" s="7" t="s">
        <v>100</v>
      </c>
      <c r="B16" s="8"/>
      <c r="C16" s="8"/>
      <c r="D16" s="8"/>
      <c r="E16" s="8"/>
      <c r="F16" s="8"/>
      <c r="G16" s="8"/>
      <c r="H16" s="8"/>
      <c r="I16" s="8"/>
      <c r="J16" s="8">
        <v>78997</v>
      </c>
      <c r="K16" s="8">
        <v>157</v>
      </c>
      <c r="L16" s="8"/>
      <c r="M16" s="8"/>
      <c r="N16" s="8">
        <v>78997</v>
      </c>
      <c r="O16" s="8">
        <v>157</v>
      </c>
    </row>
    <row r="17" spans="1:15" x14ac:dyDescent="0.35">
      <c r="A17" s="7" t="s">
        <v>344</v>
      </c>
      <c r="B17" s="8">
        <v>0</v>
      </c>
      <c r="C17" s="8">
        <v>13</v>
      </c>
      <c r="D17" s="8">
        <v>65000</v>
      </c>
      <c r="E17" s="8">
        <v>20</v>
      </c>
      <c r="F17" s="8">
        <v>1600000</v>
      </c>
      <c r="G17" s="8">
        <v>8</v>
      </c>
      <c r="H17" s="8">
        <v>222650.01</v>
      </c>
      <c r="I17" s="8">
        <v>15</v>
      </c>
      <c r="J17" s="8">
        <v>0</v>
      </c>
      <c r="K17" s="8">
        <v>6</v>
      </c>
      <c r="L17" s="8"/>
      <c r="M17" s="8"/>
      <c r="N17" s="8">
        <v>1887650.01</v>
      </c>
      <c r="O17" s="8">
        <v>62</v>
      </c>
    </row>
    <row r="18" spans="1:15" x14ac:dyDescent="0.35">
      <c r="A18" s="7" t="s">
        <v>3636</v>
      </c>
      <c r="B18" s="8"/>
      <c r="C18" s="8"/>
      <c r="D18" s="8"/>
      <c r="E18" s="8"/>
      <c r="F18" s="8">
        <v>0</v>
      </c>
      <c r="G18" s="8">
        <v>1</v>
      </c>
      <c r="H18" s="8">
        <v>0</v>
      </c>
      <c r="I18" s="8">
        <v>1</v>
      </c>
      <c r="J18" s="8"/>
      <c r="K18" s="8"/>
      <c r="L18" s="8"/>
      <c r="M18" s="8"/>
      <c r="N18" s="8">
        <v>0</v>
      </c>
      <c r="O18" s="8">
        <v>2</v>
      </c>
    </row>
    <row r="19" spans="1:15" x14ac:dyDescent="0.35">
      <c r="A19" s="7" t="s">
        <v>612</v>
      </c>
      <c r="B19" s="8"/>
      <c r="C19" s="8"/>
      <c r="D19" s="8"/>
      <c r="E19" s="8"/>
      <c r="F19" s="8"/>
      <c r="G19" s="8"/>
      <c r="H19" s="8"/>
      <c r="I19" s="8"/>
      <c r="J19" s="8">
        <v>0</v>
      </c>
      <c r="K19" s="8">
        <v>2</v>
      </c>
      <c r="L19" s="8"/>
      <c r="M19" s="8"/>
      <c r="N19" s="8">
        <v>0</v>
      </c>
      <c r="O19" s="8">
        <v>2</v>
      </c>
    </row>
    <row r="20" spans="1:15" x14ac:dyDescent="0.35">
      <c r="A20" s="7" t="s">
        <v>403</v>
      </c>
      <c r="B20" s="8">
        <v>2390630</v>
      </c>
      <c r="C20" s="8">
        <v>394</v>
      </c>
      <c r="D20" s="8">
        <v>1629196.36</v>
      </c>
      <c r="E20" s="8">
        <v>46</v>
      </c>
      <c r="F20" s="8">
        <v>1384572.63</v>
      </c>
      <c r="G20" s="8">
        <v>43</v>
      </c>
      <c r="H20" s="8">
        <v>1345150</v>
      </c>
      <c r="I20" s="8">
        <v>39</v>
      </c>
      <c r="J20" s="8">
        <v>23999</v>
      </c>
      <c r="K20" s="8">
        <v>27</v>
      </c>
      <c r="L20" s="8"/>
      <c r="M20" s="8"/>
      <c r="N20" s="8">
        <v>6773547.9900000002</v>
      </c>
      <c r="O20" s="8">
        <v>549</v>
      </c>
    </row>
    <row r="21" spans="1:15" x14ac:dyDescent="0.35">
      <c r="A21" s="7" t="s">
        <v>9862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x14ac:dyDescent="0.35">
      <c r="A22" s="7" t="s">
        <v>9863</v>
      </c>
      <c r="B22" s="8">
        <v>10861322.460000001</v>
      </c>
      <c r="C22" s="8">
        <v>852</v>
      </c>
      <c r="D22" s="8">
        <v>9625682.0099999998</v>
      </c>
      <c r="E22" s="8">
        <v>463</v>
      </c>
      <c r="F22" s="8">
        <v>13855606.140000001</v>
      </c>
      <c r="G22" s="8">
        <v>300</v>
      </c>
      <c r="H22" s="8">
        <v>8803456.629999999</v>
      </c>
      <c r="I22" s="8">
        <v>328</v>
      </c>
      <c r="J22" s="8">
        <v>446611.62</v>
      </c>
      <c r="K22" s="8">
        <v>345</v>
      </c>
      <c r="L22" s="8"/>
      <c r="M22" s="8"/>
      <c r="N22" s="8">
        <v>43592678.859999999</v>
      </c>
      <c r="O22" s="8">
        <v>2288</v>
      </c>
    </row>
    <row r="25" spans="1:15" x14ac:dyDescent="0.35">
      <c r="B25" t="s">
        <v>9864</v>
      </c>
    </row>
    <row r="26" spans="1:15" x14ac:dyDescent="0.35">
      <c r="B26">
        <v>1</v>
      </c>
      <c r="D26">
        <v>2</v>
      </c>
      <c r="F26">
        <v>3</v>
      </c>
      <c r="H26">
        <v>4</v>
      </c>
      <c r="J26">
        <v>5</v>
      </c>
      <c r="L26" t="s">
        <v>9862</v>
      </c>
      <c r="N26" t="s">
        <v>9866</v>
      </c>
      <c r="O26" t="s">
        <v>9867</v>
      </c>
    </row>
    <row r="27" spans="1:15" x14ac:dyDescent="0.35">
      <c r="A27" t="s">
        <v>9861</v>
      </c>
      <c r="B27" t="s">
        <v>9868</v>
      </c>
      <c r="C27" t="s">
        <v>9865</v>
      </c>
      <c r="D27" t="s">
        <v>9868</v>
      </c>
      <c r="E27" t="s">
        <v>9865</v>
      </c>
      <c r="F27" t="s">
        <v>9868</v>
      </c>
      <c r="G27" t="s">
        <v>9865</v>
      </c>
      <c r="H27" t="s">
        <v>9868</v>
      </c>
      <c r="I27" t="s">
        <v>9865</v>
      </c>
      <c r="J27" t="s">
        <v>9868</v>
      </c>
      <c r="K27" t="s">
        <v>9865</v>
      </c>
      <c r="L27" t="s">
        <v>9868</v>
      </c>
      <c r="M27" t="s">
        <v>9865</v>
      </c>
    </row>
    <row r="28" spans="1:15" x14ac:dyDescent="0.35">
      <c r="A28" s="7" t="s">
        <v>73</v>
      </c>
      <c r="B28" s="8">
        <v>299190</v>
      </c>
      <c r="C28" s="8">
        <v>67</v>
      </c>
      <c r="D28" s="8">
        <v>1375599.8199999998</v>
      </c>
      <c r="E28" s="8">
        <v>105</v>
      </c>
      <c r="F28" s="8">
        <v>2009490.42</v>
      </c>
      <c r="G28" s="8">
        <v>52</v>
      </c>
      <c r="H28" s="8">
        <v>1962677</v>
      </c>
      <c r="I28" s="8">
        <v>54</v>
      </c>
      <c r="J28" s="8">
        <v>29065.62</v>
      </c>
      <c r="K28" s="8">
        <v>39</v>
      </c>
      <c r="L28" s="8"/>
      <c r="M28" s="8"/>
      <c r="N28" s="8">
        <v>5676022.8600000003</v>
      </c>
      <c r="O28" s="8">
        <v>317</v>
      </c>
    </row>
    <row r="29" spans="1:15" x14ac:dyDescent="0.35">
      <c r="A29" s="7" t="s">
        <v>1046</v>
      </c>
      <c r="B29" s="8">
        <v>3215000</v>
      </c>
      <c r="C29" s="8">
        <v>9</v>
      </c>
      <c r="D29" s="8">
        <v>158780</v>
      </c>
      <c r="E29" s="8">
        <v>26</v>
      </c>
      <c r="F29" s="8">
        <v>4463796.04</v>
      </c>
      <c r="G29" s="8">
        <v>26</v>
      </c>
      <c r="H29" s="8">
        <v>310329</v>
      </c>
      <c r="I29" s="8">
        <v>19</v>
      </c>
      <c r="J29" s="8">
        <v>12000</v>
      </c>
      <c r="K29" s="8">
        <v>27</v>
      </c>
      <c r="L29" s="8"/>
      <c r="M29" s="8"/>
      <c r="N29" s="8">
        <v>8159905.04</v>
      </c>
      <c r="O29" s="8">
        <v>107</v>
      </c>
    </row>
    <row r="30" spans="1:15" x14ac:dyDescent="0.35">
      <c r="A30" s="7" t="s">
        <v>1443</v>
      </c>
      <c r="B30" s="8"/>
      <c r="C30" s="8"/>
      <c r="D30" s="8"/>
      <c r="E30" s="8"/>
      <c r="F30" s="8"/>
      <c r="G30" s="8"/>
      <c r="H30" s="8"/>
      <c r="I30" s="8"/>
      <c r="J30" s="8">
        <v>0</v>
      </c>
      <c r="K30" s="8">
        <v>1</v>
      </c>
      <c r="L30" s="8"/>
      <c r="M30" s="8"/>
      <c r="N30" s="8">
        <v>0</v>
      </c>
      <c r="O30" s="8">
        <v>1</v>
      </c>
    </row>
    <row r="31" spans="1:15" x14ac:dyDescent="0.35">
      <c r="A31" s="7" t="s">
        <v>232</v>
      </c>
      <c r="B31" s="8">
        <v>72200</v>
      </c>
      <c r="C31" s="8">
        <v>37</v>
      </c>
      <c r="D31" s="8">
        <v>240500</v>
      </c>
      <c r="E31" s="8">
        <v>10</v>
      </c>
      <c r="F31" s="8">
        <v>3002500.0399999991</v>
      </c>
      <c r="G31" s="8">
        <v>80</v>
      </c>
      <c r="H31" s="8">
        <v>2089500</v>
      </c>
      <c r="I31" s="8">
        <v>68</v>
      </c>
      <c r="J31" s="8">
        <v>18500</v>
      </c>
      <c r="K31" s="8">
        <v>14</v>
      </c>
      <c r="L31" s="8"/>
      <c r="M31" s="8"/>
      <c r="N31" s="8">
        <v>5423200.0399999991</v>
      </c>
      <c r="O31" s="8">
        <v>209</v>
      </c>
    </row>
    <row r="32" spans="1:15" x14ac:dyDescent="0.35">
      <c r="A32" s="7" t="s">
        <v>595</v>
      </c>
      <c r="B32" s="8">
        <v>0</v>
      </c>
      <c r="C32" s="8">
        <v>4</v>
      </c>
      <c r="D32" s="8">
        <v>459440.08999999997</v>
      </c>
      <c r="E32" s="8">
        <v>22</v>
      </c>
      <c r="F32" s="8">
        <v>46500</v>
      </c>
      <c r="G32" s="8">
        <v>26</v>
      </c>
      <c r="H32" s="8">
        <v>1270000</v>
      </c>
      <c r="I32" s="8">
        <v>39</v>
      </c>
      <c r="J32" s="8">
        <v>0</v>
      </c>
      <c r="K32" s="8">
        <v>8</v>
      </c>
      <c r="L32" s="8"/>
      <c r="M32" s="8"/>
      <c r="N32" s="8">
        <v>1775940.0899999999</v>
      </c>
      <c r="O32" s="8">
        <v>99</v>
      </c>
    </row>
    <row r="33" spans="1:15" x14ac:dyDescent="0.35">
      <c r="A33" s="7" t="s">
        <v>1383</v>
      </c>
      <c r="B33" s="8">
        <v>1195000</v>
      </c>
      <c r="C33" s="8">
        <v>66</v>
      </c>
      <c r="D33" s="8">
        <v>0</v>
      </c>
      <c r="E33" s="8">
        <v>3</v>
      </c>
      <c r="F33" s="8">
        <v>0</v>
      </c>
      <c r="G33" s="8">
        <v>10</v>
      </c>
      <c r="H33" s="8"/>
      <c r="I33" s="8"/>
      <c r="J33" s="8">
        <v>130000</v>
      </c>
      <c r="K33" s="8">
        <v>3</v>
      </c>
      <c r="L33" s="8"/>
      <c r="M33" s="8"/>
      <c r="N33" s="8">
        <v>1325000</v>
      </c>
      <c r="O33" s="8">
        <v>82</v>
      </c>
    </row>
    <row r="34" spans="1:15" x14ac:dyDescent="0.35">
      <c r="A34" s="7" t="s">
        <v>473</v>
      </c>
      <c r="B34" s="8">
        <v>3039302.46</v>
      </c>
      <c r="C34" s="8">
        <v>131</v>
      </c>
      <c r="D34" s="8">
        <v>2936445.76</v>
      </c>
      <c r="E34" s="8">
        <v>133</v>
      </c>
      <c r="F34" s="8">
        <v>376650.01</v>
      </c>
      <c r="G34" s="8">
        <v>7</v>
      </c>
      <c r="H34" s="8">
        <v>831199.35999999987</v>
      </c>
      <c r="I34" s="8">
        <v>62</v>
      </c>
      <c r="J34" s="8">
        <v>121900</v>
      </c>
      <c r="K34" s="8">
        <v>32</v>
      </c>
      <c r="L34" s="8"/>
      <c r="M34" s="8"/>
      <c r="N34" s="8">
        <v>7305497.5899999999</v>
      </c>
      <c r="O34" s="8">
        <v>365</v>
      </c>
    </row>
    <row r="35" spans="1:15" x14ac:dyDescent="0.35">
      <c r="A35" s="7" t="s">
        <v>283</v>
      </c>
      <c r="B35" s="8">
        <v>650000</v>
      </c>
      <c r="C35" s="8">
        <v>129</v>
      </c>
      <c r="D35" s="8">
        <v>2730719.98</v>
      </c>
      <c r="E35" s="8">
        <v>93</v>
      </c>
      <c r="F35" s="8">
        <v>793597</v>
      </c>
      <c r="G35" s="8">
        <v>36</v>
      </c>
      <c r="H35" s="8">
        <v>735951.26</v>
      </c>
      <c r="I35" s="8">
        <v>24</v>
      </c>
      <c r="J35" s="8">
        <v>2250</v>
      </c>
      <c r="K35" s="8">
        <v>17</v>
      </c>
      <c r="L35" s="8"/>
      <c r="M35" s="8"/>
      <c r="N35" s="8">
        <v>4912518.24</v>
      </c>
      <c r="O35" s="8">
        <v>299</v>
      </c>
    </row>
    <row r="36" spans="1:15" x14ac:dyDescent="0.35">
      <c r="A36" s="7" t="s">
        <v>249</v>
      </c>
      <c r="B36" s="8">
        <v>0</v>
      </c>
      <c r="C36" s="8">
        <v>2</v>
      </c>
      <c r="D36" s="8">
        <v>30000</v>
      </c>
      <c r="E36" s="8">
        <v>5</v>
      </c>
      <c r="F36" s="8">
        <v>178500</v>
      </c>
      <c r="G36" s="8">
        <v>11</v>
      </c>
      <c r="H36" s="8">
        <v>36000</v>
      </c>
      <c r="I36" s="8">
        <v>5</v>
      </c>
      <c r="J36" s="8">
        <v>29900</v>
      </c>
      <c r="K36" s="8">
        <v>12</v>
      </c>
      <c r="L36" s="8"/>
      <c r="M36" s="8"/>
      <c r="N36" s="8">
        <v>274400</v>
      </c>
      <c r="O36" s="8">
        <v>35</v>
      </c>
    </row>
    <row r="37" spans="1:15" x14ac:dyDescent="0.35">
      <c r="A37" s="7" t="s">
        <v>3533</v>
      </c>
      <c r="B37" s="8"/>
      <c r="C37" s="8"/>
      <c r="D37" s="8"/>
      <c r="E37" s="8"/>
      <c r="F37" s="8"/>
      <c r="G37" s="8"/>
      <c r="H37" s="8">
        <v>0</v>
      </c>
      <c r="I37" s="8">
        <v>2</v>
      </c>
      <c r="J37" s="8"/>
      <c r="K37" s="8"/>
      <c r="L37" s="8"/>
      <c r="M37" s="8"/>
      <c r="N37" s="8">
        <v>0</v>
      </c>
      <c r="O37" s="8">
        <v>2</v>
      </c>
    </row>
    <row r="38" spans="1:15" x14ac:dyDescent="0.35">
      <c r="A38" s="7" t="s">
        <v>100</v>
      </c>
      <c r="B38" s="8"/>
      <c r="C38" s="8"/>
      <c r="D38" s="8"/>
      <c r="E38" s="8"/>
      <c r="F38" s="8"/>
      <c r="G38" s="8"/>
      <c r="H38" s="8"/>
      <c r="I38" s="8"/>
      <c r="J38" s="8">
        <v>78997</v>
      </c>
      <c r="K38" s="8">
        <v>157</v>
      </c>
      <c r="L38" s="8"/>
      <c r="M38" s="8"/>
      <c r="N38" s="8">
        <v>78997</v>
      </c>
      <c r="O38" s="8">
        <v>157</v>
      </c>
    </row>
    <row r="39" spans="1:15" x14ac:dyDescent="0.35">
      <c r="A39" s="7" t="s">
        <v>344</v>
      </c>
      <c r="B39" s="8">
        <v>0</v>
      </c>
      <c r="C39" s="8">
        <v>13</v>
      </c>
      <c r="D39" s="8">
        <v>65000</v>
      </c>
      <c r="E39" s="8">
        <v>20</v>
      </c>
      <c r="F39" s="8">
        <v>1600000</v>
      </c>
      <c r="G39" s="8">
        <v>8</v>
      </c>
      <c r="H39" s="8">
        <v>222650.01</v>
      </c>
      <c r="I39" s="8">
        <v>15</v>
      </c>
      <c r="J39" s="8">
        <v>0</v>
      </c>
      <c r="K39" s="8">
        <v>6</v>
      </c>
      <c r="L39" s="8"/>
      <c r="M39" s="8"/>
      <c r="N39" s="8">
        <v>1887650.01</v>
      </c>
      <c r="O39" s="8">
        <v>62</v>
      </c>
    </row>
    <row r="40" spans="1:15" x14ac:dyDescent="0.35">
      <c r="A40" s="7" t="s">
        <v>3636</v>
      </c>
      <c r="B40" s="8"/>
      <c r="C40" s="8"/>
      <c r="D40" s="8"/>
      <c r="E40" s="8"/>
      <c r="F40" s="8">
        <v>0</v>
      </c>
      <c r="G40" s="8">
        <v>1</v>
      </c>
      <c r="H40" s="8">
        <v>0</v>
      </c>
      <c r="I40" s="8">
        <v>1</v>
      </c>
      <c r="J40" s="8"/>
      <c r="K40" s="8"/>
      <c r="L40" s="8"/>
      <c r="M40" s="8"/>
      <c r="N40" s="8">
        <v>0</v>
      </c>
      <c r="O40" s="8">
        <v>2</v>
      </c>
    </row>
    <row r="41" spans="1:15" x14ac:dyDescent="0.35">
      <c r="A41" s="7" t="s">
        <v>612</v>
      </c>
      <c r="B41" s="8"/>
      <c r="C41" s="8"/>
      <c r="D41" s="8"/>
      <c r="E41" s="8"/>
      <c r="F41" s="8"/>
      <c r="G41" s="8"/>
      <c r="H41" s="8"/>
      <c r="I41" s="8"/>
      <c r="J41" s="8">
        <v>0</v>
      </c>
      <c r="K41" s="8">
        <v>2</v>
      </c>
      <c r="L41" s="8"/>
      <c r="M41" s="8"/>
      <c r="N41" s="8">
        <v>0</v>
      </c>
      <c r="O41" s="8">
        <v>2</v>
      </c>
    </row>
    <row r="42" spans="1:15" x14ac:dyDescent="0.35">
      <c r="A42" s="7" t="s">
        <v>403</v>
      </c>
      <c r="B42" s="8">
        <v>2390630</v>
      </c>
      <c r="C42" s="8">
        <v>394</v>
      </c>
      <c r="D42" s="8">
        <v>1629196.36</v>
      </c>
      <c r="E42" s="8">
        <v>46</v>
      </c>
      <c r="F42" s="8">
        <v>1384572.63</v>
      </c>
      <c r="G42" s="8">
        <v>43</v>
      </c>
      <c r="H42" s="8">
        <v>1345150</v>
      </c>
      <c r="I42" s="8">
        <v>39</v>
      </c>
      <c r="J42" s="8">
        <v>23999</v>
      </c>
      <c r="K42" s="8">
        <v>27</v>
      </c>
      <c r="L42" s="8"/>
      <c r="M42" s="8"/>
      <c r="N42" s="8">
        <v>6773547.9900000002</v>
      </c>
      <c r="O42" s="8">
        <v>549</v>
      </c>
    </row>
    <row r="43" spans="1:15" x14ac:dyDescent="0.35">
      <c r="A43" s="7" t="s">
        <v>9862</v>
      </c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x14ac:dyDescent="0.35">
      <c r="A44" s="7" t="s">
        <v>9863</v>
      </c>
      <c r="B44" s="8">
        <v>10861322.460000001</v>
      </c>
      <c r="C44" s="8">
        <v>852</v>
      </c>
      <c r="D44" s="8">
        <v>9625682.0099999998</v>
      </c>
      <c r="E44" s="8">
        <v>463</v>
      </c>
      <c r="F44" s="8">
        <v>13855606.140000001</v>
      </c>
      <c r="G44" s="8">
        <v>300</v>
      </c>
      <c r="H44" s="8">
        <v>8803456.629999999</v>
      </c>
      <c r="I44" s="8">
        <v>328</v>
      </c>
      <c r="J44" s="8">
        <v>446611.62</v>
      </c>
      <c r="K44" s="8">
        <v>345</v>
      </c>
      <c r="L44" s="8"/>
      <c r="M44" s="8"/>
      <c r="N44" s="8">
        <v>43592678.859999999</v>
      </c>
      <c r="O44" s="8">
        <v>2288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133"/>
  <sheetViews>
    <sheetView topLeftCell="AB1" workbookViewId="0">
      <selection activeCell="F7" sqref="F7"/>
    </sheetView>
  </sheetViews>
  <sheetFormatPr defaultRowHeight="14.5" x14ac:dyDescent="0.35"/>
  <cols>
    <col min="6" max="6" width="17.7265625" bestFit="1" customWidth="1"/>
    <col min="16" max="16" width="67.816406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9859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9860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</row>
    <row r="2" spans="1:52" s="3" customFormat="1" x14ac:dyDescent="0.35">
      <c r="A2" s="2" t="s">
        <v>50</v>
      </c>
      <c r="B2" s="4">
        <v>250199</v>
      </c>
      <c r="C2" s="2" t="s">
        <v>51</v>
      </c>
      <c r="D2" s="2">
        <f>MONTH(C2)</f>
        <v>5</v>
      </c>
      <c r="F2" s="2" t="s">
        <v>52</v>
      </c>
      <c r="G2" s="2" t="s">
        <v>53</v>
      </c>
      <c r="H2" s="4">
        <v>1</v>
      </c>
      <c r="I2" s="4">
        <v>1</v>
      </c>
      <c r="J2" s="4">
        <v>950</v>
      </c>
      <c r="L2" s="4">
        <v>950</v>
      </c>
      <c r="M2" s="2" t="s">
        <v>55</v>
      </c>
      <c r="N2" s="2" t="s">
        <v>56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61</v>
      </c>
      <c r="V2" s="2" t="s">
        <v>62</v>
      </c>
      <c r="W2" s="2" t="s">
        <v>63</v>
      </c>
      <c r="Y2" s="2" t="s">
        <v>64</v>
      </c>
      <c r="Z2" s="2" t="s">
        <v>65</v>
      </c>
      <c r="AA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K2" s="2" t="s">
        <v>71</v>
      </c>
      <c r="AM2" s="2" t="s">
        <v>72</v>
      </c>
      <c r="AN2" s="2" t="s">
        <v>73</v>
      </c>
      <c r="AP2" s="2" t="s">
        <v>74</v>
      </c>
      <c r="AU2" s="2" t="s">
        <v>75</v>
      </c>
      <c r="AV2" s="2" t="s">
        <v>52</v>
      </c>
      <c r="AW2" s="2" t="s">
        <v>76</v>
      </c>
      <c r="AZ2" s="2" t="s">
        <v>77</v>
      </c>
    </row>
    <row r="3" spans="1:52" s="3" customFormat="1" x14ac:dyDescent="0.35">
      <c r="A3" s="2" t="s">
        <v>78</v>
      </c>
      <c r="B3" s="4">
        <v>250168</v>
      </c>
      <c r="C3" s="2" t="s">
        <v>79</v>
      </c>
      <c r="D3" s="2">
        <f t="shared" ref="D3:D66" si="0">MONTH(C3)</f>
        <v>5</v>
      </c>
      <c r="F3" s="2" t="s">
        <v>74</v>
      </c>
      <c r="G3" s="2" t="s">
        <v>53</v>
      </c>
      <c r="H3" s="4">
        <v>2</v>
      </c>
      <c r="I3" s="4">
        <v>12</v>
      </c>
      <c r="J3" s="5">
        <v>70000</v>
      </c>
      <c r="K3" s="2" t="s">
        <v>80</v>
      </c>
      <c r="L3" s="5">
        <v>70000</v>
      </c>
      <c r="M3" s="2" t="s">
        <v>81</v>
      </c>
      <c r="N3" s="2" t="s">
        <v>82</v>
      </c>
      <c r="O3" s="2" t="s">
        <v>83</v>
      </c>
      <c r="P3" s="2" t="s">
        <v>84</v>
      </c>
      <c r="Q3" s="2" t="s">
        <v>85</v>
      </c>
      <c r="R3" s="2" t="s">
        <v>86</v>
      </c>
      <c r="S3" s="2" t="s">
        <v>87</v>
      </c>
      <c r="V3" s="2" t="s">
        <v>88</v>
      </c>
      <c r="W3" s="2" t="s">
        <v>89</v>
      </c>
      <c r="Y3" s="2" t="s">
        <v>90</v>
      </c>
      <c r="Z3" s="2" t="s">
        <v>91</v>
      </c>
      <c r="AA3" s="2" t="s">
        <v>92</v>
      </c>
      <c r="AB3" s="2" t="s">
        <v>93</v>
      </c>
      <c r="AC3" s="2" t="s">
        <v>94</v>
      </c>
      <c r="AD3" s="2" t="s">
        <v>95</v>
      </c>
      <c r="AE3" s="2" t="s">
        <v>96</v>
      </c>
      <c r="AF3" s="2" t="s">
        <v>97</v>
      </c>
      <c r="AK3" s="2" t="s">
        <v>98</v>
      </c>
      <c r="AL3" s="2" t="s">
        <v>99</v>
      </c>
      <c r="AM3" s="2" t="s">
        <v>72</v>
      </c>
      <c r="AN3" s="2" t="s">
        <v>100</v>
      </c>
      <c r="AP3" s="2" t="s">
        <v>101</v>
      </c>
      <c r="AT3" s="2" t="s">
        <v>102</v>
      </c>
      <c r="AU3" s="2" t="s">
        <v>75</v>
      </c>
      <c r="AV3" s="2" t="s">
        <v>74</v>
      </c>
      <c r="AW3" s="2" t="s">
        <v>103</v>
      </c>
      <c r="AZ3" s="2" t="s">
        <v>77</v>
      </c>
    </row>
    <row r="4" spans="1:52" s="3" customFormat="1" x14ac:dyDescent="0.35">
      <c r="A4" s="2" t="s">
        <v>104</v>
      </c>
      <c r="B4" s="4">
        <v>250166</v>
      </c>
      <c r="C4" s="2" t="s">
        <v>105</v>
      </c>
      <c r="D4" s="2">
        <f t="shared" si="0"/>
        <v>5</v>
      </c>
      <c r="F4" s="2" t="s">
        <v>74</v>
      </c>
      <c r="G4" s="2" t="s">
        <v>53</v>
      </c>
      <c r="H4" s="4">
        <v>1</v>
      </c>
      <c r="I4" s="4">
        <v>1</v>
      </c>
      <c r="J4" s="4">
        <v>0</v>
      </c>
      <c r="L4" s="4">
        <v>0</v>
      </c>
      <c r="M4" s="2" t="s">
        <v>55</v>
      </c>
      <c r="N4" s="2" t="s">
        <v>56</v>
      </c>
      <c r="O4" s="2" t="s">
        <v>57</v>
      </c>
      <c r="P4" s="2" t="s">
        <v>106</v>
      </c>
      <c r="Q4" s="2" t="s">
        <v>107</v>
      </c>
      <c r="R4" s="2" t="s">
        <v>108</v>
      </c>
      <c r="S4" s="2" t="s">
        <v>109</v>
      </c>
      <c r="V4" s="2" t="s">
        <v>110</v>
      </c>
      <c r="W4" s="2" t="s">
        <v>111</v>
      </c>
      <c r="Y4" s="2" t="s">
        <v>64</v>
      </c>
      <c r="Z4" s="2" t="s">
        <v>65</v>
      </c>
      <c r="AA4" s="2" t="s">
        <v>66</v>
      </c>
      <c r="AC4" s="2" t="s">
        <v>67</v>
      </c>
      <c r="AD4" s="2" t="s">
        <v>68</v>
      </c>
      <c r="AE4" s="2" t="s">
        <v>69</v>
      </c>
      <c r="AF4" s="2" t="s">
        <v>70</v>
      </c>
      <c r="AG4" s="2" t="s">
        <v>106</v>
      </c>
      <c r="AK4" s="2" t="s">
        <v>112</v>
      </c>
      <c r="AM4" s="2" t="s">
        <v>72</v>
      </c>
      <c r="AN4" s="2" t="s">
        <v>100</v>
      </c>
      <c r="AP4" s="2" t="s">
        <v>113</v>
      </c>
      <c r="AT4" s="2" t="s">
        <v>114</v>
      </c>
      <c r="AU4" s="2" t="s">
        <v>75</v>
      </c>
      <c r="AW4" s="2" t="s">
        <v>115</v>
      </c>
      <c r="AZ4" s="2" t="s">
        <v>116</v>
      </c>
    </row>
    <row r="5" spans="1:52" s="3" customFormat="1" x14ac:dyDescent="0.35">
      <c r="A5" s="2" t="s">
        <v>117</v>
      </c>
      <c r="B5" s="4">
        <v>250164</v>
      </c>
      <c r="C5" s="2" t="s">
        <v>118</v>
      </c>
      <c r="D5" s="2">
        <f t="shared" si="0"/>
        <v>5</v>
      </c>
      <c r="F5" s="2" t="s">
        <v>74</v>
      </c>
      <c r="G5" s="2" t="s">
        <v>53</v>
      </c>
      <c r="H5" s="4">
        <v>1</v>
      </c>
      <c r="I5" s="4">
        <v>1</v>
      </c>
      <c r="J5" s="4">
        <v>0</v>
      </c>
      <c r="L5" s="4">
        <v>0</v>
      </c>
      <c r="M5" s="2" t="s">
        <v>55</v>
      </c>
      <c r="N5" s="2" t="s">
        <v>56</v>
      </c>
      <c r="O5" s="2" t="s">
        <v>57</v>
      </c>
      <c r="P5" s="2" t="s">
        <v>106</v>
      </c>
      <c r="Q5" s="2" t="s">
        <v>107</v>
      </c>
      <c r="R5" s="2" t="s">
        <v>119</v>
      </c>
      <c r="S5" s="2" t="s">
        <v>120</v>
      </c>
      <c r="V5" s="2" t="s">
        <v>121</v>
      </c>
      <c r="W5" s="2" t="s">
        <v>122</v>
      </c>
      <c r="Y5" s="2" t="s">
        <v>64</v>
      </c>
      <c r="Z5" s="2" t="s">
        <v>65</v>
      </c>
      <c r="AA5" s="2" t="s">
        <v>66</v>
      </c>
      <c r="AC5" s="2" t="s">
        <v>67</v>
      </c>
      <c r="AD5" s="2" t="s">
        <v>68</v>
      </c>
      <c r="AE5" s="2" t="s">
        <v>69</v>
      </c>
      <c r="AF5" s="2" t="s">
        <v>70</v>
      </c>
      <c r="AG5" s="2" t="s">
        <v>106</v>
      </c>
      <c r="AK5" s="2" t="s">
        <v>123</v>
      </c>
      <c r="AM5" s="2" t="s">
        <v>72</v>
      </c>
      <c r="AN5" s="2" t="s">
        <v>100</v>
      </c>
      <c r="AP5" s="2" t="s">
        <v>113</v>
      </c>
      <c r="AT5" s="2" t="s">
        <v>114</v>
      </c>
      <c r="AU5" s="2" t="s">
        <v>75</v>
      </c>
      <c r="AW5" s="2" t="s">
        <v>124</v>
      </c>
      <c r="AZ5" s="2" t="s">
        <v>116</v>
      </c>
    </row>
    <row r="6" spans="1:52" s="3" customFormat="1" x14ac:dyDescent="0.35">
      <c r="A6" s="2" t="s">
        <v>125</v>
      </c>
      <c r="B6" s="4">
        <v>250162</v>
      </c>
      <c r="C6" s="2" t="s">
        <v>126</v>
      </c>
      <c r="D6" s="2">
        <f t="shared" si="0"/>
        <v>5</v>
      </c>
      <c r="F6" s="2" t="s">
        <v>74</v>
      </c>
      <c r="G6" s="2" t="s">
        <v>53</v>
      </c>
      <c r="H6" s="4">
        <v>1</v>
      </c>
      <c r="I6" s="4">
        <v>1</v>
      </c>
      <c r="J6" s="4">
        <v>0</v>
      </c>
      <c r="L6" s="4">
        <v>0</v>
      </c>
      <c r="M6" s="2" t="s">
        <v>55</v>
      </c>
      <c r="N6" s="2" t="s">
        <v>56</v>
      </c>
      <c r="O6" s="2" t="s">
        <v>57</v>
      </c>
      <c r="P6" s="2" t="s">
        <v>106</v>
      </c>
      <c r="Q6" s="2" t="s">
        <v>107</v>
      </c>
      <c r="R6" s="2" t="s">
        <v>127</v>
      </c>
      <c r="S6" s="2" t="s">
        <v>128</v>
      </c>
      <c r="V6" s="2" t="s">
        <v>129</v>
      </c>
      <c r="W6" s="2" t="s">
        <v>130</v>
      </c>
      <c r="Y6" s="2" t="s">
        <v>64</v>
      </c>
      <c r="Z6" s="2" t="s">
        <v>65</v>
      </c>
      <c r="AA6" s="2" t="s">
        <v>66</v>
      </c>
      <c r="AC6" s="2" t="s">
        <v>67</v>
      </c>
      <c r="AD6" s="2" t="s">
        <v>68</v>
      </c>
      <c r="AE6" s="2" t="s">
        <v>69</v>
      </c>
      <c r="AF6" s="2" t="s">
        <v>70</v>
      </c>
      <c r="AG6" s="2" t="s">
        <v>106</v>
      </c>
      <c r="AK6" s="2" t="s">
        <v>131</v>
      </c>
      <c r="AM6" s="2" t="s">
        <v>72</v>
      </c>
      <c r="AN6" s="2" t="s">
        <v>100</v>
      </c>
      <c r="AP6" s="2" t="s">
        <v>113</v>
      </c>
      <c r="AT6" s="2" t="s">
        <v>114</v>
      </c>
      <c r="AU6" s="2" t="s">
        <v>75</v>
      </c>
      <c r="AW6" s="2" t="s">
        <v>132</v>
      </c>
      <c r="AZ6" s="2" t="s">
        <v>116</v>
      </c>
    </row>
    <row r="7" spans="1:52" s="3" customFormat="1" x14ac:dyDescent="0.35">
      <c r="A7" s="2" t="s">
        <v>133</v>
      </c>
      <c r="B7" s="4">
        <v>250160</v>
      </c>
      <c r="C7" s="2" t="s">
        <v>134</v>
      </c>
      <c r="D7" s="2">
        <f t="shared" si="0"/>
        <v>5</v>
      </c>
      <c r="F7" s="2" t="s">
        <v>74</v>
      </c>
      <c r="G7" s="2" t="s">
        <v>53</v>
      </c>
      <c r="H7" s="4">
        <v>1</v>
      </c>
      <c r="I7" s="4">
        <v>1</v>
      </c>
      <c r="J7" s="4">
        <v>0</v>
      </c>
      <c r="L7" s="4">
        <v>0</v>
      </c>
      <c r="M7" s="2" t="s">
        <v>55</v>
      </c>
      <c r="N7" s="2" t="s">
        <v>56</v>
      </c>
      <c r="O7" s="2" t="s">
        <v>57</v>
      </c>
      <c r="P7" s="2" t="s">
        <v>106</v>
      </c>
      <c r="Q7" s="2" t="s">
        <v>107</v>
      </c>
      <c r="R7" s="2" t="s">
        <v>135</v>
      </c>
      <c r="S7" s="2" t="s">
        <v>136</v>
      </c>
      <c r="V7" s="2" t="s">
        <v>137</v>
      </c>
      <c r="W7" s="2" t="s">
        <v>138</v>
      </c>
      <c r="Y7" s="2" t="s">
        <v>64</v>
      </c>
      <c r="Z7" s="2" t="s">
        <v>65</v>
      </c>
      <c r="AA7" s="2" t="s">
        <v>66</v>
      </c>
      <c r="AC7" s="2" t="s">
        <v>67</v>
      </c>
      <c r="AD7" s="2" t="s">
        <v>68</v>
      </c>
      <c r="AE7" s="2" t="s">
        <v>69</v>
      </c>
      <c r="AF7" s="2" t="s">
        <v>70</v>
      </c>
      <c r="AG7" s="2" t="s">
        <v>106</v>
      </c>
      <c r="AK7" s="2" t="s">
        <v>139</v>
      </c>
      <c r="AM7" s="2" t="s">
        <v>72</v>
      </c>
      <c r="AN7" s="2" t="s">
        <v>100</v>
      </c>
      <c r="AP7" s="2" t="s">
        <v>113</v>
      </c>
      <c r="AT7" s="2" t="s">
        <v>114</v>
      </c>
      <c r="AU7" s="2" t="s">
        <v>75</v>
      </c>
      <c r="AW7" s="2" t="s">
        <v>140</v>
      </c>
      <c r="AZ7" s="2" t="s">
        <v>116</v>
      </c>
    </row>
    <row r="8" spans="1:52" s="3" customFormat="1" x14ac:dyDescent="0.35">
      <c r="A8" s="2" t="s">
        <v>141</v>
      </c>
      <c r="B8" s="4">
        <v>250158</v>
      </c>
      <c r="C8" s="2" t="s">
        <v>142</v>
      </c>
      <c r="D8" s="2">
        <f t="shared" si="0"/>
        <v>5</v>
      </c>
      <c r="F8" s="2" t="s">
        <v>74</v>
      </c>
      <c r="G8" s="2" t="s">
        <v>53</v>
      </c>
      <c r="H8" s="4">
        <v>1</v>
      </c>
      <c r="I8" s="4">
        <v>1</v>
      </c>
      <c r="J8" s="4">
        <v>0</v>
      </c>
      <c r="L8" s="4">
        <v>0</v>
      </c>
      <c r="M8" s="2" t="s">
        <v>55</v>
      </c>
      <c r="N8" s="2" t="s">
        <v>56</v>
      </c>
      <c r="O8" s="2" t="s">
        <v>57</v>
      </c>
      <c r="P8" s="2" t="s">
        <v>106</v>
      </c>
      <c r="Q8" s="2" t="s">
        <v>107</v>
      </c>
      <c r="R8" s="2" t="s">
        <v>143</v>
      </c>
      <c r="S8" s="2" t="s">
        <v>144</v>
      </c>
      <c r="V8" s="2" t="s">
        <v>145</v>
      </c>
      <c r="W8" s="2" t="s">
        <v>146</v>
      </c>
      <c r="Y8" s="2" t="s">
        <v>64</v>
      </c>
      <c r="Z8" s="2" t="s">
        <v>65</v>
      </c>
      <c r="AA8" s="2" t="s">
        <v>66</v>
      </c>
      <c r="AC8" s="2" t="s">
        <v>67</v>
      </c>
      <c r="AD8" s="2" t="s">
        <v>68</v>
      </c>
      <c r="AE8" s="2" t="s">
        <v>69</v>
      </c>
      <c r="AF8" s="2" t="s">
        <v>70</v>
      </c>
      <c r="AG8" s="2" t="s">
        <v>106</v>
      </c>
      <c r="AK8" s="2" t="s">
        <v>147</v>
      </c>
      <c r="AM8" s="2" t="s">
        <v>72</v>
      </c>
      <c r="AN8" s="2" t="s">
        <v>100</v>
      </c>
      <c r="AP8" s="2" t="s">
        <v>113</v>
      </c>
      <c r="AT8" s="2" t="s">
        <v>114</v>
      </c>
      <c r="AU8" s="2" t="s">
        <v>75</v>
      </c>
      <c r="AV8" s="2" t="s">
        <v>148</v>
      </c>
      <c r="AW8" s="2" t="s">
        <v>149</v>
      </c>
      <c r="AZ8" s="2" t="s">
        <v>116</v>
      </c>
    </row>
    <row r="9" spans="1:52" s="3" customFormat="1" x14ac:dyDescent="0.35">
      <c r="A9" s="2" t="s">
        <v>150</v>
      </c>
      <c r="B9" s="4">
        <v>250156</v>
      </c>
      <c r="C9" s="2" t="s">
        <v>151</v>
      </c>
      <c r="D9" s="2">
        <f t="shared" si="0"/>
        <v>5</v>
      </c>
      <c r="F9" s="2" t="s">
        <v>74</v>
      </c>
      <c r="G9" s="2" t="s">
        <v>53</v>
      </c>
      <c r="H9" s="4">
        <v>1</v>
      </c>
      <c r="I9" s="4">
        <v>1</v>
      </c>
      <c r="J9" s="4">
        <v>0</v>
      </c>
      <c r="L9" s="4">
        <v>0</v>
      </c>
      <c r="M9" s="2" t="s">
        <v>55</v>
      </c>
      <c r="N9" s="2" t="s">
        <v>56</v>
      </c>
      <c r="O9" s="2" t="s">
        <v>57</v>
      </c>
      <c r="P9" s="2" t="s">
        <v>106</v>
      </c>
      <c r="Q9" s="2" t="s">
        <v>107</v>
      </c>
      <c r="R9" s="2" t="s">
        <v>152</v>
      </c>
      <c r="S9" s="2" t="s">
        <v>153</v>
      </c>
      <c r="V9" s="2" t="s">
        <v>154</v>
      </c>
      <c r="W9" s="2" t="s">
        <v>155</v>
      </c>
      <c r="Y9" s="2" t="s">
        <v>64</v>
      </c>
      <c r="Z9" s="2" t="s">
        <v>65</v>
      </c>
      <c r="AA9" s="2" t="s">
        <v>66</v>
      </c>
      <c r="AC9" s="2" t="s">
        <v>67</v>
      </c>
      <c r="AD9" s="2" t="s">
        <v>68</v>
      </c>
      <c r="AE9" s="2" t="s">
        <v>69</v>
      </c>
      <c r="AF9" s="2" t="s">
        <v>70</v>
      </c>
      <c r="AG9" s="2" t="s">
        <v>106</v>
      </c>
      <c r="AK9" s="2" t="s">
        <v>156</v>
      </c>
      <c r="AM9" s="2" t="s">
        <v>72</v>
      </c>
      <c r="AN9" s="2" t="s">
        <v>100</v>
      </c>
      <c r="AP9" s="2" t="s">
        <v>113</v>
      </c>
      <c r="AT9" s="2" t="s">
        <v>114</v>
      </c>
      <c r="AU9" s="2" t="s">
        <v>75</v>
      </c>
      <c r="AW9" s="2" t="s">
        <v>157</v>
      </c>
      <c r="AZ9" s="2" t="s">
        <v>116</v>
      </c>
    </row>
    <row r="10" spans="1:52" s="3" customFormat="1" x14ac:dyDescent="0.35">
      <c r="A10" s="2" t="s">
        <v>158</v>
      </c>
      <c r="B10" s="4">
        <v>250155</v>
      </c>
      <c r="C10" s="2" t="s">
        <v>159</v>
      </c>
      <c r="D10" s="2">
        <f t="shared" si="0"/>
        <v>5</v>
      </c>
      <c r="F10" s="2" t="s">
        <v>74</v>
      </c>
      <c r="G10" s="2" t="s">
        <v>53</v>
      </c>
      <c r="H10" s="4">
        <v>1</v>
      </c>
      <c r="I10" s="4">
        <v>1</v>
      </c>
      <c r="J10" s="4">
        <v>0</v>
      </c>
      <c r="L10" s="4">
        <v>0</v>
      </c>
      <c r="M10" s="2" t="s">
        <v>55</v>
      </c>
      <c r="N10" s="2" t="s">
        <v>56</v>
      </c>
      <c r="O10" s="2" t="s">
        <v>57</v>
      </c>
      <c r="P10" s="2" t="s">
        <v>106</v>
      </c>
      <c r="Q10" s="2" t="s">
        <v>107</v>
      </c>
      <c r="R10" s="2" t="s">
        <v>160</v>
      </c>
      <c r="S10" s="2" t="s">
        <v>161</v>
      </c>
      <c r="V10" s="2" t="s">
        <v>162</v>
      </c>
      <c r="W10" s="2" t="s">
        <v>163</v>
      </c>
      <c r="Y10" s="2" t="s">
        <v>64</v>
      </c>
      <c r="Z10" s="2" t="s">
        <v>65</v>
      </c>
      <c r="AA10" s="2" t="s">
        <v>66</v>
      </c>
      <c r="AC10" s="2" t="s">
        <v>67</v>
      </c>
      <c r="AD10" s="2" t="s">
        <v>68</v>
      </c>
      <c r="AE10" s="2" t="s">
        <v>69</v>
      </c>
      <c r="AF10" s="2" t="s">
        <v>70</v>
      </c>
      <c r="AG10" s="2" t="s">
        <v>106</v>
      </c>
      <c r="AK10" s="2" t="s">
        <v>164</v>
      </c>
      <c r="AM10" s="2" t="s">
        <v>72</v>
      </c>
      <c r="AN10" s="2" t="s">
        <v>100</v>
      </c>
      <c r="AP10" s="2" t="s">
        <v>113</v>
      </c>
      <c r="AT10" s="2" t="s">
        <v>114</v>
      </c>
      <c r="AU10" s="2" t="s">
        <v>75</v>
      </c>
      <c r="AW10" s="2" t="s">
        <v>165</v>
      </c>
      <c r="AZ10" s="2" t="s">
        <v>116</v>
      </c>
    </row>
    <row r="11" spans="1:52" s="3" customFormat="1" x14ac:dyDescent="0.35">
      <c r="A11" s="2" t="s">
        <v>166</v>
      </c>
      <c r="B11" s="4">
        <v>250153</v>
      </c>
      <c r="C11" s="2" t="s">
        <v>167</v>
      </c>
      <c r="D11" s="2">
        <f t="shared" si="0"/>
        <v>5</v>
      </c>
      <c r="F11" s="2" t="s">
        <v>74</v>
      </c>
      <c r="G11" s="2" t="s">
        <v>53</v>
      </c>
      <c r="H11" s="4">
        <v>1</v>
      </c>
      <c r="I11" s="4">
        <v>1</v>
      </c>
      <c r="J11" s="4">
        <v>0</v>
      </c>
      <c r="L11" s="4">
        <v>0</v>
      </c>
      <c r="M11" s="2" t="s">
        <v>55</v>
      </c>
      <c r="N11" s="2" t="s">
        <v>56</v>
      </c>
      <c r="O11" s="2" t="s">
        <v>57</v>
      </c>
      <c r="P11" s="2" t="s">
        <v>106</v>
      </c>
      <c r="Q11" s="2" t="s">
        <v>107</v>
      </c>
      <c r="R11" s="2" t="s">
        <v>168</v>
      </c>
      <c r="S11" s="2" t="s">
        <v>169</v>
      </c>
      <c r="V11" s="2" t="s">
        <v>170</v>
      </c>
      <c r="W11" s="2" t="s">
        <v>171</v>
      </c>
      <c r="Y11" s="2" t="s">
        <v>64</v>
      </c>
      <c r="Z11" s="2" t="s">
        <v>65</v>
      </c>
      <c r="AA11" s="2" t="s">
        <v>66</v>
      </c>
      <c r="AC11" s="2" t="s">
        <v>67</v>
      </c>
      <c r="AD11" s="2" t="s">
        <v>68</v>
      </c>
      <c r="AE11" s="2" t="s">
        <v>69</v>
      </c>
      <c r="AF11" s="2" t="s">
        <v>70</v>
      </c>
      <c r="AG11" s="2" t="s">
        <v>106</v>
      </c>
      <c r="AK11" s="2" t="s">
        <v>172</v>
      </c>
      <c r="AM11" s="2" t="s">
        <v>72</v>
      </c>
      <c r="AN11" s="2" t="s">
        <v>100</v>
      </c>
      <c r="AP11" s="2" t="s">
        <v>113</v>
      </c>
      <c r="AT11" s="2" t="s">
        <v>114</v>
      </c>
      <c r="AU11" s="2" t="s">
        <v>75</v>
      </c>
      <c r="AW11" s="2" t="s">
        <v>173</v>
      </c>
      <c r="AZ11" s="2" t="s">
        <v>116</v>
      </c>
    </row>
    <row r="12" spans="1:52" s="3" customFormat="1" x14ac:dyDescent="0.35">
      <c r="A12" s="2" t="s">
        <v>174</v>
      </c>
      <c r="B12" s="4">
        <v>250143</v>
      </c>
      <c r="C12" s="2" t="s">
        <v>175</v>
      </c>
      <c r="D12" s="2">
        <f t="shared" si="0"/>
        <v>5</v>
      </c>
      <c r="F12" s="2" t="s">
        <v>74</v>
      </c>
      <c r="G12" s="2" t="s">
        <v>53</v>
      </c>
      <c r="H12" s="4">
        <v>1</v>
      </c>
      <c r="I12" s="4">
        <v>1</v>
      </c>
      <c r="J12" s="4">
        <v>0</v>
      </c>
      <c r="L12" s="4">
        <v>0</v>
      </c>
      <c r="M12" s="2" t="s">
        <v>55</v>
      </c>
      <c r="N12" s="2" t="s">
        <v>56</v>
      </c>
      <c r="O12" s="2" t="s">
        <v>57</v>
      </c>
      <c r="P12" s="2" t="s">
        <v>106</v>
      </c>
      <c r="Q12" s="2" t="s">
        <v>107</v>
      </c>
      <c r="R12" s="2" t="s">
        <v>176</v>
      </c>
      <c r="S12" s="2" t="s">
        <v>177</v>
      </c>
      <c r="V12" s="2" t="s">
        <v>178</v>
      </c>
      <c r="W12" s="2" t="s">
        <v>179</v>
      </c>
      <c r="Y12" s="2" t="s">
        <v>64</v>
      </c>
      <c r="Z12" s="2" t="s">
        <v>65</v>
      </c>
      <c r="AA12" s="2" t="s">
        <v>66</v>
      </c>
      <c r="AC12" s="2" t="s">
        <v>67</v>
      </c>
      <c r="AD12" s="2" t="s">
        <v>68</v>
      </c>
      <c r="AE12" s="2" t="s">
        <v>69</v>
      </c>
      <c r="AF12" s="2" t="s">
        <v>70</v>
      </c>
      <c r="AG12" s="2" t="s">
        <v>106</v>
      </c>
      <c r="AK12" s="2" t="s">
        <v>180</v>
      </c>
      <c r="AM12" s="2" t="s">
        <v>72</v>
      </c>
      <c r="AN12" s="2" t="s">
        <v>100</v>
      </c>
      <c r="AP12" s="2" t="s">
        <v>113</v>
      </c>
      <c r="AT12" s="2" t="s">
        <v>114</v>
      </c>
      <c r="AU12" s="2" t="s">
        <v>75</v>
      </c>
      <c r="AV12" s="2" t="s">
        <v>181</v>
      </c>
      <c r="AW12" s="2" t="s">
        <v>182</v>
      </c>
      <c r="AZ12" s="2" t="s">
        <v>116</v>
      </c>
    </row>
    <row r="13" spans="1:52" s="3" customFormat="1" x14ac:dyDescent="0.35">
      <c r="A13" s="2" t="s">
        <v>183</v>
      </c>
      <c r="B13" s="4">
        <v>250142</v>
      </c>
      <c r="C13" s="2" t="s">
        <v>184</v>
      </c>
      <c r="D13" s="2">
        <f t="shared" si="0"/>
        <v>5</v>
      </c>
      <c r="F13" s="2" t="s">
        <v>74</v>
      </c>
      <c r="G13" s="2" t="s">
        <v>53</v>
      </c>
      <c r="H13" s="4">
        <v>1</v>
      </c>
      <c r="I13" s="4">
        <v>1</v>
      </c>
      <c r="J13" s="4">
        <v>0</v>
      </c>
      <c r="L13" s="4">
        <v>0</v>
      </c>
      <c r="M13" s="2" t="s">
        <v>55</v>
      </c>
      <c r="N13" s="2" t="s">
        <v>56</v>
      </c>
      <c r="O13" s="2" t="s">
        <v>57</v>
      </c>
      <c r="P13" s="2" t="s">
        <v>106</v>
      </c>
      <c r="Q13" s="2" t="s">
        <v>107</v>
      </c>
      <c r="R13" s="2" t="s">
        <v>185</v>
      </c>
      <c r="S13" s="2" t="s">
        <v>186</v>
      </c>
      <c r="V13" s="2" t="s">
        <v>187</v>
      </c>
      <c r="W13" s="2" t="s">
        <v>188</v>
      </c>
      <c r="Y13" s="2" t="s">
        <v>64</v>
      </c>
      <c r="Z13" s="2" t="s">
        <v>65</v>
      </c>
      <c r="AA13" s="2" t="s">
        <v>66</v>
      </c>
      <c r="AC13" s="2" t="s">
        <v>67</v>
      </c>
      <c r="AD13" s="2" t="s">
        <v>68</v>
      </c>
      <c r="AE13" s="2" t="s">
        <v>69</v>
      </c>
      <c r="AF13" s="2" t="s">
        <v>70</v>
      </c>
      <c r="AG13" s="2" t="s">
        <v>106</v>
      </c>
      <c r="AK13" s="2" t="s">
        <v>189</v>
      </c>
      <c r="AM13" s="2" t="s">
        <v>72</v>
      </c>
      <c r="AN13" s="2" t="s">
        <v>100</v>
      </c>
      <c r="AP13" s="2" t="s">
        <v>113</v>
      </c>
      <c r="AT13" s="2" t="s">
        <v>114</v>
      </c>
      <c r="AU13" s="2" t="s">
        <v>75</v>
      </c>
      <c r="AW13" s="2" t="s">
        <v>190</v>
      </c>
      <c r="AZ13" s="2" t="s">
        <v>116</v>
      </c>
    </row>
    <row r="14" spans="1:52" s="3" customFormat="1" x14ac:dyDescent="0.35">
      <c r="A14" s="2" t="s">
        <v>191</v>
      </c>
      <c r="B14" s="4">
        <v>250140</v>
      </c>
      <c r="C14" s="2" t="s">
        <v>192</v>
      </c>
      <c r="D14" s="2">
        <f t="shared" si="0"/>
        <v>5</v>
      </c>
      <c r="F14" s="2" t="s">
        <v>74</v>
      </c>
      <c r="G14" s="2" t="s">
        <v>53</v>
      </c>
      <c r="H14" s="4">
        <v>1</v>
      </c>
      <c r="I14" s="4">
        <v>1</v>
      </c>
      <c r="J14" s="4">
        <v>0</v>
      </c>
      <c r="L14" s="4">
        <v>0</v>
      </c>
      <c r="M14" s="2" t="s">
        <v>55</v>
      </c>
      <c r="N14" s="2" t="s">
        <v>56</v>
      </c>
      <c r="O14" s="2" t="s">
        <v>57</v>
      </c>
      <c r="P14" s="2" t="s">
        <v>106</v>
      </c>
      <c r="Q14" s="2" t="s">
        <v>107</v>
      </c>
      <c r="R14" s="2" t="s">
        <v>193</v>
      </c>
      <c r="S14" s="2" t="s">
        <v>194</v>
      </c>
      <c r="V14" s="2" t="s">
        <v>195</v>
      </c>
      <c r="W14" s="2" t="s">
        <v>196</v>
      </c>
      <c r="Y14" s="2" t="s">
        <v>64</v>
      </c>
      <c r="Z14" s="2" t="s">
        <v>65</v>
      </c>
      <c r="AA14" s="2" t="s">
        <v>66</v>
      </c>
      <c r="AC14" s="2" t="s">
        <v>67</v>
      </c>
      <c r="AD14" s="2" t="s">
        <v>68</v>
      </c>
      <c r="AE14" s="2" t="s">
        <v>69</v>
      </c>
      <c r="AF14" s="2" t="s">
        <v>70</v>
      </c>
      <c r="AG14" s="2" t="s">
        <v>106</v>
      </c>
      <c r="AK14" s="2" t="s">
        <v>197</v>
      </c>
      <c r="AM14" s="2" t="s">
        <v>72</v>
      </c>
      <c r="AN14" s="2" t="s">
        <v>100</v>
      </c>
      <c r="AP14" s="2" t="s">
        <v>113</v>
      </c>
      <c r="AT14" s="2" t="s">
        <v>114</v>
      </c>
      <c r="AU14" s="2" t="s">
        <v>75</v>
      </c>
      <c r="AW14" s="2" t="s">
        <v>198</v>
      </c>
      <c r="AZ14" s="2" t="s">
        <v>116</v>
      </c>
    </row>
    <row r="15" spans="1:52" s="3" customFormat="1" x14ac:dyDescent="0.35">
      <c r="A15" s="2" t="s">
        <v>199</v>
      </c>
      <c r="B15" s="4">
        <v>250139</v>
      </c>
      <c r="C15" s="2" t="s">
        <v>200</v>
      </c>
      <c r="D15" s="2">
        <f t="shared" si="0"/>
        <v>5</v>
      </c>
      <c r="F15" s="2" t="s">
        <v>74</v>
      </c>
      <c r="G15" s="2" t="s">
        <v>53</v>
      </c>
      <c r="H15" s="4">
        <v>1</v>
      </c>
      <c r="I15" s="4">
        <v>1</v>
      </c>
      <c r="J15" s="4">
        <v>0</v>
      </c>
      <c r="L15" s="4">
        <v>0</v>
      </c>
      <c r="M15" s="2" t="s">
        <v>55</v>
      </c>
      <c r="N15" s="2" t="s">
        <v>56</v>
      </c>
      <c r="O15" s="2" t="s">
        <v>57</v>
      </c>
      <c r="P15" s="2" t="s">
        <v>106</v>
      </c>
      <c r="Q15" s="2" t="s">
        <v>107</v>
      </c>
      <c r="R15" s="2" t="s">
        <v>201</v>
      </c>
      <c r="S15" s="2" t="s">
        <v>202</v>
      </c>
      <c r="V15" s="2" t="s">
        <v>203</v>
      </c>
      <c r="W15" s="2" t="s">
        <v>204</v>
      </c>
      <c r="Y15" s="2" t="s">
        <v>64</v>
      </c>
      <c r="Z15" s="2" t="s">
        <v>205</v>
      </c>
      <c r="AA15" s="2" t="s">
        <v>66</v>
      </c>
      <c r="AC15" s="2" t="s">
        <v>67</v>
      </c>
      <c r="AD15" s="2" t="s">
        <v>68</v>
      </c>
      <c r="AE15" s="2" t="s">
        <v>69</v>
      </c>
      <c r="AF15" s="2" t="s">
        <v>70</v>
      </c>
      <c r="AG15" s="2" t="s">
        <v>106</v>
      </c>
      <c r="AK15" s="2" t="s">
        <v>206</v>
      </c>
      <c r="AM15" s="2" t="s">
        <v>72</v>
      </c>
      <c r="AN15" s="2" t="s">
        <v>100</v>
      </c>
      <c r="AP15" s="2" t="s">
        <v>113</v>
      </c>
      <c r="AT15" s="2" t="s">
        <v>114</v>
      </c>
      <c r="AU15" s="2" t="s">
        <v>75</v>
      </c>
      <c r="AW15" s="2" t="s">
        <v>207</v>
      </c>
      <c r="AZ15" s="2" t="s">
        <v>116</v>
      </c>
    </row>
    <row r="16" spans="1:52" s="3" customFormat="1" x14ac:dyDescent="0.35">
      <c r="A16" s="2" t="s">
        <v>208</v>
      </c>
      <c r="B16" s="4">
        <v>250138</v>
      </c>
      <c r="C16" s="2" t="s">
        <v>209</v>
      </c>
      <c r="D16" s="2">
        <f t="shared" si="0"/>
        <v>5</v>
      </c>
      <c r="F16" s="2" t="s">
        <v>74</v>
      </c>
      <c r="G16" s="2" t="s">
        <v>53</v>
      </c>
      <c r="H16" s="4">
        <v>1</v>
      </c>
      <c r="I16" s="4">
        <v>1</v>
      </c>
      <c r="J16" s="4">
        <v>0</v>
      </c>
      <c r="L16" s="4">
        <v>0</v>
      </c>
      <c r="M16" s="2" t="s">
        <v>55</v>
      </c>
      <c r="N16" s="2" t="s">
        <v>56</v>
      </c>
      <c r="O16" s="2" t="s">
        <v>57</v>
      </c>
      <c r="P16" s="2" t="s">
        <v>106</v>
      </c>
      <c r="Q16" s="2" t="s">
        <v>107</v>
      </c>
      <c r="R16" s="2" t="s">
        <v>210</v>
      </c>
      <c r="S16" s="2" t="s">
        <v>211</v>
      </c>
      <c r="V16" s="2" t="s">
        <v>212</v>
      </c>
      <c r="W16" s="2" t="s">
        <v>213</v>
      </c>
      <c r="Y16" s="2" t="s">
        <v>64</v>
      </c>
      <c r="Z16" s="2" t="s">
        <v>65</v>
      </c>
      <c r="AA16" s="2" t="s">
        <v>66</v>
      </c>
      <c r="AC16" s="2" t="s">
        <v>67</v>
      </c>
      <c r="AD16" s="2" t="s">
        <v>68</v>
      </c>
      <c r="AE16" s="2" t="s">
        <v>69</v>
      </c>
      <c r="AF16" s="2" t="s">
        <v>70</v>
      </c>
      <c r="AG16" s="2" t="s">
        <v>106</v>
      </c>
      <c r="AK16" s="2" t="s">
        <v>214</v>
      </c>
      <c r="AM16" s="2" t="s">
        <v>72</v>
      </c>
      <c r="AN16" s="2" t="s">
        <v>100</v>
      </c>
      <c r="AP16" s="2" t="s">
        <v>113</v>
      </c>
      <c r="AT16" s="2" t="s">
        <v>114</v>
      </c>
      <c r="AU16" s="2" t="s">
        <v>75</v>
      </c>
      <c r="AW16" s="2" t="s">
        <v>215</v>
      </c>
      <c r="AZ16" s="2" t="s">
        <v>116</v>
      </c>
    </row>
    <row r="17" spans="1:52" s="3" customFormat="1" x14ac:dyDescent="0.35">
      <c r="A17" s="2" t="s">
        <v>216</v>
      </c>
      <c r="B17" s="4">
        <v>250137</v>
      </c>
      <c r="C17" s="2" t="s">
        <v>217</v>
      </c>
      <c r="D17" s="2">
        <f t="shared" si="0"/>
        <v>5</v>
      </c>
      <c r="F17" s="2" t="s">
        <v>74</v>
      </c>
      <c r="G17" s="2" t="s">
        <v>53</v>
      </c>
      <c r="H17" s="4">
        <v>1</v>
      </c>
      <c r="I17" s="4">
        <v>1</v>
      </c>
      <c r="J17" s="4">
        <v>0</v>
      </c>
      <c r="L17" s="4">
        <v>0</v>
      </c>
      <c r="M17" s="2" t="s">
        <v>55</v>
      </c>
      <c r="N17" s="2" t="s">
        <v>56</v>
      </c>
      <c r="O17" s="2" t="s">
        <v>57</v>
      </c>
      <c r="P17" s="2" t="s">
        <v>106</v>
      </c>
      <c r="Q17" s="2" t="s">
        <v>107</v>
      </c>
      <c r="R17" s="2" t="s">
        <v>218</v>
      </c>
      <c r="S17" s="2" t="s">
        <v>219</v>
      </c>
      <c r="V17" s="2" t="s">
        <v>220</v>
      </c>
      <c r="W17" s="2" t="s">
        <v>221</v>
      </c>
      <c r="Y17" s="2" t="s">
        <v>64</v>
      </c>
      <c r="Z17" s="2" t="s">
        <v>205</v>
      </c>
      <c r="AA17" s="2" t="s">
        <v>66</v>
      </c>
      <c r="AC17" s="2" t="s">
        <v>67</v>
      </c>
      <c r="AD17" s="2" t="s">
        <v>68</v>
      </c>
      <c r="AE17" s="2" t="s">
        <v>69</v>
      </c>
      <c r="AF17" s="2" t="s">
        <v>70</v>
      </c>
      <c r="AG17" s="2" t="s">
        <v>106</v>
      </c>
      <c r="AK17" s="2" t="s">
        <v>222</v>
      </c>
      <c r="AM17" s="2" t="s">
        <v>72</v>
      </c>
      <c r="AN17" s="2" t="s">
        <v>100</v>
      </c>
      <c r="AP17" s="2" t="s">
        <v>113</v>
      </c>
      <c r="AT17" s="2" t="s">
        <v>114</v>
      </c>
      <c r="AU17" s="2" t="s">
        <v>75</v>
      </c>
      <c r="AV17" s="2" t="s">
        <v>223</v>
      </c>
      <c r="AW17" s="2" t="s">
        <v>224</v>
      </c>
      <c r="AZ17" s="2" t="s">
        <v>116</v>
      </c>
    </row>
    <row r="18" spans="1:52" s="3" customFormat="1" x14ac:dyDescent="0.35">
      <c r="A18" s="2" t="s">
        <v>225</v>
      </c>
      <c r="B18" s="4">
        <v>250127</v>
      </c>
      <c r="C18" s="2" t="s">
        <v>226</v>
      </c>
      <c r="D18" s="2">
        <f t="shared" si="0"/>
        <v>5</v>
      </c>
      <c r="F18" s="2" t="s">
        <v>74</v>
      </c>
      <c r="G18" s="2" t="s">
        <v>53</v>
      </c>
      <c r="H18" s="4">
        <v>1</v>
      </c>
      <c r="I18" s="4">
        <v>1</v>
      </c>
      <c r="J18" s="4">
        <v>0</v>
      </c>
      <c r="L18" s="4">
        <v>0</v>
      </c>
      <c r="M18" s="2" t="s">
        <v>55</v>
      </c>
      <c r="N18" s="2" t="s">
        <v>56</v>
      </c>
      <c r="O18" s="2" t="s">
        <v>57</v>
      </c>
      <c r="P18" s="2" t="s">
        <v>106</v>
      </c>
      <c r="Q18" s="2" t="s">
        <v>107</v>
      </c>
      <c r="R18" s="2" t="s">
        <v>227</v>
      </c>
      <c r="S18" s="2" t="s">
        <v>228</v>
      </c>
      <c r="V18" s="2" t="s">
        <v>229</v>
      </c>
      <c r="W18" s="2" t="s">
        <v>230</v>
      </c>
      <c r="Y18" s="2" t="s">
        <v>64</v>
      </c>
      <c r="Z18" s="2" t="s">
        <v>65</v>
      </c>
      <c r="AA18" s="2" t="s">
        <v>66</v>
      </c>
      <c r="AC18" s="2" t="s">
        <v>67</v>
      </c>
      <c r="AD18" s="2" t="s">
        <v>68</v>
      </c>
      <c r="AE18" s="2" t="s">
        <v>69</v>
      </c>
      <c r="AF18" s="2" t="s">
        <v>70</v>
      </c>
      <c r="AG18" s="2" t="s">
        <v>106</v>
      </c>
      <c r="AK18" s="2" t="s">
        <v>231</v>
      </c>
      <c r="AM18" s="2" t="s">
        <v>72</v>
      </c>
      <c r="AN18" s="2" t="s">
        <v>232</v>
      </c>
      <c r="AP18" s="2" t="s">
        <v>113</v>
      </c>
      <c r="AT18" s="2" t="s">
        <v>114</v>
      </c>
      <c r="AU18" s="2" t="s">
        <v>75</v>
      </c>
      <c r="AW18" s="2" t="s">
        <v>233</v>
      </c>
      <c r="AZ18" s="2" t="s">
        <v>116</v>
      </c>
    </row>
    <row r="19" spans="1:52" s="3" customFormat="1" x14ac:dyDescent="0.35">
      <c r="A19" s="2" t="s">
        <v>234</v>
      </c>
      <c r="B19" s="4">
        <v>250125</v>
      </c>
      <c r="C19" s="2" t="s">
        <v>235</v>
      </c>
      <c r="D19" s="2">
        <f t="shared" si="0"/>
        <v>5</v>
      </c>
      <c r="F19" s="2" t="s">
        <v>74</v>
      </c>
      <c r="G19" s="2" t="s">
        <v>53</v>
      </c>
      <c r="H19" s="4">
        <v>1</v>
      </c>
      <c r="I19" s="4">
        <v>1</v>
      </c>
      <c r="J19" s="4">
        <v>0</v>
      </c>
      <c r="L19" s="4">
        <v>0</v>
      </c>
      <c r="M19" s="2" t="s">
        <v>55</v>
      </c>
      <c r="N19" s="2" t="s">
        <v>56</v>
      </c>
      <c r="O19" s="2" t="s">
        <v>57</v>
      </c>
      <c r="P19" s="2" t="s">
        <v>106</v>
      </c>
      <c r="Q19" s="2" t="s">
        <v>107</v>
      </c>
      <c r="R19" s="2" t="s">
        <v>236</v>
      </c>
      <c r="S19" s="2" t="s">
        <v>237</v>
      </c>
      <c r="V19" s="2" t="s">
        <v>238</v>
      </c>
      <c r="W19" s="2" t="s">
        <v>239</v>
      </c>
      <c r="Y19" s="2" t="s">
        <v>64</v>
      </c>
      <c r="Z19" s="2" t="s">
        <v>65</v>
      </c>
      <c r="AA19" s="2" t="s">
        <v>66</v>
      </c>
      <c r="AC19" s="2" t="s">
        <v>67</v>
      </c>
      <c r="AD19" s="2" t="s">
        <v>68</v>
      </c>
      <c r="AE19" s="2" t="s">
        <v>69</v>
      </c>
      <c r="AF19" s="2" t="s">
        <v>70</v>
      </c>
      <c r="AG19" s="2" t="s">
        <v>106</v>
      </c>
      <c r="AK19" s="2" t="s">
        <v>240</v>
      </c>
      <c r="AM19" s="2" t="s">
        <v>72</v>
      </c>
      <c r="AN19" s="2" t="s">
        <v>232</v>
      </c>
      <c r="AP19" s="2" t="s">
        <v>113</v>
      </c>
      <c r="AT19" s="2" t="s">
        <v>114</v>
      </c>
      <c r="AU19" s="2" t="s">
        <v>75</v>
      </c>
      <c r="AW19" s="2" t="s">
        <v>241</v>
      </c>
      <c r="AZ19" s="2" t="s">
        <v>116</v>
      </c>
    </row>
    <row r="20" spans="1:52" s="3" customFormat="1" x14ac:dyDescent="0.35">
      <c r="A20" s="2" t="s">
        <v>242</v>
      </c>
      <c r="B20" s="4">
        <v>250123</v>
      </c>
      <c r="C20" s="2" t="s">
        <v>243</v>
      </c>
      <c r="D20" s="2">
        <f t="shared" si="0"/>
        <v>5</v>
      </c>
      <c r="F20" s="2" t="s">
        <v>74</v>
      </c>
      <c r="G20" s="2" t="s">
        <v>53</v>
      </c>
      <c r="H20" s="4">
        <v>1</v>
      </c>
      <c r="I20" s="4">
        <v>1</v>
      </c>
      <c r="J20" s="4">
        <v>0</v>
      </c>
      <c r="L20" s="4">
        <v>0</v>
      </c>
      <c r="M20" s="2" t="s">
        <v>55</v>
      </c>
      <c r="N20" s="2" t="s">
        <v>56</v>
      </c>
      <c r="O20" s="2" t="s">
        <v>57</v>
      </c>
      <c r="P20" s="2" t="s">
        <v>106</v>
      </c>
      <c r="Q20" s="2" t="s">
        <v>107</v>
      </c>
      <c r="R20" s="2" t="s">
        <v>244</v>
      </c>
      <c r="S20" s="2" t="s">
        <v>245</v>
      </c>
      <c r="V20" s="2" t="s">
        <v>246</v>
      </c>
      <c r="W20" s="2" t="s">
        <v>247</v>
      </c>
      <c r="Y20" s="2" t="s">
        <v>64</v>
      </c>
      <c r="Z20" s="2" t="s">
        <v>65</v>
      </c>
      <c r="AA20" s="2" t="s">
        <v>66</v>
      </c>
      <c r="AC20" s="2" t="s">
        <v>67</v>
      </c>
      <c r="AD20" s="2" t="s">
        <v>68</v>
      </c>
      <c r="AE20" s="2" t="s">
        <v>69</v>
      </c>
      <c r="AF20" s="2" t="s">
        <v>70</v>
      </c>
      <c r="AG20" s="2" t="s">
        <v>106</v>
      </c>
      <c r="AK20" s="2" t="s">
        <v>248</v>
      </c>
      <c r="AM20" s="2" t="s">
        <v>72</v>
      </c>
      <c r="AN20" s="2" t="s">
        <v>249</v>
      </c>
      <c r="AP20" s="2" t="s">
        <v>113</v>
      </c>
      <c r="AT20" s="2" t="s">
        <v>114</v>
      </c>
      <c r="AU20" s="2" t="s">
        <v>75</v>
      </c>
      <c r="AW20" s="2" t="s">
        <v>250</v>
      </c>
      <c r="AZ20" s="2" t="s">
        <v>116</v>
      </c>
    </row>
    <row r="21" spans="1:52" s="3" customFormat="1" x14ac:dyDescent="0.35">
      <c r="A21" s="2" t="s">
        <v>251</v>
      </c>
      <c r="B21" s="4">
        <v>250122</v>
      </c>
      <c r="C21" s="2" t="s">
        <v>252</v>
      </c>
      <c r="D21" s="2">
        <f t="shared" si="0"/>
        <v>5</v>
      </c>
      <c r="F21" s="2" t="s">
        <v>74</v>
      </c>
      <c r="G21" s="2" t="s">
        <v>53</v>
      </c>
      <c r="H21" s="4">
        <v>1</v>
      </c>
      <c r="I21" s="4">
        <v>1</v>
      </c>
      <c r="J21" s="4">
        <v>0</v>
      </c>
      <c r="L21" s="4">
        <v>0</v>
      </c>
      <c r="M21" s="2" t="s">
        <v>55</v>
      </c>
      <c r="N21" s="2" t="s">
        <v>56</v>
      </c>
      <c r="O21" s="2" t="s">
        <v>57</v>
      </c>
      <c r="P21" s="2" t="s">
        <v>106</v>
      </c>
      <c r="Q21" s="2" t="s">
        <v>107</v>
      </c>
      <c r="R21" s="2" t="s">
        <v>253</v>
      </c>
      <c r="S21" s="2" t="s">
        <v>254</v>
      </c>
      <c r="V21" s="2" t="s">
        <v>255</v>
      </c>
      <c r="W21" s="2" t="s">
        <v>256</v>
      </c>
      <c r="Y21" s="2" t="s">
        <v>64</v>
      </c>
      <c r="Z21" s="2" t="s">
        <v>65</v>
      </c>
      <c r="AA21" s="2" t="s">
        <v>66</v>
      </c>
      <c r="AC21" s="2" t="s">
        <v>67</v>
      </c>
      <c r="AD21" s="2" t="s">
        <v>68</v>
      </c>
      <c r="AE21" s="2" t="s">
        <v>69</v>
      </c>
      <c r="AF21" s="2" t="s">
        <v>70</v>
      </c>
      <c r="AG21" s="2" t="s">
        <v>106</v>
      </c>
      <c r="AK21" s="2" t="s">
        <v>257</v>
      </c>
      <c r="AM21" s="2" t="s">
        <v>72</v>
      </c>
      <c r="AN21" s="2" t="s">
        <v>249</v>
      </c>
      <c r="AP21" s="2" t="s">
        <v>113</v>
      </c>
      <c r="AT21" s="2" t="s">
        <v>114</v>
      </c>
      <c r="AU21" s="2" t="s">
        <v>75</v>
      </c>
      <c r="AW21" s="2" t="s">
        <v>258</v>
      </c>
      <c r="AZ21" s="2" t="s">
        <v>116</v>
      </c>
    </row>
    <row r="22" spans="1:52" s="3" customFormat="1" x14ac:dyDescent="0.35">
      <c r="A22" s="2" t="s">
        <v>259</v>
      </c>
      <c r="B22" s="4">
        <v>250121</v>
      </c>
      <c r="C22" s="2" t="s">
        <v>260</v>
      </c>
      <c r="D22" s="2">
        <f t="shared" si="0"/>
        <v>5</v>
      </c>
      <c r="F22" s="2" t="s">
        <v>74</v>
      </c>
      <c r="G22" s="2" t="s">
        <v>53</v>
      </c>
      <c r="H22" s="4">
        <v>1</v>
      </c>
      <c r="I22" s="4">
        <v>1</v>
      </c>
      <c r="J22" s="4">
        <v>0</v>
      </c>
      <c r="L22" s="4">
        <v>0</v>
      </c>
      <c r="M22" s="2" t="s">
        <v>55</v>
      </c>
      <c r="N22" s="2" t="s">
        <v>56</v>
      </c>
      <c r="O22" s="2" t="s">
        <v>57</v>
      </c>
      <c r="P22" s="2" t="s">
        <v>106</v>
      </c>
      <c r="Q22" s="2" t="s">
        <v>107</v>
      </c>
      <c r="R22" s="2" t="s">
        <v>261</v>
      </c>
      <c r="S22" s="2" t="s">
        <v>262</v>
      </c>
      <c r="V22" s="2" t="s">
        <v>263</v>
      </c>
      <c r="W22" s="2" t="s">
        <v>264</v>
      </c>
      <c r="Y22" s="2" t="s">
        <v>64</v>
      </c>
      <c r="Z22" s="2" t="s">
        <v>65</v>
      </c>
      <c r="AA22" s="2" t="s">
        <v>66</v>
      </c>
      <c r="AC22" s="2" t="s">
        <v>67</v>
      </c>
      <c r="AD22" s="2" t="s">
        <v>68</v>
      </c>
      <c r="AE22" s="2" t="s">
        <v>69</v>
      </c>
      <c r="AF22" s="2" t="s">
        <v>70</v>
      </c>
      <c r="AG22" s="2" t="s">
        <v>106</v>
      </c>
      <c r="AK22" s="2" t="s">
        <v>265</v>
      </c>
      <c r="AM22" s="2" t="s">
        <v>72</v>
      </c>
      <c r="AN22" s="2" t="s">
        <v>249</v>
      </c>
      <c r="AP22" s="2" t="s">
        <v>113</v>
      </c>
      <c r="AT22" s="2" t="s">
        <v>114</v>
      </c>
      <c r="AU22" s="2" t="s">
        <v>75</v>
      </c>
      <c r="AW22" s="2" t="s">
        <v>266</v>
      </c>
      <c r="AZ22" s="2" t="s">
        <v>116</v>
      </c>
    </row>
    <row r="23" spans="1:52" s="3" customFormat="1" x14ac:dyDescent="0.35">
      <c r="A23" s="2" t="s">
        <v>267</v>
      </c>
      <c r="B23" s="4">
        <v>250120</v>
      </c>
      <c r="C23" s="2" t="s">
        <v>268</v>
      </c>
      <c r="D23" s="2">
        <f t="shared" si="0"/>
        <v>5</v>
      </c>
      <c r="F23" s="2" t="s">
        <v>74</v>
      </c>
      <c r="G23" s="2" t="s">
        <v>53</v>
      </c>
      <c r="H23" s="4">
        <v>1</v>
      </c>
      <c r="I23" s="4">
        <v>1</v>
      </c>
      <c r="J23" s="4">
        <v>0</v>
      </c>
      <c r="L23" s="4">
        <v>0</v>
      </c>
      <c r="M23" s="2" t="s">
        <v>55</v>
      </c>
      <c r="N23" s="2" t="s">
        <v>56</v>
      </c>
      <c r="O23" s="2" t="s">
        <v>57</v>
      </c>
      <c r="P23" s="2" t="s">
        <v>106</v>
      </c>
      <c r="Q23" s="2" t="s">
        <v>107</v>
      </c>
      <c r="R23" s="2" t="s">
        <v>269</v>
      </c>
      <c r="S23" s="2" t="s">
        <v>270</v>
      </c>
      <c r="V23" s="2" t="s">
        <v>271</v>
      </c>
      <c r="W23" s="2" t="s">
        <v>272</v>
      </c>
      <c r="Y23" s="2" t="s">
        <v>64</v>
      </c>
      <c r="Z23" s="2" t="s">
        <v>65</v>
      </c>
      <c r="AA23" s="2" t="s">
        <v>66</v>
      </c>
      <c r="AC23" s="2" t="s">
        <v>67</v>
      </c>
      <c r="AD23" s="2" t="s">
        <v>68</v>
      </c>
      <c r="AE23" s="2" t="s">
        <v>69</v>
      </c>
      <c r="AF23" s="2" t="s">
        <v>70</v>
      </c>
      <c r="AG23" s="2" t="s">
        <v>106</v>
      </c>
      <c r="AK23" s="2" t="s">
        <v>273</v>
      </c>
      <c r="AM23" s="2" t="s">
        <v>72</v>
      </c>
      <c r="AN23" s="2" t="s">
        <v>100</v>
      </c>
      <c r="AP23" s="2" t="s">
        <v>113</v>
      </c>
      <c r="AT23" s="2" t="s">
        <v>114</v>
      </c>
      <c r="AU23" s="2" t="s">
        <v>75</v>
      </c>
      <c r="AV23" s="2" t="s">
        <v>274</v>
      </c>
      <c r="AW23" s="2" t="s">
        <v>275</v>
      </c>
      <c r="AZ23" s="2" t="s">
        <v>116</v>
      </c>
    </row>
    <row r="24" spans="1:52" s="3" customFormat="1" x14ac:dyDescent="0.35">
      <c r="A24" s="2" t="s">
        <v>276</v>
      </c>
      <c r="B24" s="4">
        <v>250119</v>
      </c>
      <c r="C24" s="2" t="s">
        <v>277</v>
      </c>
      <c r="D24" s="2">
        <f t="shared" si="0"/>
        <v>5</v>
      </c>
      <c r="F24" s="2" t="s">
        <v>74</v>
      </c>
      <c r="G24" s="2" t="s">
        <v>53</v>
      </c>
      <c r="H24" s="4">
        <v>1</v>
      </c>
      <c r="I24" s="4">
        <v>1</v>
      </c>
      <c r="J24" s="4">
        <v>0</v>
      </c>
      <c r="L24" s="4">
        <v>0</v>
      </c>
      <c r="M24" s="2" t="s">
        <v>55</v>
      </c>
      <c r="N24" s="2" t="s">
        <v>56</v>
      </c>
      <c r="O24" s="2" t="s">
        <v>57</v>
      </c>
      <c r="P24" s="2" t="s">
        <v>106</v>
      </c>
      <c r="Q24" s="2" t="s">
        <v>107</v>
      </c>
      <c r="R24" s="2" t="s">
        <v>278</v>
      </c>
      <c r="S24" s="2" t="s">
        <v>279</v>
      </c>
      <c r="V24" s="2" t="s">
        <v>280</v>
      </c>
      <c r="W24" s="2" t="s">
        <v>281</v>
      </c>
      <c r="Y24" s="2" t="s">
        <v>64</v>
      </c>
      <c r="Z24" s="2" t="s">
        <v>65</v>
      </c>
      <c r="AA24" s="2" t="s">
        <v>66</v>
      </c>
      <c r="AC24" s="2" t="s">
        <v>67</v>
      </c>
      <c r="AD24" s="2" t="s">
        <v>68</v>
      </c>
      <c r="AE24" s="2" t="s">
        <v>69</v>
      </c>
      <c r="AF24" s="2" t="s">
        <v>70</v>
      </c>
      <c r="AG24" s="2" t="s">
        <v>106</v>
      </c>
      <c r="AK24" s="2" t="s">
        <v>282</v>
      </c>
      <c r="AM24" s="2" t="s">
        <v>72</v>
      </c>
      <c r="AN24" s="2" t="s">
        <v>283</v>
      </c>
      <c r="AP24" s="2" t="s">
        <v>113</v>
      </c>
      <c r="AT24" s="2" t="s">
        <v>114</v>
      </c>
      <c r="AU24" s="2" t="s">
        <v>75</v>
      </c>
      <c r="AV24" s="2" t="s">
        <v>284</v>
      </c>
      <c r="AW24" s="2" t="s">
        <v>285</v>
      </c>
      <c r="AZ24" s="2" t="s">
        <v>116</v>
      </c>
    </row>
    <row r="25" spans="1:52" s="3" customFormat="1" x14ac:dyDescent="0.35">
      <c r="A25" s="2" t="s">
        <v>286</v>
      </c>
      <c r="B25" s="4">
        <v>250118</v>
      </c>
      <c r="C25" s="2" t="s">
        <v>287</v>
      </c>
      <c r="D25" s="2">
        <f t="shared" si="0"/>
        <v>5</v>
      </c>
      <c r="F25" s="2" t="s">
        <v>74</v>
      </c>
      <c r="G25" s="2" t="s">
        <v>53</v>
      </c>
      <c r="H25" s="4">
        <v>1</v>
      </c>
      <c r="I25" s="4">
        <v>1</v>
      </c>
      <c r="J25" s="4">
        <v>0</v>
      </c>
      <c r="L25" s="4">
        <v>0</v>
      </c>
      <c r="M25" s="2" t="s">
        <v>55</v>
      </c>
      <c r="N25" s="2" t="s">
        <v>56</v>
      </c>
      <c r="O25" s="2" t="s">
        <v>57</v>
      </c>
      <c r="P25" s="2" t="s">
        <v>106</v>
      </c>
      <c r="Q25" s="2" t="s">
        <v>107</v>
      </c>
      <c r="R25" s="2" t="s">
        <v>288</v>
      </c>
      <c r="S25" s="2" t="s">
        <v>289</v>
      </c>
      <c r="V25" s="2" t="s">
        <v>290</v>
      </c>
      <c r="W25" s="2" t="s">
        <v>291</v>
      </c>
      <c r="Y25" s="2" t="s">
        <v>64</v>
      </c>
      <c r="Z25" s="2" t="s">
        <v>65</v>
      </c>
      <c r="AA25" s="2" t="s">
        <v>66</v>
      </c>
      <c r="AC25" s="2" t="s">
        <v>67</v>
      </c>
      <c r="AD25" s="2" t="s">
        <v>68</v>
      </c>
      <c r="AE25" s="2" t="s">
        <v>69</v>
      </c>
      <c r="AF25" s="2" t="s">
        <v>70</v>
      </c>
      <c r="AG25" s="2" t="s">
        <v>106</v>
      </c>
      <c r="AK25" s="2" t="s">
        <v>292</v>
      </c>
      <c r="AM25" s="2" t="s">
        <v>72</v>
      </c>
      <c r="AN25" s="2" t="s">
        <v>100</v>
      </c>
      <c r="AP25" s="2" t="s">
        <v>113</v>
      </c>
      <c r="AT25" s="2" t="s">
        <v>114</v>
      </c>
      <c r="AU25" s="2" t="s">
        <v>75</v>
      </c>
      <c r="AW25" s="2" t="s">
        <v>293</v>
      </c>
      <c r="AZ25" s="2" t="s">
        <v>116</v>
      </c>
    </row>
    <row r="26" spans="1:52" s="3" customFormat="1" x14ac:dyDescent="0.35">
      <c r="A26" s="2" t="s">
        <v>294</v>
      </c>
      <c r="B26" s="4">
        <v>250117</v>
      </c>
      <c r="C26" s="2" t="s">
        <v>295</v>
      </c>
      <c r="D26" s="2">
        <f t="shared" si="0"/>
        <v>5</v>
      </c>
      <c r="F26" s="2" t="s">
        <v>74</v>
      </c>
      <c r="G26" s="2" t="s">
        <v>53</v>
      </c>
      <c r="H26" s="4">
        <v>1</v>
      </c>
      <c r="I26" s="4">
        <v>1</v>
      </c>
      <c r="J26" s="4">
        <v>0</v>
      </c>
      <c r="L26" s="4">
        <v>0</v>
      </c>
      <c r="M26" s="2" t="s">
        <v>55</v>
      </c>
      <c r="N26" s="2" t="s">
        <v>56</v>
      </c>
      <c r="O26" s="2" t="s">
        <v>57</v>
      </c>
      <c r="P26" s="2" t="s">
        <v>106</v>
      </c>
      <c r="Q26" s="2" t="s">
        <v>107</v>
      </c>
      <c r="R26" s="2" t="s">
        <v>296</v>
      </c>
      <c r="S26" s="2" t="s">
        <v>297</v>
      </c>
      <c r="V26" s="2" t="s">
        <v>298</v>
      </c>
      <c r="W26" s="2" t="s">
        <v>299</v>
      </c>
      <c r="Y26" s="2" t="s">
        <v>64</v>
      </c>
      <c r="Z26" s="2" t="s">
        <v>65</v>
      </c>
      <c r="AA26" s="2" t="s">
        <v>66</v>
      </c>
      <c r="AC26" s="2" t="s">
        <v>67</v>
      </c>
      <c r="AD26" s="2" t="s">
        <v>68</v>
      </c>
      <c r="AE26" s="2" t="s">
        <v>69</v>
      </c>
      <c r="AF26" s="2" t="s">
        <v>70</v>
      </c>
      <c r="AG26" s="2" t="s">
        <v>106</v>
      </c>
      <c r="AK26" s="2" t="s">
        <v>300</v>
      </c>
      <c r="AM26" s="2" t="s">
        <v>72</v>
      </c>
      <c r="AN26" s="2" t="s">
        <v>100</v>
      </c>
      <c r="AP26" s="2" t="s">
        <v>113</v>
      </c>
      <c r="AT26" s="2" t="s">
        <v>114</v>
      </c>
      <c r="AU26" s="2" t="s">
        <v>75</v>
      </c>
      <c r="AW26" s="2" t="s">
        <v>301</v>
      </c>
      <c r="AZ26" s="2" t="s">
        <v>116</v>
      </c>
    </row>
    <row r="27" spans="1:52" s="3" customFormat="1" x14ac:dyDescent="0.35">
      <c r="A27" s="2" t="s">
        <v>302</v>
      </c>
      <c r="B27" s="4">
        <v>250115</v>
      </c>
      <c r="C27" s="2" t="s">
        <v>303</v>
      </c>
      <c r="D27" s="2">
        <f t="shared" si="0"/>
        <v>5</v>
      </c>
      <c r="F27" s="2" t="s">
        <v>74</v>
      </c>
      <c r="G27" s="2" t="s">
        <v>53</v>
      </c>
      <c r="H27" s="4">
        <v>1</v>
      </c>
      <c r="I27" s="4">
        <v>1</v>
      </c>
      <c r="J27" s="4">
        <v>0</v>
      </c>
      <c r="L27" s="4">
        <v>0</v>
      </c>
      <c r="M27" s="2" t="s">
        <v>55</v>
      </c>
      <c r="N27" s="2" t="s">
        <v>56</v>
      </c>
      <c r="O27" s="2" t="s">
        <v>57</v>
      </c>
      <c r="P27" s="2" t="s">
        <v>106</v>
      </c>
      <c r="Q27" s="2" t="s">
        <v>107</v>
      </c>
      <c r="R27" s="2" t="s">
        <v>304</v>
      </c>
      <c r="S27" s="2" t="s">
        <v>305</v>
      </c>
      <c r="V27" s="2" t="s">
        <v>306</v>
      </c>
      <c r="W27" s="2" t="s">
        <v>307</v>
      </c>
      <c r="Y27" s="2" t="s">
        <v>64</v>
      </c>
      <c r="Z27" s="2" t="s">
        <v>65</v>
      </c>
      <c r="AA27" s="2" t="s">
        <v>66</v>
      </c>
      <c r="AC27" s="2" t="s">
        <v>67</v>
      </c>
      <c r="AD27" s="2" t="s">
        <v>68</v>
      </c>
      <c r="AE27" s="2" t="s">
        <v>69</v>
      </c>
      <c r="AF27" s="2" t="s">
        <v>70</v>
      </c>
      <c r="AG27" s="2" t="s">
        <v>106</v>
      </c>
      <c r="AK27" s="2" t="s">
        <v>308</v>
      </c>
      <c r="AM27" s="2" t="s">
        <v>72</v>
      </c>
      <c r="AN27" s="2" t="s">
        <v>100</v>
      </c>
      <c r="AP27" s="2" t="s">
        <v>113</v>
      </c>
      <c r="AT27" s="2" t="s">
        <v>114</v>
      </c>
      <c r="AU27" s="2" t="s">
        <v>75</v>
      </c>
      <c r="AV27" s="2" t="s">
        <v>309</v>
      </c>
      <c r="AW27" s="2" t="s">
        <v>310</v>
      </c>
      <c r="AZ27" s="2" t="s">
        <v>116</v>
      </c>
    </row>
    <row r="28" spans="1:52" s="3" customFormat="1" x14ac:dyDescent="0.35">
      <c r="A28" s="2" t="s">
        <v>311</v>
      </c>
      <c r="B28" s="4">
        <v>250114</v>
      </c>
      <c r="C28" s="2" t="s">
        <v>312</v>
      </c>
      <c r="D28" s="2">
        <f t="shared" si="0"/>
        <v>5</v>
      </c>
      <c r="F28" s="2" t="s">
        <v>74</v>
      </c>
      <c r="G28" s="2" t="s">
        <v>53</v>
      </c>
      <c r="H28" s="4">
        <v>1</v>
      </c>
      <c r="I28" s="4">
        <v>1</v>
      </c>
      <c r="J28" s="4">
        <v>0</v>
      </c>
      <c r="L28" s="4">
        <v>0</v>
      </c>
      <c r="M28" s="2" t="s">
        <v>55</v>
      </c>
      <c r="N28" s="2" t="s">
        <v>56</v>
      </c>
      <c r="O28" s="2" t="s">
        <v>57</v>
      </c>
      <c r="P28" s="2" t="s">
        <v>106</v>
      </c>
      <c r="Q28" s="2" t="s">
        <v>107</v>
      </c>
      <c r="R28" s="2" t="s">
        <v>313</v>
      </c>
      <c r="S28" s="2" t="s">
        <v>314</v>
      </c>
      <c r="V28" s="2" t="s">
        <v>315</v>
      </c>
      <c r="W28" s="2" t="s">
        <v>316</v>
      </c>
      <c r="Y28" s="2" t="s">
        <v>64</v>
      </c>
      <c r="Z28" s="2" t="s">
        <v>65</v>
      </c>
      <c r="AA28" s="2" t="s">
        <v>66</v>
      </c>
      <c r="AC28" s="2" t="s">
        <v>67</v>
      </c>
      <c r="AD28" s="2" t="s">
        <v>68</v>
      </c>
      <c r="AE28" s="2" t="s">
        <v>69</v>
      </c>
      <c r="AF28" s="2" t="s">
        <v>70</v>
      </c>
      <c r="AG28" s="2" t="s">
        <v>106</v>
      </c>
      <c r="AK28" s="2" t="s">
        <v>317</v>
      </c>
      <c r="AM28" s="2" t="s">
        <v>72</v>
      </c>
      <c r="AN28" s="2" t="s">
        <v>100</v>
      </c>
      <c r="AP28" s="2" t="s">
        <v>113</v>
      </c>
      <c r="AT28" s="2" t="s">
        <v>114</v>
      </c>
      <c r="AU28" s="2" t="s">
        <v>75</v>
      </c>
      <c r="AV28" s="2" t="s">
        <v>318</v>
      </c>
      <c r="AW28" s="2" t="s">
        <v>319</v>
      </c>
      <c r="AZ28" s="2" t="s">
        <v>116</v>
      </c>
    </row>
    <row r="29" spans="1:52" s="3" customFormat="1" x14ac:dyDescent="0.35">
      <c r="A29" s="2" t="s">
        <v>320</v>
      </c>
      <c r="B29" s="4">
        <v>250112</v>
      </c>
      <c r="C29" s="2" t="s">
        <v>321</v>
      </c>
      <c r="D29" s="2">
        <f t="shared" si="0"/>
        <v>5</v>
      </c>
      <c r="F29" s="2" t="s">
        <v>74</v>
      </c>
      <c r="G29" s="2" t="s">
        <v>53</v>
      </c>
      <c r="H29" s="4">
        <v>1</v>
      </c>
      <c r="I29" s="4">
        <v>1</v>
      </c>
      <c r="J29" s="4">
        <v>0</v>
      </c>
      <c r="L29" s="4">
        <v>0</v>
      </c>
      <c r="M29" s="2" t="s">
        <v>55</v>
      </c>
      <c r="N29" s="2" t="s">
        <v>56</v>
      </c>
      <c r="O29" s="2" t="s">
        <v>57</v>
      </c>
      <c r="P29" s="2" t="s">
        <v>106</v>
      </c>
      <c r="Q29" s="2" t="s">
        <v>107</v>
      </c>
      <c r="R29" s="2" t="s">
        <v>322</v>
      </c>
      <c r="S29" s="2" t="s">
        <v>323</v>
      </c>
      <c r="V29" s="2" t="s">
        <v>324</v>
      </c>
      <c r="W29" s="2" t="s">
        <v>325</v>
      </c>
      <c r="Y29" s="2" t="s">
        <v>64</v>
      </c>
      <c r="Z29" s="2" t="s">
        <v>65</v>
      </c>
      <c r="AA29" s="2" t="s">
        <v>66</v>
      </c>
      <c r="AC29" s="2" t="s">
        <v>67</v>
      </c>
      <c r="AD29" s="2" t="s">
        <v>68</v>
      </c>
      <c r="AE29" s="2" t="s">
        <v>69</v>
      </c>
      <c r="AF29" s="2" t="s">
        <v>70</v>
      </c>
      <c r="AG29" s="2" t="s">
        <v>106</v>
      </c>
      <c r="AK29" s="2" t="s">
        <v>326</v>
      </c>
      <c r="AM29" s="2" t="s">
        <v>72</v>
      </c>
      <c r="AN29" s="2" t="s">
        <v>100</v>
      </c>
      <c r="AP29" s="2" t="s">
        <v>113</v>
      </c>
      <c r="AT29" s="2" t="s">
        <v>114</v>
      </c>
      <c r="AU29" s="2" t="s">
        <v>75</v>
      </c>
      <c r="AV29" s="2" t="s">
        <v>327</v>
      </c>
      <c r="AW29" s="2" t="s">
        <v>328</v>
      </c>
      <c r="AZ29" s="2" t="s">
        <v>116</v>
      </c>
    </row>
    <row r="30" spans="1:52" s="3" customFormat="1" x14ac:dyDescent="0.35">
      <c r="A30" s="2" t="s">
        <v>329</v>
      </c>
      <c r="B30" s="4">
        <v>250111</v>
      </c>
      <c r="C30" s="2" t="s">
        <v>330</v>
      </c>
      <c r="D30" s="2">
        <f t="shared" si="0"/>
        <v>5</v>
      </c>
      <c r="F30" s="2" t="s">
        <v>74</v>
      </c>
      <c r="G30" s="2" t="s">
        <v>53</v>
      </c>
      <c r="H30" s="4">
        <v>1</v>
      </c>
      <c r="I30" s="4">
        <v>1</v>
      </c>
      <c r="J30" s="4">
        <v>0</v>
      </c>
      <c r="L30" s="4">
        <v>0</v>
      </c>
      <c r="M30" s="2" t="s">
        <v>55</v>
      </c>
      <c r="N30" s="2" t="s">
        <v>56</v>
      </c>
      <c r="O30" s="2" t="s">
        <v>57</v>
      </c>
      <c r="P30" s="2" t="s">
        <v>106</v>
      </c>
      <c r="Q30" s="2" t="s">
        <v>107</v>
      </c>
      <c r="R30" s="2" t="s">
        <v>331</v>
      </c>
      <c r="S30" s="2" t="s">
        <v>332</v>
      </c>
      <c r="V30" s="2" t="s">
        <v>333</v>
      </c>
      <c r="W30" s="2" t="s">
        <v>334</v>
      </c>
      <c r="Y30" s="2" t="s">
        <v>64</v>
      </c>
      <c r="Z30" s="2" t="s">
        <v>205</v>
      </c>
      <c r="AA30" s="2" t="s">
        <v>66</v>
      </c>
      <c r="AC30" s="2" t="s">
        <v>67</v>
      </c>
      <c r="AD30" s="2" t="s">
        <v>68</v>
      </c>
      <c r="AE30" s="2" t="s">
        <v>69</v>
      </c>
      <c r="AF30" s="2" t="s">
        <v>70</v>
      </c>
      <c r="AG30" s="2" t="s">
        <v>106</v>
      </c>
      <c r="AK30" s="2" t="s">
        <v>335</v>
      </c>
      <c r="AM30" s="2" t="s">
        <v>72</v>
      </c>
      <c r="AN30" s="2" t="s">
        <v>73</v>
      </c>
      <c r="AP30" s="2" t="s">
        <v>113</v>
      </c>
      <c r="AT30" s="2" t="s">
        <v>114</v>
      </c>
      <c r="AU30" s="2" t="s">
        <v>75</v>
      </c>
      <c r="AW30" s="2" t="s">
        <v>336</v>
      </c>
      <c r="AZ30" s="2" t="s">
        <v>116</v>
      </c>
    </row>
    <row r="31" spans="1:52" s="3" customFormat="1" x14ac:dyDescent="0.35">
      <c r="A31" s="2" t="s">
        <v>337</v>
      </c>
      <c r="B31" s="4">
        <v>250110</v>
      </c>
      <c r="C31" s="2" t="s">
        <v>338</v>
      </c>
      <c r="D31" s="2">
        <f t="shared" si="0"/>
        <v>5</v>
      </c>
      <c r="F31" s="2" t="s">
        <v>74</v>
      </c>
      <c r="G31" s="2" t="s">
        <v>53</v>
      </c>
      <c r="H31" s="4">
        <v>1</v>
      </c>
      <c r="I31" s="4">
        <v>1</v>
      </c>
      <c r="J31" s="4">
        <v>0</v>
      </c>
      <c r="L31" s="4">
        <v>0</v>
      </c>
      <c r="M31" s="2" t="s">
        <v>55</v>
      </c>
      <c r="N31" s="2" t="s">
        <v>56</v>
      </c>
      <c r="O31" s="2" t="s">
        <v>57</v>
      </c>
      <c r="P31" s="2" t="s">
        <v>106</v>
      </c>
      <c r="Q31" s="2" t="s">
        <v>107</v>
      </c>
      <c r="R31" s="2" t="s">
        <v>339</v>
      </c>
      <c r="S31" s="2" t="s">
        <v>340</v>
      </c>
      <c r="V31" s="2" t="s">
        <v>341</v>
      </c>
      <c r="W31" s="2" t="s">
        <v>342</v>
      </c>
      <c r="Y31" s="2" t="s">
        <v>64</v>
      </c>
      <c r="Z31" s="2" t="s">
        <v>65</v>
      </c>
      <c r="AA31" s="2" t="s">
        <v>66</v>
      </c>
      <c r="AC31" s="2" t="s">
        <v>67</v>
      </c>
      <c r="AD31" s="2" t="s">
        <v>68</v>
      </c>
      <c r="AE31" s="2" t="s">
        <v>69</v>
      </c>
      <c r="AF31" s="2" t="s">
        <v>70</v>
      </c>
      <c r="AG31" s="2" t="s">
        <v>106</v>
      </c>
      <c r="AK31" s="2" t="s">
        <v>343</v>
      </c>
      <c r="AM31" s="2" t="s">
        <v>72</v>
      </c>
      <c r="AN31" s="2" t="s">
        <v>344</v>
      </c>
      <c r="AP31" s="2" t="s">
        <v>113</v>
      </c>
      <c r="AT31" s="2" t="s">
        <v>114</v>
      </c>
      <c r="AU31" s="2" t="s">
        <v>75</v>
      </c>
      <c r="AW31" s="2" t="s">
        <v>345</v>
      </c>
      <c r="AZ31" s="2" t="s">
        <v>116</v>
      </c>
    </row>
    <row r="32" spans="1:52" s="3" customFormat="1" x14ac:dyDescent="0.35">
      <c r="A32" s="2" t="s">
        <v>346</v>
      </c>
      <c r="B32" s="4">
        <v>250102</v>
      </c>
      <c r="C32" s="2" t="s">
        <v>347</v>
      </c>
      <c r="D32" s="2">
        <f t="shared" si="0"/>
        <v>5</v>
      </c>
      <c r="F32" s="2" t="s">
        <v>74</v>
      </c>
      <c r="G32" s="2" t="s">
        <v>53</v>
      </c>
      <c r="H32" s="4">
        <v>1</v>
      </c>
      <c r="I32" s="4">
        <v>1</v>
      </c>
      <c r="J32" s="4">
        <v>0</v>
      </c>
      <c r="L32" s="4">
        <v>0</v>
      </c>
      <c r="M32" s="2" t="s">
        <v>55</v>
      </c>
      <c r="N32" s="2" t="s">
        <v>56</v>
      </c>
      <c r="O32" s="2" t="s">
        <v>57</v>
      </c>
      <c r="P32" s="2" t="s">
        <v>106</v>
      </c>
      <c r="Q32" s="2" t="s">
        <v>107</v>
      </c>
      <c r="R32" s="2" t="s">
        <v>348</v>
      </c>
      <c r="S32" s="2" t="s">
        <v>349</v>
      </c>
      <c r="V32" s="2" t="s">
        <v>350</v>
      </c>
      <c r="W32" s="2" t="s">
        <v>351</v>
      </c>
      <c r="Y32" s="2" t="s">
        <v>64</v>
      </c>
      <c r="Z32" s="2" t="s">
        <v>65</v>
      </c>
      <c r="AA32" s="2" t="s">
        <v>66</v>
      </c>
      <c r="AC32" s="2" t="s">
        <v>67</v>
      </c>
      <c r="AD32" s="2" t="s">
        <v>68</v>
      </c>
      <c r="AE32" s="2" t="s">
        <v>69</v>
      </c>
      <c r="AF32" s="2" t="s">
        <v>70</v>
      </c>
      <c r="AG32" s="2" t="s">
        <v>106</v>
      </c>
      <c r="AK32" s="2" t="s">
        <v>352</v>
      </c>
      <c r="AM32" s="2" t="s">
        <v>72</v>
      </c>
      <c r="AN32" s="2" t="s">
        <v>100</v>
      </c>
      <c r="AP32" s="2" t="s">
        <v>113</v>
      </c>
      <c r="AT32" s="2" t="s">
        <v>114</v>
      </c>
      <c r="AU32" s="2" t="s">
        <v>75</v>
      </c>
      <c r="AV32" s="2" t="s">
        <v>353</v>
      </c>
      <c r="AW32" s="2" t="s">
        <v>354</v>
      </c>
      <c r="AZ32" s="2" t="s">
        <v>116</v>
      </c>
    </row>
    <row r="33" spans="1:52" s="3" customFormat="1" x14ac:dyDescent="0.35">
      <c r="A33" s="2" t="s">
        <v>355</v>
      </c>
      <c r="B33" s="4">
        <v>250101</v>
      </c>
      <c r="C33" s="2" t="s">
        <v>356</v>
      </c>
      <c r="D33" s="2">
        <f t="shared" si="0"/>
        <v>5</v>
      </c>
      <c r="F33" s="2" t="s">
        <v>74</v>
      </c>
      <c r="G33" s="2" t="s">
        <v>53</v>
      </c>
      <c r="H33" s="4">
        <v>1</v>
      </c>
      <c r="I33" s="4">
        <v>1</v>
      </c>
      <c r="J33" s="4">
        <v>0</v>
      </c>
      <c r="L33" s="4">
        <v>0</v>
      </c>
      <c r="M33" s="2" t="s">
        <v>55</v>
      </c>
      <c r="N33" s="2" t="s">
        <v>56</v>
      </c>
      <c r="O33" s="2" t="s">
        <v>57</v>
      </c>
      <c r="P33" s="2" t="s">
        <v>106</v>
      </c>
      <c r="Q33" s="2" t="s">
        <v>107</v>
      </c>
      <c r="R33" s="2" t="s">
        <v>357</v>
      </c>
      <c r="S33" s="2" t="s">
        <v>358</v>
      </c>
      <c r="V33" s="2" t="s">
        <v>359</v>
      </c>
      <c r="W33" s="2" t="s">
        <v>360</v>
      </c>
      <c r="Y33" s="2" t="s">
        <v>64</v>
      </c>
      <c r="Z33" s="2" t="s">
        <v>65</v>
      </c>
      <c r="AA33" s="2" t="s">
        <v>66</v>
      </c>
      <c r="AC33" s="2" t="s">
        <v>67</v>
      </c>
      <c r="AD33" s="2" t="s">
        <v>68</v>
      </c>
      <c r="AE33" s="2" t="s">
        <v>69</v>
      </c>
      <c r="AF33" s="2" t="s">
        <v>70</v>
      </c>
      <c r="AG33" s="2" t="s">
        <v>106</v>
      </c>
      <c r="AK33" s="2" t="s">
        <v>361</v>
      </c>
      <c r="AM33" s="2" t="s">
        <v>72</v>
      </c>
      <c r="AN33" s="2" t="s">
        <v>249</v>
      </c>
      <c r="AP33" s="2" t="s">
        <v>113</v>
      </c>
      <c r="AT33" s="2" t="s">
        <v>114</v>
      </c>
      <c r="AU33" s="2" t="s">
        <v>75</v>
      </c>
      <c r="AV33" s="2" t="s">
        <v>362</v>
      </c>
      <c r="AW33" s="2" t="s">
        <v>363</v>
      </c>
      <c r="AZ33" s="2" t="s">
        <v>116</v>
      </c>
    </row>
    <row r="34" spans="1:52" s="3" customFormat="1" x14ac:dyDescent="0.35">
      <c r="A34" s="2" t="s">
        <v>364</v>
      </c>
      <c r="B34" s="4">
        <v>250100</v>
      </c>
      <c r="C34" s="2" t="s">
        <v>365</v>
      </c>
      <c r="D34" s="2">
        <f t="shared" si="0"/>
        <v>5</v>
      </c>
      <c r="F34" s="2" t="s">
        <v>74</v>
      </c>
      <c r="G34" s="2" t="s">
        <v>53</v>
      </c>
      <c r="H34" s="4">
        <v>1</v>
      </c>
      <c r="I34" s="4">
        <v>1</v>
      </c>
      <c r="J34" s="4">
        <v>0</v>
      </c>
      <c r="L34" s="4">
        <v>0</v>
      </c>
      <c r="M34" s="2" t="s">
        <v>55</v>
      </c>
      <c r="N34" s="2" t="s">
        <v>56</v>
      </c>
      <c r="O34" s="2" t="s">
        <v>57</v>
      </c>
      <c r="P34" s="2" t="s">
        <v>106</v>
      </c>
      <c r="Q34" s="2" t="s">
        <v>107</v>
      </c>
      <c r="R34" s="2" t="s">
        <v>366</v>
      </c>
      <c r="S34" s="2" t="s">
        <v>367</v>
      </c>
      <c r="V34" s="2" t="s">
        <v>368</v>
      </c>
      <c r="W34" s="2" t="s">
        <v>369</v>
      </c>
      <c r="Y34" s="2" t="s">
        <v>64</v>
      </c>
      <c r="Z34" s="2" t="s">
        <v>65</v>
      </c>
      <c r="AA34" s="2" t="s">
        <v>66</v>
      </c>
      <c r="AC34" s="2" t="s">
        <v>67</v>
      </c>
      <c r="AD34" s="2" t="s">
        <v>68</v>
      </c>
      <c r="AE34" s="2" t="s">
        <v>69</v>
      </c>
      <c r="AF34" s="2" t="s">
        <v>70</v>
      </c>
      <c r="AG34" s="2" t="s">
        <v>106</v>
      </c>
      <c r="AK34" s="2" t="s">
        <v>370</v>
      </c>
      <c r="AM34" s="2" t="s">
        <v>72</v>
      </c>
      <c r="AN34" s="2" t="s">
        <v>100</v>
      </c>
      <c r="AP34" s="2" t="s">
        <v>113</v>
      </c>
      <c r="AT34" s="2" t="s">
        <v>114</v>
      </c>
      <c r="AU34" s="2" t="s">
        <v>75</v>
      </c>
      <c r="AW34" s="2" t="s">
        <v>371</v>
      </c>
      <c r="AZ34" s="2" t="s">
        <v>116</v>
      </c>
    </row>
    <row r="35" spans="1:52" s="3" customFormat="1" x14ac:dyDescent="0.35">
      <c r="A35" s="2" t="s">
        <v>372</v>
      </c>
      <c r="B35" s="4">
        <v>250099</v>
      </c>
      <c r="C35" s="2" t="s">
        <v>373</v>
      </c>
      <c r="D35" s="2">
        <f t="shared" si="0"/>
        <v>5</v>
      </c>
      <c r="F35" s="2" t="s">
        <v>74</v>
      </c>
      <c r="G35" s="2" t="s">
        <v>53</v>
      </c>
      <c r="H35" s="4">
        <v>1</v>
      </c>
      <c r="I35" s="4">
        <v>1</v>
      </c>
      <c r="J35" s="4">
        <v>0</v>
      </c>
      <c r="L35" s="4">
        <v>0</v>
      </c>
      <c r="M35" s="2" t="s">
        <v>55</v>
      </c>
      <c r="N35" s="2" t="s">
        <v>56</v>
      </c>
      <c r="O35" s="2" t="s">
        <v>57</v>
      </c>
      <c r="P35" s="2" t="s">
        <v>106</v>
      </c>
      <c r="Q35" s="2" t="s">
        <v>107</v>
      </c>
      <c r="R35" s="2" t="s">
        <v>374</v>
      </c>
      <c r="S35" s="2" t="s">
        <v>375</v>
      </c>
      <c r="V35" s="2" t="s">
        <v>376</v>
      </c>
      <c r="W35" s="2" t="s">
        <v>377</v>
      </c>
      <c r="Y35" s="2" t="s">
        <v>64</v>
      </c>
      <c r="Z35" s="2" t="s">
        <v>65</v>
      </c>
      <c r="AA35" s="2" t="s">
        <v>66</v>
      </c>
      <c r="AC35" s="2" t="s">
        <v>67</v>
      </c>
      <c r="AD35" s="2" t="s">
        <v>68</v>
      </c>
      <c r="AE35" s="2" t="s">
        <v>69</v>
      </c>
      <c r="AF35" s="2" t="s">
        <v>70</v>
      </c>
      <c r="AG35" s="2" t="s">
        <v>106</v>
      </c>
      <c r="AK35" s="2" t="s">
        <v>378</v>
      </c>
      <c r="AM35" s="2" t="s">
        <v>72</v>
      </c>
      <c r="AN35" s="2" t="s">
        <v>100</v>
      </c>
      <c r="AP35" s="2" t="s">
        <v>113</v>
      </c>
      <c r="AT35" s="2" t="s">
        <v>114</v>
      </c>
      <c r="AU35" s="2" t="s">
        <v>75</v>
      </c>
      <c r="AW35" s="2" t="s">
        <v>379</v>
      </c>
      <c r="AZ35" s="2" t="s">
        <v>116</v>
      </c>
    </row>
    <row r="36" spans="1:52" s="3" customFormat="1" x14ac:dyDescent="0.35">
      <c r="A36" s="2" t="s">
        <v>380</v>
      </c>
      <c r="B36" s="4">
        <v>250098</v>
      </c>
      <c r="C36" s="2" t="s">
        <v>381</v>
      </c>
      <c r="D36" s="2">
        <f t="shared" si="0"/>
        <v>5</v>
      </c>
      <c r="F36" s="2" t="s">
        <v>74</v>
      </c>
      <c r="G36" s="2" t="s">
        <v>53</v>
      </c>
      <c r="H36" s="4">
        <v>1</v>
      </c>
      <c r="I36" s="4">
        <v>1</v>
      </c>
      <c r="J36" s="4">
        <v>0</v>
      </c>
      <c r="L36" s="4">
        <v>0</v>
      </c>
      <c r="M36" s="2" t="s">
        <v>55</v>
      </c>
      <c r="N36" s="2" t="s">
        <v>56</v>
      </c>
      <c r="O36" s="2" t="s">
        <v>57</v>
      </c>
      <c r="P36" s="2" t="s">
        <v>106</v>
      </c>
      <c r="Q36" s="2" t="s">
        <v>107</v>
      </c>
      <c r="R36" s="2" t="s">
        <v>382</v>
      </c>
      <c r="S36" s="2" t="s">
        <v>383</v>
      </c>
      <c r="V36" s="2" t="s">
        <v>384</v>
      </c>
      <c r="W36" s="2" t="s">
        <v>385</v>
      </c>
      <c r="Y36" s="2" t="s">
        <v>64</v>
      </c>
      <c r="Z36" s="2" t="s">
        <v>65</v>
      </c>
      <c r="AA36" s="2" t="s">
        <v>66</v>
      </c>
      <c r="AC36" s="2" t="s">
        <v>67</v>
      </c>
      <c r="AD36" s="2" t="s">
        <v>68</v>
      </c>
      <c r="AE36" s="2" t="s">
        <v>69</v>
      </c>
      <c r="AF36" s="2" t="s">
        <v>70</v>
      </c>
      <c r="AG36" s="2" t="s">
        <v>106</v>
      </c>
      <c r="AK36" s="2" t="s">
        <v>386</v>
      </c>
      <c r="AM36" s="2" t="s">
        <v>72</v>
      </c>
      <c r="AN36" s="2" t="s">
        <v>100</v>
      </c>
      <c r="AP36" s="2" t="s">
        <v>113</v>
      </c>
      <c r="AT36" s="2" t="s">
        <v>114</v>
      </c>
      <c r="AU36" s="2" t="s">
        <v>75</v>
      </c>
      <c r="AW36" s="2" t="s">
        <v>387</v>
      </c>
      <c r="AZ36" s="2" t="s">
        <v>116</v>
      </c>
    </row>
    <row r="37" spans="1:52" s="3" customFormat="1" x14ac:dyDescent="0.35">
      <c r="A37" s="2" t="s">
        <v>388</v>
      </c>
      <c r="B37" s="4">
        <v>250093</v>
      </c>
      <c r="C37" s="2" t="s">
        <v>389</v>
      </c>
      <c r="D37" s="2">
        <f t="shared" si="0"/>
        <v>5</v>
      </c>
      <c r="F37" s="2" t="s">
        <v>74</v>
      </c>
      <c r="G37" s="2" t="s">
        <v>53</v>
      </c>
      <c r="H37" s="4">
        <v>1</v>
      </c>
      <c r="I37" s="4">
        <v>1</v>
      </c>
      <c r="J37" s="4">
        <v>0</v>
      </c>
      <c r="L37" s="4">
        <v>0</v>
      </c>
      <c r="M37" s="2" t="s">
        <v>55</v>
      </c>
      <c r="N37" s="2" t="s">
        <v>56</v>
      </c>
      <c r="O37" s="2" t="s">
        <v>57</v>
      </c>
      <c r="P37" s="2" t="s">
        <v>106</v>
      </c>
      <c r="Q37" s="2" t="s">
        <v>107</v>
      </c>
      <c r="R37" s="2" t="s">
        <v>390</v>
      </c>
      <c r="S37" s="2" t="s">
        <v>391</v>
      </c>
      <c r="V37" s="2" t="s">
        <v>392</v>
      </c>
      <c r="W37" s="2" t="s">
        <v>393</v>
      </c>
      <c r="Y37" s="2" t="s">
        <v>64</v>
      </c>
      <c r="Z37" s="2" t="s">
        <v>65</v>
      </c>
      <c r="AA37" s="2" t="s">
        <v>66</v>
      </c>
      <c r="AC37" s="2" t="s">
        <v>67</v>
      </c>
      <c r="AD37" s="2" t="s">
        <v>68</v>
      </c>
      <c r="AE37" s="2" t="s">
        <v>69</v>
      </c>
      <c r="AF37" s="2" t="s">
        <v>70</v>
      </c>
      <c r="AG37" s="2" t="s">
        <v>106</v>
      </c>
      <c r="AK37" s="2" t="s">
        <v>394</v>
      </c>
      <c r="AM37" s="2" t="s">
        <v>72</v>
      </c>
      <c r="AN37" s="2" t="s">
        <v>344</v>
      </c>
      <c r="AP37" s="2" t="s">
        <v>113</v>
      </c>
      <c r="AT37" s="2" t="s">
        <v>114</v>
      </c>
      <c r="AU37" s="2" t="s">
        <v>75</v>
      </c>
      <c r="AW37" s="2" t="s">
        <v>395</v>
      </c>
      <c r="AZ37" s="2" t="s">
        <v>116</v>
      </c>
    </row>
    <row r="38" spans="1:52" s="3" customFormat="1" x14ac:dyDescent="0.35">
      <c r="A38" s="2" t="s">
        <v>396</v>
      </c>
      <c r="B38" s="4">
        <v>250092</v>
      </c>
      <c r="C38" s="2" t="s">
        <v>397</v>
      </c>
      <c r="D38" s="2">
        <f t="shared" si="0"/>
        <v>5</v>
      </c>
      <c r="F38" s="2" t="s">
        <v>74</v>
      </c>
      <c r="G38" s="2" t="s">
        <v>53</v>
      </c>
      <c r="H38" s="4">
        <v>1</v>
      </c>
      <c r="I38" s="4">
        <v>1</v>
      </c>
      <c r="J38" s="4">
        <v>0</v>
      </c>
      <c r="L38" s="4">
        <v>0</v>
      </c>
      <c r="M38" s="2" t="s">
        <v>55</v>
      </c>
      <c r="N38" s="2" t="s">
        <v>56</v>
      </c>
      <c r="O38" s="2" t="s">
        <v>57</v>
      </c>
      <c r="P38" s="2" t="s">
        <v>106</v>
      </c>
      <c r="Q38" s="2" t="s">
        <v>107</v>
      </c>
      <c r="R38" s="2" t="s">
        <v>398</v>
      </c>
      <c r="S38" s="2" t="s">
        <v>399</v>
      </c>
      <c r="V38" s="2" t="s">
        <v>400</v>
      </c>
      <c r="W38" s="2" t="s">
        <v>401</v>
      </c>
      <c r="Y38" s="2" t="s">
        <v>64</v>
      </c>
      <c r="Z38" s="2" t="s">
        <v>65</v>
      </c>
      <c r="AA38" s="2" t="s">
        <v>66</v>
      </c>
      <c r="AC38" s="2" t="s">
        <v>67</v>
      </c>
      <c r="AD38" s="2" t="s">
        <v>68</v>
      </c>
      <c r="AE38" s="2" t="s">
        <v>69</v>
      </c>
      <c r="AF38" s="2" t="s">
        <v>70</v>
      </c>
      <c r="AG38" s="2" t="s">
        <v>106</v>
      </c>
      <c r="AK38" s="2" t="s">
        <v>402</v>
      </c>
      <c r="AM38" s="2" t="s">
        <v>72</v>
      </c>
      <c r="AN38" s="2" t="s">
        <v>403</v>
      </c>
      <c r="AP38" s="2" t="s">
        <v>113</v>
      </c>
      <c r="AT38" s="2" t="s">
        <v>114</v>
      </c>
      <c r="AU38" s="2" t="s">
        <v>75</v>
      </c>
      <c r="AV38" s="2" t="s">
        <v>404</v>
      </c>
      <c r="AW38" s="2" t="s">
        <v>405</v>
      </c>
      <c r="AZ38" s="2" t="s">
        <v>116</v>
      </c>
    </row>
    <row r="39" spans="1:52" s="3" customFormat="1" x14ac:dyDescent="0.35">
      <c r="A39" s="2" t="s">
        <v>406</v>
      </c>
      <c r="B39" s="4">
        <v>250088</v>
      </c>
      <c r="C39" s="2" t="s">
        <v>407</v>
      </c>
      <c r="D39" s="2">
        <f t="shared" si="0"/>
        <v>5</v>
      </c>
      <c r="F39" s="2" t="s">
        <v>74</v>
      </c>
      <c r="G39" s="2" t="s">
        <v>53</v>
      </c>
      <c r="H39" s="4">
        <v>1</v>
      </c>
      <c r="I39" s="4">
        <v>1</v>
      </c>
      <c r="J39" s="4">
        <v>0</v>
      </c>
      <c r="L39" s="4">
        <v>0</v>
      </c>
      <c r="M39" s="2" t="s">
        <v>55</v>
      </c>
      <c r="N39" s="2" t="s">
        <v>56</v>
      </c>
      <c r="O39" s="2" t="s">
        <v>57</v>
      </c>
      <c r="P39" s="2" t="s">
        <v>106</v>
      </c>
      <c r="Q39" s="2" t="s">
        <v>107</v>
      </c>
      <c r="R39" s="2" t="s">
        <v>408</v>
      </c>
      <c r="S39" s="2" t="s">
        <v>409</v>
      </c>
      <c r="V39" s="2" t="s">
        <v>410</v>
      </c>
      <c r="W39" s="2" t="s">
        <v>411</v>
      </c>
      <c r="Y39" s="2" t="s">
        <v>64</v>
      </c>
      <c r="Z39" s="2" t="s">
        <v>65</v>
      </c>
      <c r="AA39" s="2" t="s">
        <v>66</v>
      </c>
      <c r="AC39" s="2" t="s">
        <v>67</v>
      </c>
      <c r="AD39" s="2" t="s">
        <v>68</v>
      </c>
      <c r="AE39" s="2" t="s">
        <v>69</v>
      </c>
      <c r="AF39" s="2" t="s">
        <v>70</v>
      </c>
      <c r="AG39" s="2" t="s">
        <v>106</v>
      </c>
      <c r="AK39" s="2" t="s">
        <v>412</v>
      </c>
      <c r="AM39" s="2" t="s">
        <v>72</v>
      </c>
      <c r="AN39" s="2" t="s">
        <v>73</v>
      </c>
      <c r="AP39" s="2" t="s">
        <v>113</v>
      </c>
      <c r="AT39" s="2" t="s">
        <v>114</v>
      </c>
      <c r="AU39" s="2" t="s">
        <v>75</v>
      </c>
      <c r="AW39" s="2" t="s">
        <v>413</v>
      </c>
      <c r="AZ39" s="2" t="s">
        <v>116</v>
      </c>
    </row>
    <row r="40" spans="1:52" s="3" customFormat="1" x14ac:dyDescent="0.35">
      <c r="A40" s="2" t="s">
        <v>414</v>
      </c>
      <c r="B40" s="4">
        <v>250085</v>
      </c>
      <c r="C40" s="2" t="s">
        <v>415</v>
      </c>
      <c r="D40" s="2">
        <f t="shared" si="0"/>
        <v>5</v>
      </c>
      <c r="F40" s="2" t="s">
        <v>74</v>
      </c>
      <c r="G40" s="2" t="s">
        <v>53</v>
      </c>
      <c r="H40" s="4">
        <v>1</v>
      </c>
      <c r="I40" s="4">
        <v>1</v>
      </c>
      <c r="J40" s="4">
        <v>0</v>
      </c>
      <c r="L40" s="4">
        <v>0</v>
      </c>
      <c r="M40" s="2" t="s">
        <v>55</v>
      </c>
      <c r="N40" s="2" t="s">
        <v>56</v>
      </c>
      <c r="O40" s="2" t="s">
        <v>57</v>
      </c>
      <c r="P40" s="2" t="s">
        <v>106</v>
      </c>
      <c r="Q40" s="2" t="s">
        <v>107</v>
      </c>
      <c r="R40" s="2" t="s">
        <v>416</v>
      </c>
      <c r="S40" s="2" t="s">
        <v>417</v>
      </c>
      <c r="V40" s="2" t="s">
        <v>418</v>
      </c>
      <c r="W40" s="2" t="s">
        <v>419</v>
      </c>
      <c r="Y40" s="2" t="s">
        <v>64</v>
      </c>
      <c r="Z40" s="2" t="s">
        <v>65</v>
      </c>
      <c r="AA40" s="2" t="s">
        <v>66</v>
      </c>
      <c r="AC40" s="2" t="s">
        <v>67</v>
      </c>
      <c r="AD40" s="2" t="s">
        <v>68</v>
      </c>
      <c r="AE40" s="2" t="s">
        <v>69</v>
      </c>
      <c r="AF40" s="2" t="s">
        <v>70</v>
      </c>
      <c r="AG40" s="2" t="s">
        <v>106</v>
      </c>
      <c r="AK40" s="2" t="s">
        <v>420</v>
      </c>
      <c r="AM40" s="2" t="s">
        <v>72</v>
      </c>
      <c r="AN40" s="2" t="s">
        <v>403</v>
      </c>
      <c r="AP40" s="2" t="s">
        <v>113</v>
      </c>
      <c r="AT40" s="2" t="s">
        <v>114</v>
      </c>
      <c r="AU40" s="2" t="s">
        <v>75</v>
      </c>
      <c r="AW40" s="2" t="s">
        <v>421</v>
      </c>
      <c r="AZ40" s="2" t="s">
        <v>116</v>
      </c>
    </row>
    <row r="41" spans="1:52" s="3" customFormat="1" x14ac:dyDescent="0.35">
      <c r="A41" s="2" t="s">
        <v>422</v>
      </c>
      <c r="B41" s="4">
        <v>250084</v>
      </c>
      <c r="C41" s="2" t="s">
        <v>423</v>
      </c>
      <c r="D41" s="2">
        <f t="shared" si="0"/>
        <v>5</v>
      </c>
      <c r="F41" s="2" t="s">
        <v>74</v>
      </c>
      <c r="G41" s="2" t="s">
        <v>53</v>
      </c>
      <c r="H41" s="4">
        <v>1</v>
      </c>
      <c r="I41" s="4">
        <v>1</v>
      </c>
      <c r="J41" s="4">
        <v>0</v>
      </c>
      <c r="L41" s="4">
        <v>0</v>
      </c>
      <c r="M41" s="2" t="s">
        <v>55</v>
      </c>
      <c r="N41" s="2" t="s">
        <v>56</v>
      </c>
      <c r="O41" s="2" t="s">
        <v>57</v>
      </c>
      <c r="P41" s="2" t="s">
        <v>106</v>
      </c>
      <c r="Q41" s="2" t="s">
        <v>107</v>
      </c>
      <c r="R41" s="2" t="s">
        <v>424</v>
      </c>
      <c r="S41" s="2" t="s">
        <v>425</v>
      </c>
      <c r="V41" s="2" t="s">
        <v>426</v>
      </c>
      <c r="W41" s="2" t="s">
        <v>427</v>
      </c>
      <c r="Y41" s="2" t="s">
        <v>64</v>
      </c>
      <c r="Z41" s="2" t="s">
        <v>65</v>
      </c>
      <c r="AA41" s="2" t="s">
        <v>66</v>
      </c>
      <c r="AC41" s="2" t="s">
        <v>67</v>
      </c>
      <c r="AD41" s="2" t="s">
        <v>68</v>
      </c>
      <c r="AE41" s="2" t="s">
        <v>69</v>
      </c>
      <c r="AF41" s="2" t="s">
        <v>70</v>
      </c>
      <c r="AG41" s="2" t="s">
        <v>106</v>
      </c>
      <c r="AK41" s="2" t="s">
        <v>428</v>
      </c>
      <c r="AM41" s="2" t="s">
        <v>72</v>
      </c>
      <c r="AN41" s="2" t="s">
        <v>403</v>
      </c>
      <c r="AP41" s="2" t="s">
        <v>113</v>
      </c>
      <c r="AT41" s="2" t="s">
        <v>114</v>
      </c>
      <c r="AU41" s="2" t="s">
        <v>75</v>
      </c>
      <c r="AW41" s="2" t="s">
        <v>429</v>
      </c>
      <c r="AZ41" s="2" t="s">
        <v>116</v>
      </c>
    </row>
    <row r="42" spans="1:52" s="3" customFormat="1" x14ac:dyDescent="0.35">
      <c r="A42" s="2" t="s">
        <v>430</v>
      </c>
      <c r="B42" s="4">
        <v>250082</v>
      </c>
      <c r="C42" s="2" t="s">
        <v>431</v>
      </c>
      <c r="D42" s="2">
        <f t="shared" si="0"/>
        <v>5</v>
      </c>
      <c r="F42" s="2" t="s">
        <v>74</v>
      </c>
      <c r="G42" s="2" t="s">
        <v>53</v>
      </c>
      <c r="H42" s="4">
        <v>1</v>
      </c>
      <c r="I42" s="4">
        <v>1</v>
      </c>
      <c r="J42" s="4">
        <v>0</v>
      </c>
      <c r="L42" s="4">
        <v>0</v>
      </c>
      <c r="M42" s="2" t="s">
        <v>55</v>
      </c>
      <c r="N42" s="2" t="s">
        <v>56</v>
      </c>
      <c r="O42" s="2" t="s">
        <v>57</v>
      </c>
      <c r="P42" s="2" t="s">
        <v>106</v>
      </c>
      <c r="Q42" s="2" t="s">
        <v>107</v>
      </c>
      <c r="R42" s="2" t="s">
        <v>432</v>
      </c>
      <c r="S42" s="2" t="s">
        <v>433</v>
      </c>
      <c r="V42" s="2" t="s">
        <v>434</v>
      </c>
      <c r="W42" s="2" t="s">
        <v>435</v>
      </c>
      <c r="Y42" s="2" t="s">
        <v>64</v>
      </c>
      <c r="Z42" s="2" t="s">
        <v>65</v>
      </c>
      <c r="AA42" s="2" t="s">
        <v>66</v>
      </c>
      <c r="AC42" s="2" t="s">
        <v>67</v>
      </c>
      <c r="AD42" s="2" t="s">
        <v>68</v>
      </c>
      <c r="AE42" s="2" t="s">
        <v>69</v>
      </c>
      <c r="AF42" s="2" t="s">
        <v>70</v>
      </c>
      <c r="AG42" s="2" t="s">
        <v>106</v>
      </c>
      <c r="AK42" s="2" t="s">
        <v>436</v>
      </c>
      <c r="AM42" s="2" t="s">
        <v>72</v>
      </c>
      <c r="AN42" s="2" t="s">
        <v>100</v>
      </c>
      <c r="AP42" s="2" t="s">
        <v>113</v>
      </c>
      <c r="AT42" s="2" t="s">
        <v>114</v>
      </c>
      <c r="AU42" s="2" t="s">
        <v>75</v>
      </c>
      <c r="AW42" s="2" t="s">
        <v>437</v>
      </c>
      <c r="AZ42" s="2" t="s">
        <v>116</v>
      </c>
    </row>
    <row r="43" spans="1:52" s="3" customFormat="1" x14ac:dyDescent="0.35">
      <c r="A43" s="2" t="s">
        <v>438</v>
      </c>
      <c r="B43" s="4">
        <v>250080</v>
      </c>
      <c r="C43" s="2" t="s">
        <v>439</v>
      </c>
      <c r="D43" s="2">
        <f t="shared" si="0"/>
        <v>5</v>
      </c>
      <c r="F43" s="2" t="s">
        <v>74</v>
      </c>
      <c r="G43" s="2" t="s">
        <v>53</v>
      </c>
      <c r="H43" s="4">
        <v>1</v>
      </c>
      <c r="I43" s="4">
        <v>1</v>
      </c>
      <c r="J43" s="4">
        <v>0</v>
      </c>
      <c r="L43" s="4">
        <v>0</v>
      </c>
      <c r="M43" s="2" t="s">
        <v>55</v>
      </c>
      <c r="N43" s="2" t="s">
        <v>56</v>
      </c>
      <c r="O43" s="2" t="s">
        <v>57</v>
      </c>
      <c r="P43" s="2" t="s">
        <v>106</v>
      </c>
      <c r="Q43" s="2" t="s">
        <v>107</v>
      </c>
      <c r="R43" s="2" t="s">
        <v>440</v>
      </c>
      <c r="S43" s="2" t="s">
        <v>441</v>
      </c>
      <c r="V43" s="2" t="s">
        <v>442</v>
      </c>
      <c r="W43" s="2" t="s">
        <v>443</v>
      </c>
      <c r="Y43" s="2" t="s">
        <v>64</v>
      </c>
      <c r="Z43" s="2" t="s">
        <v>205</v>
      </c>
      <c r="AA43" s="2" t="s">
        <v>66</v>
      </c>
      <c r="AC43" s="2" t="s">
        <v>67</v>
      </c>
      <c r="AD43" s="2" t="s">
        <v>68</v>
      </c>
      <c r="AE43" s="2" t="s">
        <v>69</v>
      </c>
      <c r="AF43" s="2" t="s">
        <v>70</v>
      </c>
      <c r="AG43" s="2" t="s">
        <v>106</v>
      </c>
      <c r="AK43" s="2" t="s">
        <v>444</v>
      </c>
      <c r="AM43" s="2" t="s">
        <v>72</v>
      </c>
      <c r="AN43" s="2" t="s">
        <v>403</v>
      </c>
      <c r="AP43" s="2" t="s">
        <v>113</v>
      </c>
      <c r="AT43" s="2" t="s">
        <v>114</v>
      </c>
      <c r="AU43" s="2" t="s">
        <v>75</v>
      </c>
      <c r="AW43" s="2" t="s">
        <v>445</v>
      </c>
      <c r="AZ43" s="2" t="s">
        <v>116</v>
      </c>
    </row>
    <row r="44" spans="1:52" s="3" customFormat="1" x14ac:dyDescent="0.35">
      <c r="A44" s="2" t="s">
        <v>446</v>
      </c>
      <c r="B44" s="4">
        <v>250078</v>
      </c>
      <c r="C44" s="2" t="s">
        <v>447</v>
      </c>
      <c r="D44" s="2">
        <f t="shared" si="0"/>
        <v>5</v>
      </c>
      <c r="F44" s="2" t="s">
        <v>74</v>
      </c>
      <c r="G44" s="2" t="s">
        <v>53</v>
      </c>
      <c r="H44" s="4">
        <v>1</v>
      </c>
      <c r="I44" s="4">
        <v>1</v>
      </c>
      <c r="J44" s="4">
        <v>0</v>
      </c>
      <c r="L44" s="4">
        <v>0</v>
      </c>
      <c r="M44" s="2" t="s">
        <v>55</v>
      </c>
      <c r="N44" s="2" t="s">
        <v>56</v>
      </c>
      <c r="O44" s="2" t="s">
        <v>57</v>
      </c>
      <c r="P44" s="2" t="s">
        <v>106</v>
      </c>
      <c r="Q44" s="2" t="s">
        <v>107</v>
      </c>
      <c r="R44" s="2" t="s">
        <v>448</v>
      </c>
      <c r="S44" s="2" t="s">
        <v>449</v>
      </c>
      <c r="V44" s="2" t="s">
        <v>450</v>
      </c>
      <c r="W44" s="2" t="s">
        <v>451</v>
      </c>
      <c r="Y44" s="2" t="s">
        <v>64</v>
      </c>
      <c r="Z44" s="2" t="s">
        <v>205</v>
      </c>
      <c r="AA44" s="2" t="s">
        <v>66</v>
      </c>
      <c r="AC44" s="2" t="s">
        <v>67</v>
      </c>
      <c r="AD44" s="2" t="s">
        <v>68</v>
      </c>
      <c r="AE44" s="2" t="s">
        <v>69</v>
      </c>
      <c r="AF44" s="2" t="s">
        <v>70</v>
      </c>
      <c r="AG44" s="2" t="s">
        <v>106</v>
      </c>
      <c r="AK44" s="2" t="s">
        <v>452</v>
      </c>
      <c r="AM44" s="2" t="s">
        <v>72</v>
      </c>
      <c r="AN44" s="2" t="s">
        <v>73</v>
      </c>
      <c r="AP44" s="2" t="s">
        <v>113</v>
      </c>
      <c r="AT44" s="2" t="s">
        <v>114</v>
      </c>
      <c r="AU44" s="2" t="s">
        <v>75</v>
      </c>
      <c r="AV44" s="2" t="s">
        <v>453</v>
      </c>
      <c r="AW44" s="2" t="s">
        <v>454</v>
      </c>
      <c r="AZ44" s="2" t="s">
        <v>116</v>
      </c>
    </row>
    <row r="45" spans="1:52" s="3" customFormat="1" x14ac:dyDescent="0.35">
      <c r="A45" s="2" t="s">
        <v>455</v>
      </c>
      <c r="B45" s="4">
        <v>249989</v>
      </c>
      <c r="C45" s="2" t="s">
        <v>456</v>
      </c>
      <c r="D45" s="2">
        <f t="shared" si="0"/>
        <v>5</v>
      </c>
      <c r="F45" s="2" t="s">
        <v>74</v>
      </c>
      <c r="G45" s="2" t="s">
        <v>53</v>
      </c>
      <c r="H45" s="4">
        <v>4</v>
      </c>
      <c r="I45" s="4">
        <v>1</v>
      </c>
      <c r="J45" s="5">
        <v>62000</v>
      </c>
      <c r="L45" s="5">
        <v>58187</v>
      </c>
      <c r="M45" s="2" t="s">
        <v>55</v>
      </c>
      <c r="N45" s="2" t="s">
        <v>458</v>
      </c>
      <c r="O45" s="2" t="s">
        <v>459</v>
      </c>
      <c r="P45" s="2" t="s">
        <v>460</v>
      </c>
      <c r="Q45" s="2" t="s">
        <v>461</v>
      </c>
      <c r="R45" s="2" t="s">
        <v>462</v>
      </c>
      <c r="T45" s="2" t="s">
        <v>463</v>
      </c>
      <c r="U45" s="2" t="s">
        <v>464</v>
      </c>
      <c r="V45" s="2" t="s">
        <v>465</v>
      </c>
      <c r="W45" s="2" t="s">
        <v>466</v>
      </c>
      <c r="X45" s="2" t="s">
        <v>466</v>
      </c>
      <c r="Y45" s="2" t="s">
        <v>467</v>
      </c>
      <c r="Z45" s="2" t="s">
        <v>468</v>
      </c>
      <c r="AA45" s="2" t="s">
        <v>469</v>
      </c>
      <c r="AC45" s="2" t="s">
        <v>470</v>
      </c>
      <c r="AD45" s="2" t="s">
        <v>68</v>
      </c>
      <c r="AE45" s="2" t="s">
        <v>69</v>
      </c>
      <c r="AF45" s="2" t="s">
        <v>70</v>
      </c>
      <c r="AG45" s="2" t="s">
        <v>471</v>
      </c>
      <c r="AK45" s="2" t="s">
        <v>472</v>
      </c>
      <c r="AM45" s="2" t="s">
        <v>72</v>
      </c>
      <c r="AN45" s="2" t="s">
        <v>473</v>
      </c>
      <c r="AP45" s="2" t="s">
        <v>474</v>
      </c>
      <c r="AU45" s="2" t="s">
        <v>75</v>
      </c>
      <c r="AV45" s="2" t="s">
        <v>475</v>
      </c>
      <c r="AW45" s="2" t="s">
        <v>476</v>
      </c>
      <c r="AX45" s="2" t="s">
        <v>477</v>
      </c>
      <c r="AZ45" s="2" t="s">
        <v>478</v>
      </c>
    </row>
    <row r="46" spans="1:52" s="3" customFormat="1" x14ac:dyDescent="0.35">
      <c r="A46" s="2" t="s">
        <v>479</v>
      </c>
      <c r="B46" s="4">
        <v>249858</v>
      </c>
      <c r="C46" s="2" t="s">
        <v>480</v>
      </c>
      <c r="D46" s="2">
        <f t="shared" si="0"/>
        <v>5</v>
      </c>
      <c r="F46" s="2" t="s">
        <v>481</v>
      </c>
      <c r="G46" s="2" t="s">
        <v>53</v>
      </c>
      <c r="H46" s="4">
        <v>1</v>
      </c>
      <c r="I46" s="4">
        <v>10</v>
      </c>
      <c r="J46" s="5">
        <v>3000</v>
      </c>
      <c r="K46" s="2" t="s">
        <v>80</v>
      </c>
      <c r="L46" s="5">
        <v>3000</v>
      </c>
      <c r="M46" s="2" t="s">
        <v>483</v>
      </c>
      <c r="N46" s="2" t="s">
        <v>82</v>
      </c>
      <c r="O46" s="2" t="s">
        <v>484</v>
      </c>
      <c r="P46" s="2" t="s">
        <v>58</v>
      </c>
      <c r="Q46" s="2" t="s">
        <v>59</v>
      </c>
      <c r="R46" s="2" t="s">
        <v>485</v>
      </c>
      <c r="S46" s="2" t="s">
        <v>486</v>
      </c>
      <c r="V46" s="2" t="s">
        <v>487</v>
      </c>
      <c r="W46" s="2" t="s">
        <v>488</v>
      </c>
      <c r="Y46" s="2" t="s">
        <v>489</v>
      </c>
      <c r="Z46" s="2" t="s">
        <v>490</v>
      </c>
      <c r="AA46" s="2" t="s">
        <v>491</v>
      </c>
      <c r="AB46" s="2" t="s">
        <v>492</v>
      </c>
      <c r="AC46" s="2" t="s">
        <v>493</v>
      </c>
      <c r="AD46" s="2" t="s">
        <v>68</v>
      </c>
      <c r="AE46" s="2" t="s">
        <v>69</v>
      </c>
      <c r="AF46" s="2" t="s">
        <v>70</v>
      </c>
      <c r="AK46" s="2" t="s">
        <v>494</v>
      </c>
      <c r="AL46" s="2" t="s">
        <v>495</v>
      </c>
      <c r="AM46" s="2" t="s">
        <v>72</v>
      </c>
      <c r="AN46" s="2" t="s">
        <v>100</v>
      </c>
      <c r="AP46" s="2" t="s">
        <v>74</v>
      </c>
      <c r="AU46" s="2" t="s">
        <v>75</v>
      </c>
      <c r="AV46" s="2" t="s">
        <v>481</v>
      </c>
      <c r="AW46" s="2" t="s">
        <v>496</v>
      </c>
      <c r="AZ46" s="2" t="s">
        <v>77</v>
      </c>
    </row>
    <row r="47" spans="1:52" s="3" customFormat="1" x14ac:dyDescent="0.35">
      <c r="A47" s="2" t="s">
        <v>497</v>
      </c>
      <c r="B47" s="4">
        <v>249851</v>
      </c>
      <c r="C47" s="2" t="s">
        <v>498</v>
      </c>
      <c r="D47" s="2">
        <f t="shared" si="0"/>
        <v>5</v>
      </c>
      <c r="G47" s="2" t="s">
        <v>53</v>
      </c>
      <c r="H47" s="4">
        <v>1</v>
      </c>
      <c r="I47" s="4">
        <v>1</v>
      </c>
      <c r="J47" s="4">
        <v>0</v>
      </c>
      <c r="L47" s="4">
        <v>0</v>
      </c>
      <c r="M47" s="2" t="s">
        <v>55</v>
      </c>
      <c r="N47" s="2" t="s">
        <v>56</v>
      </c>
      <c r="O47" s="2" t="s">
        <v>57</v>
      </c>
      <c r="P47" s="2" t="s">
        <v>499</v>
      </c>
      <c r="Q47" s="2" t="s">
        <v>500</v>
      </c>
      <c r="R47" s="2" t="s">
        <v>501</v>
      </c>
      <c r="S47" s="2" t="s">
        <v>502</v>
      </c>
      <c r="V47" s="2" t="s">
        <v>503</v>
      </c>
      <c r="W47" s="2" t="s">
        <v>504</v>
      </c>
      <c r="Y47" s="2" t="s">
        <v>64</v>
      </c>
      <c r="Z47" s="2" t="s">
        <v>65</v>
      </c>
      <c r="AA47" s="2" t="s">
        <v>66</v>
      </c>
      <c r="AC47" s="2" t="s">
        <v>67</v>
      </c>
      <c r="AD47" s="2" t="s">
        <v>68</v>
      </c>
      <c r="AE47" s="2" t="s">
        <v>69</v>
      </c>
      <c r="AF47" s="2" t="s">
        <v>70</v>
      </c>
      <c r="AG47" s="2" t="s">
        <v>499</v>
      </c>
      <c r="AK47" s="2" t="s">
        <v>505</v>
      </c>
      <c r="AM47" s="2" t="s">
        <v>72</v>
      </c>
      <c r="AN47" s="2" t="s">
        <v>249</v>
      </c>
      <c r="AP47" s="2" t="s">
        <v>74</v>
      </c>
      <c r="AU47" s="2" t="s">
        <v>75</v>
      </c>
      <c r="AW47" s="2" t="s">
        <v>506</v>
      </c>
      <c r="AZ47" s="2" t="s">
        <v>116</v>
      </c>
    </row>
    <row r="48" spans="1:52" s="3" customFormat="1" x14ac:dyDescent="0.35">
      <c r="A48" s="2" t="s">
        <v>507</v>
      </c>
      <c r="B48" s="4">
        <v>249850</v>
      </c>
      <c r="C48" s="2" t="s">
        <v>508</v>
      </c>
      <c r="D48" s="2">
        <f t="shared" si="0"/>
        <v>5</v>
      </c>
      <c r="F48" s="2" t="s">
        <v>481</v>
      </c>
      <c r="G48" s="2" t="s">
        <v>53</v>
      </c>
      <c r="H48" s="4">
        <v>1</v>
      </c>
      <c r="I48" s="4">
        <v>1</v>
      </c>
      <c r="J48" s="4">
        <v>0</v>
      </c>
      <c r="L48" s="4">
        <v>0</v>
      </c>
      <c r="M48" s="2" t="s">
        <v>55</v>
      </c>
      <c r="N48" s="2" t="s">
        <v>56</v>
      </c>
      <c r="O48" s="2" t="s">
        <v>57</v>
      </c>
      <c r="P48" s="2" t="s">
        <v>509</v>
      </c>
      <c r="Q48" s="2" t="s">
        <v>510</v>
      </c>
      <c r="R48" s="2" t="s">
        <v>511</v>
      </c>
      <c r="S48" s="2" t="s">
        <v>512</v>
      </c>
      <c r="V48" s="2" t="s">
        <v>513</v>
      </c>
      <c r="W48" s="2" t="s">
        <v>334</v>
      </c>
      <c r="Y48" s="2" t="s">
        <v>64</v>
      </c>
      <c r="Z48" s="2" t="s">
        <v>65</v>
      </c>
      <c r="AA48" s="2" t="s">
        <v>66</v>
      </c>
      <c r="AC48" s="2" t="s">
        <v>67</v>
      </c>
      <c r="AD48" s="2" t="s">
        <v>68</v>
      </c>
      <c r="AE48" s="2" t="s">
        <v>69</v>
      </c>
      <c r="AF48" s="2" t="s">
        <v>70</v>
      </c>
      <c r="AG48" s="2" t="s">
        <v>509</v>
      </c>
      <c r="AK48" s="2" t="s">
        <v>514</v>
      </c>
      <c r="AM48" s="2" t="s">
        <v>72</v>
      </c>
      <c r="AN48" s="2" t="s">
        <v>73</v>
      </c>
      <c r="AP48" s="2" t="s">
        <v>74</v>
      </c>
      <c r="AU48" s="2" t="s">
        <v>75</v>
      </c>
      <c r="AV48" s="2" t="s">
        <v>515</v>
      </c>
      <c r="AW48" s="2" t="s">
        <v>516</v>
      </c>
      <c r="AZ48" s="2" t="s">
        <v>116</v>
      </c>
    </row>
    <row r="49" spans="1:52" s="3" customFormat="1" x14ac:dyDescent="0.35">
      <c r="A49" s="2" t="s">
        <v>517</v>
      </c>
      <c r="B49" s="4">
        <v>249848</v>
      </c>
      <c r="C49" s="2" t="s">
        <v>518</v>
      </c>
      <c r="D49" s="2">
        <f t="shared" si="0"/>
        <v>5</v>
      </c>
      <c r="F49" s="2" t="s">
        <v>481</v>
      </c>
      <c r="G49" s="2" t="s">
        <v>53</v>
      </c>
      <c r="H49" s="4">
        <v>1</v>
      </c>
      <c r="I49" s="4">
        <v>1</v>
      </c>
      <c r="J49" s="4">
        <v>0</v>
      </c>
      <c r="L49" s="4">
        <v>0</v>
      </c>
      <c r="M49" s="2" t="s">
        <v>55</v>
      </c>
      <c r="N49" s="2" t="s">
        <v>56</v>
      </c>
      <c r="O49" s="2" t="s">
        <v>57</v>
      </c>
      <c r="P49" s="2" t="s">
        <v>509</v>
      </c>
      <c r="Q49" s="2" t="s">
        <v>510</v>
      </c>
      <c r="R49" s="2" t="s">
        <v>519</v>
      </c>
      <c r="S49" s="2" t="s">
        <v>520</v>
      </c>
      <c r="V49" s="2" t="s">
        <v>521</v>
      </c>
      <c r="W49" s="2" t="s">
        <v>522</v>
      </c>
      <c r="Y49" s="2" t="s">
        <v>64</v>
      </c>
      <c r="Z49" s="2" t="s">
        <v>65</v>
      </c>
      <c r="AA49" s="2" t="s">
        <v>66</v>
      </c>
      <c r="AC49" s="2" t="s">
        <v>67</v>
      </c>
      <c r="AD49" s="2" t="s">
        <v>68</v>
      </c>
      <c r="AE49" s="2" t="s">
        <v>69</v>
      </c>
      <c r="AF49" s="2" t="s">
        <v>70</v>
      </c>
      <c r="AG49" s="2" t="s">
        <v>509</v>
      </c>
      <c r="AK49" s="2" t="s">
        <v>523</v>
      </c>
      <c r="AM49" s="2" t="s">
        <v>72</v>
      </c>
      <c r="AN49" s="2" t="s">
        <v>283</v>
      </c>
      <c r="AP49" s="2" t="s">
        <v>74</v>
      </c>
      <c r="AU49" s="2" t="s">
        <v>75</v>
      </c>
      <c r="AW49" s="2" t="s">
        <v>524</v>
      </c>
      <c r="AZ49" s="2" t="s">
        <v>116</v>
      </c>
    </row>
    <row r="50" spans="1:52" s="3" customFormat="1" x14ac:dyDescent="0.35">
      <c r="A50" s="2" t="s">
        <v>525</v>
      </c>
      <c r="B50" s="4">
        <v>249847</v>
      </c>
      <c r="C50" s="2" t="s">
        <v>526</v>
      </c>
      <c r="D50" s="2">
        <f t="shared" si="0"/>
        <v>5</v>
      </c>
      <c r="F50" s="2" t="s">
        <v>481</v>
      </c>
      <c r="G50" s="2" t="s">
        <v>53</v>
      </c>
      <c r="H50" s="4">
        <v>1</v>
      </c>
      <c r="I50" s="4">
        <v>1</v>
      </c>
      <c r="J50" s="4">
        <v>0</v>
      </c>
      <c r="L50" s="4">
        <v>0</v>
      </c>
      <c r="M50" s="2" t="s">
        <v>55</v>
      </c>
      <c r="N50" s="2" t="s">
        <v>56</v>
      </c>
      <c r="O50" s="2" t="s">
        <v>57</v>
      </c>
      <c r="P50" s="2" t="s">
        <v>509</v>
      </c>
      <c r="Q50" s="2" t="s">
        <v>510</v>
      </c>
      <c r="R50" s="2" t="s">
        <v>527</v>
      </c>
      <c r="S50" s="2" t="s">
        <v>528</v>
      </c>
      <c r="V50" s="2" t="s">
        <v>529</v>
      </c>
      <c r="W50" s="2" t="s">
        <v>530</v>
      </c>
      <c r="Y50" s="2" t="s">
        <v>64</v>
      </c>
      <c r="Z50" s="2" t="s">
        <v>65</v>
      </c>
      <c r="AA50" s="2" t="s">
        <v>66</v>
      </c>
      <c r="AC50" s="2" t="s">
        <v>67</v>
      </c>
      <c r="AD50" s="2" t="s">
        <v>68</v>
      </c>
      <c r="AE50" s="2" t="s">
        <v>69</v>
      </c>
      <c r="AF50" s="2" t="s">
        <v>70</v>
      </c>
      <c r="AG50" s="2" t="s">
        <v>509</v>
      </c>
      <c r="AK50" s="2" t="s">
        <v>531</v>
      </c>
      <c r="AM50" s="2" t="s">
        <v>72</v>
      </c>
      <c r="AN50" s="2" t="s">
        <v>283</v>
      </c>
      <c r="AP50" s="2" t="s">
        <v>74</v>
      </c>
      <c r="AU50" s="2" t="s">
        <v>75</v>
      </c>
      <c r="AW50" s="2" t="s">
        <v>532</v>
      </c>
      <c r="AZ50" s="2" t="s">
        <v>116</v>
      </c>
    </row>
    <row r="51" spans="1:52" s="3" customFormat="1" x14ac:dyDescent="0.35">
      <c r="A51" s="2" t="s">
        <v>533</v>
      </c>
      <c r="B51" s="4">
        <v>249845</v>
      </c>
      <c r="C51" s="2" t="s">
        <v>534</v>
      </c>
      <c r="D51" s="2">
        <f t="shared" si="0"/>
        <v>5</v>
      </c>
      <c r="F51" s="2" t="s">
        <v>481</v>
      </c>
      <c r="G51" s="2" t="s">
        <v>53</v>
      </c>
      <c r="H51" s="4">
        <v>1</v>
      </c>
      <c r="I51" s="4">
        <v>1</v>
      </c>
      <c r="J51" s="4">
        <v>0</v>
      </c>
      <c r="L51" s="4">
        <v>0</v>
      </c>
      <c r="M51" s="2" t="s">
        <v>55</v>
      </c>
      <c r="N51" s="2" t="s">
        <v>56</v>
      </c>
      <c r="O51" s="2" t="s">
        <v>57</v>
      </c>
      <c r="P51" s="2" t="s">
        <v>509</v>
      </c>
      <c r="Q51" s="2" t="s">
        <v>510</v>
      </c>
      <c r="R51" s="2" t="s">
        <v>535</v>
      </c>
      <c r="S51" s="2" t="s">
        <v>536</v>
      </c>
      <c r="V51" s="2" t="s">
        <v>537</v>
      </c>
      <c r="W51" s="2" t="s">
        <v>538</v>
      </c>
      <c r="Y51" s="2" t="s">
        <v>64</v>
      </c>
      <c r="Z51" s="2" t="s">
        <v>65</v>
      </c>
      <c r="AA51" s="2" t="s">
        <v>66</v>
      </c>
      <c r="AC51" s="2" t="s">
        <v>67</v>
      </c>
      <c r="AD51" s="2" t="s">
        <v>68</v>
      </c>
      <c r="AE51" s="2" t="s">
        <v>69</v>
      </c>
      <c r="AF51" s="2" t="s">
        <v>70</v>
      </c>
      <c r="AG51" s="2" t="s">
        <v>509</v>
      </c>
      <c r="AK51" s="2" t="s">
        <v>539</v>
      </c>
      <c r="AM51" s="2" t="s">
        <v>72</v>
      </c>
      <c r="AN51" s="2" t="s">
        <v>283</v>
      </c>
      <c r="AP51" s="2" t="s">
        <v>74</v>
      </c>
      <c r="AU51" s="2" t="s">
        <v>75</v>
      </c>
      <c r="AV51" s="2" t="s">
        <v>540</v>
      </c>
      <c r="AW51" s="2" t="s">
        <v>541</v>
      </c>
      <c r="AZ51" s="2" t="s">
        <v>116</v>
      </c>
    </row>
    <row r="52" spans="1:52" s="3" customFormat="1" x14ac:dyDescent="0.35">
      <c r="A52" s="2" t="s">
        <v>542</v>
      </c>
      <c r="B52" s="4">
        <v>249842</v>
      </c>
      <c r="C52" s="2" t="s">
        <v>543</v>
      </c>
      <c r="D52" s="2">
        <f t="shared" si="0"/>
        <v>5</v>
      </c>
      <c r="G52" s="2" t="s">
        <v>53</v>
      </c>
      <c r="H52" s="4">
        <v>1</v>
      </c>
      <c r="I52" s="4">
        <v>1</v>
      </c>
      <c r="J52" s="4">
        <v>0</v>
      </c>
      <c r="L52" s="4">
        <v>0</v>
      </c>
      <c r="M52" s="2" t="s">
        <v>55</v>
      </c>
      <c r="N52" s="2" t="s">
        <v>56</v>
      </c>
      <c r="O52" s="2" t="s">
        <v>57</v>
      </c>
      <c r="P52" s="2" t="s">
        <v>499</v>
      </c>
      <c r="Q52" s="2" t="s">
        <v>500</v>
      </c>
      <c r="R52" s="2" t="s">
        <v>253</v>
      </c>
      <c r="S52" s="2" t="s">
        <v>254</v>
      </c>
      <c r="V52" s="2" t="s">
        <v>544</v>
      </c>
      <c r="W52" s="2" t="s">
        <v>256</v>
      </c>
      <c r="Y52" s="2" t="s">
        <v>64</v>
      </c>
      <c r="Z52" s="2" t="s">
        <v>65</v>
      </c>
      <c r="AA52" s="2" t="s">
        <v>66</v>
      </c>
      <c r="AC52" s="2" t="s">
        <v>67</v>
      </c>
      <c r="AD52" s="2" t="s">
        <v>68</v>
      </c>
      <c r="AE52" s="2" t="s">
        <v>69</v>
      </c>
      <c r="AF52" s="2" t="s">
        <v>70</v>
      </c>
      <c r="AG52" s="2" t="s">
        <v>499</v>
      </c>
      <c r="AK52" s="2" t="s">
        <v>545</v>
      </c>
      <c r="AM52" s="2" t="s">
        <v>72</v>
      </c>
      <c r="AN52" s="2" t="s">
        <v>100</v>
      </c>
      <c r="AP52" s="2" t="s">
        <v>74</v>
      </c>
      <c r="AU52" s="2" t="s">
        <v>75</v>
      </c>
      <c r="AW52" s="2" t="s">
        <v>258</v>
      </c>
      <c r="AZ52" s="2" t="s">
        <v>116</v>
      </c>
    </row>
    <row r="53" spans="1:52" s="3" customFormat="1" x14ac:dyDescent="0.35">
      <c r="A53" s="2" t="s">
        <v>546</v>
      </c>
      <c r="B53" s="4">
        <v>249841</v>
      </c>
      <c r="C53" s="2" t="s">
        <v>547</v>
      </c>
      <c r="D53" s="2">
        <f t="shared" si="0"/>
        <v>5</v>
      </c>
      <c r="F53" s="2" t="s">
        <v>481</v>
      </c>
      <c r="G53" s="2" t="s">
        <v>53</v>
      </c>
      <c r="H53" s="4">
        <v>1</v>
      </c>
      <c r="I53" s="4">
        <v>1</v>
      </c>
      <c r="J53" s="4">
        <v>0</v>
      </c>
      <c r="L53" s="4">
        <v>0</v>
      </c>
      <c r="M53" s="2" t="s">
        <v>55</v>
      </c>
      <c r="N53" s="2" t="s">
        <v>56</v>
      </c>
      <c r="O53" s="2" t="s">
        <v>57</v>
      </c>
      <c r="P53" s="2" t="s">
        <v>509</v>
      </c>
      <c r="Q53" s="2" t="s">
        <v>510</v>
      </c>
      <c r="R53" s="2" t="s">
        <v>548</v>
      </c>
      <c r="S53" s="2" t="s">
        <v>549</v>
      </c>
      <c r="V53" s="2" t="s">
        <v>550</v>
      </c>
      <c r="W53" s="2" t="s">
        <v>551</v>
      </c>
      <c r="Y53" s="2" t="s">
        <v>64</v>
      </c>
      <c r="Z53" s="2" t="s">
        <v>65</v>
      </c>
      <c r="AA53" s="2" t="s">
        <v>66</v>
      </c>
      <c r="AC53" s="2" t="s">
        <v>67</v>
      </c>
      <c r="AD53" s="2" t="s">
        <v>68</v>
      </c>
      <c r="AE53" s="2" t="s">
        <v>69</v>
      </c>
      <c r="AF53" s="2" t="s">
        <v>70</v>
      </c>
      <c r="AG53" s="2" t="s">
        <v>509</v>
      </c>
      <c r="AK53" s="2" t="s">
        <v>552</v>
      </c>
      <c r="AM53" s="2" t="s">
        <v>72</v>
      </c>
      <c r="AN53" s="2" t="s">
        <v>73</v>
      </c>
      <c r="AP53" s="2" t="s">
        <v>74</v>
      </c>
      <c r="AU53" s="2" t="s">
        <v>75</v>
      </c>
      <c r="AV53" s="2" t="s">
        <v>553</v>
      </c>
      <c r="AW53" s="2" t="s">
        <v>554</v>
      </c>
      <c r="AZ53" s="2" t="s">
        <v>116</v>
      </c>
    </row>
    <row r="54" spans="1:52" s="3" customFormat="1" x14ac:dyDescent="0.35">
      <c r="A54" s="2" t="s">
        <v>555</v>
      </c>
      <c r="B54" s="4">
        <v>249840</v>
      </c>
      <c r="C54" s="2" t="s">
        <v>556</v>
      </c>
      <c r="D54" s="2">
        <f t="shared" si="0"/>
        <v>5</v>
      </c>
      <c r="F54" s="2" t="s">
        <v>481</v>
      </c>
      <c r="G54" s="2" t="s">
        <v>53</v>
      </c>
      <c r="H54" s="4">
        <v>1</v>
      </c>
      <c r="I54" s="4">
        <v>1</v>
      </c>
      <c r="J54" s="4">
        <v>0</v>
      </c>
      <c r="L54" s="4">
        <v>0</v>
      </c>
      <c r="M54" s="2" t="s">
        <v>55</v>
      </c>
      <c r="N54" s="2" t="s">
        <v>56</v>
      </c>
      <c r="O54" s="2" t="s">
        <v>57</v>
      </c>
      <c r="P54" s="2" t="s">
        <v>509</v>
      </c>
      <c r="Q54" s="2" t="s">
        <v>510</v>
      </c>
      <c r="R54" s="2" t="s">
        <v>557</v>
      </c>
      <c r="S54" s="2" t="s">
        <v>558</v>
      </c>
      <c r="V54" s="2" t="s">
        <v>559</v>
      </c>
      <c r="W54" s="2" t="s">
        <v>560</v>
      </c>
      <c r="Y54" s="2" t="s">
        <v>64</v>
      </c>
      <c r="Z54" s="2" t="s">
        <v>65</v>
      </c>
      <c r="AA54" s="2" t="s">
        <v>66</v>
      </c>
      <c r="AC54" s="2" t="s">
        <v>67</v>
      </c>
      <c r="AD54" s="2" t="s">
        <v>68</v>
      </c>
      <c r="AE54" s="2" t="s">
        <v>69</v>
      </c>
      <c r="AF54" s="2" t="s">
        <v>70</v>
      </c>
      <c r="AG54" s="2" t="s">
        <v>509</v>
      </c>
      <c r="AK54" s="2" t="s">
        <v>561</v>
      </c>
      <c r="AM54" s="2" t="s">
        <v>72</v>
      </c>
      <c r="AN54" s="2" t="s">
        <v>73</v>
      </c>
      <c r="AP54" s="2" t="s">
        <v>74</v>
      </c>
      <c r="AU54" s="2" t="s">
        <v>75</v>
      </c>
      <c r="AV54" s="2" t="s">
        <v>562</v>
      </c>
      <c r="AW54" s="2" t="s">
        <v>563</v>
      </c>
      <c r="AZ54" s="2" t="s">
        <v>116</v>
      </c>
    </row>
    <row r="55" spans="1:52" s="3" customFormat="1" x14ac:dyDescent="0.35">
      <c r="A55" s="2" t="s">
        <v>564</v>
      </c>
      <c r="B55" s="4">
        <v>249838</v>
      </c>
      <c r="C55" s="2" t="s">
        <v>565</v>
      </c>
      <c r="D55" s="2">
        <f t="shared" si="0"/>
        <v>5</v>
      </c>
      <c r="F55" s="2" t="s">
        <v>481</v>
      </c>
      <c r="G55" s="2" t="s">
        <v>53</v>
      </c>
      <c r="H55" s="4">
        <v>1</v>
      </c>
      <c r="I55" s="4">
        <v>1</v>
      </c>
      <c r="J55" s="4">
        <v>0</v>
      </c>
      <c r="L55" s="4">
        <v>0</v>
      </c>
      <c r="M55" s="2" t="s">
        <v>55</v>
      </c>
      <c r="N55" s="2" t="s">
        <v>56</v>
      </c>
      <c r="O55" s="2" t="s">
        <v>57</v>
      </c>
      <c r="P55" s="2" t="s">
        <v>509</v>
      </c>
      <c r="Q55" s="2" t="s">
        <v>510</v>
      </c>
      <c r="R55" s="2" t="s">
        <v>566</v>
      </c>
      <c r="S55" s="2" t="s">
        <v>567</v>
      </c>
      <c r="V55" s="2" t="s">
        <v>568</v>
      </c>
      <c r="W55" s="2" t="s">
        <v>569</v>
      </c>
      <c r="Y55" s="2" t="s">
        <v>64</v>
      </c>
      <c r="Z55" s="2" t="s">
        <v>65</v>
      </c>
      <c r="AA55" s="2" t="s">
        <v>66</v>
      </c>
      <c r="AC55" s="2" t="s">
        <v>67</v>
      </c>
      <c r="AD55" s="2" t="s">
        <v>68</v>
      </c>
      <c r="AE55" s="2" t="s">
        <v>69</v>
      </c>
      <c r="AF55" s="2" t="s">
        <v>70</v>
      </c>
      <c r="AG55" s="2" t="s">
        <v>509</v>
      </c>
      <c r="AK55" s="2" t="s">
        <v>570</v>
      </c>
      <c r="AM55" s="2" t="s">
        <v>72</v>
      </c>
      <c r="AN55" s="2" t="s">
        <v>73</v>
      </c>
      <c r="AP55" s="2" t="s">
        <v>74</v>
      </c>
      <c r="AU55" s="2" t="s">
        <v>75</v>
      </c>
      <c r="AW55" s="2" t="s">
        <v>571</v>
      </c>
      <c r="AZ55" s="2" t="s">
        <v>116</v>
      </c>
    </row>
    <row r="56" spans="1:52" s="3" customFormat="1" x14ac:dyDescent="0.35">
      <c r="A56" s="2" t="s">
        <v>572</v>
      </c>
      <c r="B56" s="4">
        <v>249836</v>
      </c>
      <c r="C56" s="2" t="s">
        <v>573</v>
      </c>
      <c r="D56" s="2">
        <f t="shared" si="0"/>
        <v>5</v>
      </c>
      <c r="G56" s="2" t="s">
        <v>53</v>
      </c>
      <c r="H56" s="4">
        <v>1</v>
      </c>
      <c r="I56" s="4">
        <v>1</v>
      </c>
      <c r="J56" s="4">
        <v>0</v>
      </c>
      <c r="L56" s="4">
        <v>0</v>
      </c>
      <c r="M56" s="2" t="s">
        <v>55</v>
      </c>
      <c r="N56" s="2" t="s">
        <v>56</v>
      </c>
      <c r="O56" s="2" t="s">
        <v>57</v>
      </c>
      <c r="P56" s="2" t="s">
        <v>499</v>
      </c>
      <c r="Q56" s="2" t="s">
        <v>500</v>
      </c>
      <c r="R56" s="2" t="s">
        <v>574</v>
      </c>
      <c r="S56" s="2" t="s">
        <v>575</v>
      </c>
      <c r="V56" s="2" t="s">
        <v>576</v>
      </c>
      <c r="W56" s="2" t="s">
        <v>577</v>
      </c>
      <c r="Y56" s="2" t="s">
        <v>64</v>
      </c>
      <c r="Z56" s="2" t="s">
        <v>65</v>
      </c>
      <c r="AA56" s="2" t="s">
        <v>66</v>
      </c>
      <c r="AC56" s="2" t="s">
        <v>67</v>
      </c>
      <c r="AD56" s="2" t="s">
        <v>68</v>
      </c>
      <c r="AE56" s="2" t="s">
        <v>69</v>
      </c>
      <c r="AF56" s="2" t="s">
        <v>70</v>
      </c>
      <c r="AG56" s="2" t="s">
        <v>499</v>
      </c>
      <c r="AK56" s="2" t="s">
        <v>578</v>
      </c>
      <c r="AM56" s="2" t="s">
        <v>72</v>
      </c>
      <c r="AN56" s="2" t="s">
        <v>100</v>
      </c>
      <c r="AP56" s="2" t="s">
        <v>74</v>
      </c>
      <c r="AU56" s="2" t="s">
        <v>75</v>
      </c>
      <c r="AW56" s="2" t="s">
        <v>579</v>
      </c>
      <c r="AZ56" s="2" t="s">
        <v>116</v>
      </c>
    </row>
    <row r="57" spans="1:52" s="3" customFormat="1" x14ac:dyDescent="0.35">
      <c r="A57" s="2" t="s">
        <v>580</v>
      </c>
      <c r="B57" s="4">
        <v>249834</v>
      </c>
      <c r="C57" s="2" t="s">
        <v>581</v>
      </c>
      <c r="D57" s="2">
        <f t="shared" si="0"/>
        <v>5</v>
      </c>
      <c r="G57" s="2" t="s">
        <v>53</v>
      </c>
      <c r="H57" s="4">
        <v>1</v>
      </c>
      <c r="I57" s="4">
        <v>1</v>
      </c>
      <c r="J57" s="4">
        <v>0</v>
      </c>
      <c r="L57" s="4">
        <v>0</v>
      </c>
      <c r="M57" s="2" t="s">
        <v>55</v>
      </c>
      <c r="N57" s="2" t="s">
        <v>56</v>
      </c>
      <c r="O57" s="2" t="s">
        <v>57</v>
      </c>
      <c r="P57" s="2" t="s">
        <v>499</v>
      </c>
      <c r="Q57" s="2" t="s">
        <v>500</v>
      </c>
      <c r="R57" s="2" t="s">
        <v>582</v>
      </c>
      <c r="S57" s="2" t="s">
        <v>583</v>
      </c>
      <c r="V57" s="2" t="s">
        <v>584</v>
      </c>
      <c r="W57" s="2" t="s">
        <v>585</v>
      </c>
      <c r="Y57" s="2" t="s">
        <v>64</v>
      </c>
      <c r="Z57" s="2" t="s">
        <v>205</v>
      </c>
      <c r="AA57" s="2" t="s">
        <v>66</v>
      </c>
      <c r="AC57" s="2" t="s">
        <v>67</v>
      </c>
      <c r="AD57" s="2" t="s">
        <v>68</v>
      </c>
      <c r="AE57" s="2" t="s">
        <v>69</v>
      </c>
      <c r="AF57" s="2" t="s">
        <v>70</v>
      </c>
      <c r="AG57" s="2" t="s">
        <v>499</v>
      </c>
      <c r="AK57" s="2" t="s">
        <v>586</v>
      </c>
      <c r="AM57" s="2" t="s">
        <v>72</v>
      </c>
      <c r="AN57" s="2" t="s">
        <v>100</v>
      </c>
      <c r="AP57" s="2" t="s">
        <v>74</v>
      </c>
      <c r="AU57" s="2" t="s">
        <v>75</v>
      </c>
      <c r="AW57" s="2" t="s">
        <v>587</v>
      </c>
      <c r="AZ57" s="2" t="s">
        <v>116</v>
      </c>
    </row>
    <row r="58" spans="1:52" s="3" customFormat="1" x14ac:dyDescent="0.35">
      <c r="A58" s="2" t="s">
        <v>588</v>
      </c>
      <c r="B58" s="4">
        <v>249793</v>
      </c>
      <c r="C58" s="2" t="s">
        <v>589</v>
      </c>
      <c r="D58" s="2">
        <f t="shared" si="0"/>
        <v>5</v>
      </c>
      <c r="F58" s="2" t="s">
        <v>481</v>
      </c>
      <c r="G58" s="2" t="s">
        <v>53</v>
      </c>
      <c r="H58" s="4">
        <v>1</v>
      </c>
      <c r="I58" s="4">
        <v>1</v>
      </c>
      <c r="J58" s="4">
        <v>0</v>
      </c>
      <c r="L58" s="4">
        <v>0</v>
      </c>
      <c r="M58" s="2" t="s">
        <v>55</v>
      </c>
      <c r="N58" s="2" t="s">
        <v>56</v>
      </c>
      <c r="O58" s="2" t="s">
        <v>57</v>
      </c>
      <c r="P58" s="2" t="s">
        <v>509</v>
      </c>
      <c r="Q58" s="2" t="s">
        <v>510</v>
      </c>
      <c r="R58" s="2" t="s">
        <v>590</v>
      </c>
      <c r="S58" s="2" t="s">
        <v>591</v>
      </c>
      <c r="V58" s="2" t="s">
        <v>592</v>
      </c>
      <c r="W58" s="2" t="s">
        <v>593</v>
      </c>
      <c r="Y58" s="2" t="s">
        <v>64</v>
      </c>
      <c r="Z58" s="2" t="s">
        <v>205</v>
      </c>
      <c r="AA58" s="2" t="s">
        <v>66</v>
      </c>
      <c r="AC58" s="2" t="s">
        <v>67</v>
      </c>
      <c r="AD58" s="2" t="s">
        <v>68</v>
      </c>
      <c r="AE58" s="2" t="s">
        <v>69</v>
      </c>
      <c r="AF58" s="2" t="s">
        <v>70</v>
      </c>
      <c r="AG58" s="2" t="s">
        <v>509</v>
      </c>
      <c r="AK58" s="2" t="s">
        <v>594</v>
      </c>
      <c r="AM58" s="2" t="s">
        <v>72</v>
      </c>
      <c r="AN58" s="2" t="s">
        <v>595</v>
      </c>
      <c r="AP58" s="2" t="s">
        <v>74</v>
      </c>
      <c r="AU58" s="2" t="s">
        <v>75</v>
      </c>
      <c r="AW58" s="2" t="s">
        <v>596</v>
      </c>
      <c r="AZ58" s="2" t="s">
        <v>116</v>
      </c>
    </row>
    <row r="59" spans="1:52" s="3" customFormat="1" x14ac:dyDescent="0.35">
      <c r="A59" s="2" t="s">
        <v>597</v>
      </c>
      <c r="B59" s="4">
        <v>249792</v>
      </c>
      <c r="C59" s="2" t="s">
        <v>598</v>
      </c>
      <c r="D59" s="2">
        <f t="shared" si="0"/>
        <v>5</v>
      </c>
      <c r="F59" s="2" t="s">
        <v>481</v>
      </c>
      <c r="G59" s="2" t="s">
        <v>53</v>
      </c>
      <c r="H59" s="4">
        <v>1</v>
      </c>
      <c r="I59" s="4">
        <v>1</v>
      </c>
      <c r="J59" s="4">
        <v>0</v>
      </c>
      <c r="L59" s="4">
        <v>0</v>
      </c>
      <c r="M59" s="2" t="s">
        <v>55</v>
      </c>
      <c r="N59" s="2" t="s">
        <v>56</v>
      </c>
      <c r="O59" s="2" t="s">
        <v>57</v>
      </c>
      <c r="P59" s="2" t="s">
        <v>509</v>
      </c>
      <c r="Q59" s="2" t="s">
        <v>510</v>
      </c>
      <c r="R59" s="2" t="s">
        <v>599</v>
      </c>
      <c r="S59" s="2" t="s">
        <v>600</v>
      </c>
      <c r="V59" s="2" t="s">
        <v>601</v>
      </c>
      <c r="W59" s="2" t="s">
        <v>602</v>
      </c>
      <c r="Y59" s="2" t="s">
        <v>64</v>
      </c>
      <c r="Z59" s="2" t="s">
        <v>65</v>
      </c>
      <c r="AA59" s="2" t="s">
        <v>66</v>
      </c>
      <c r="AC59" s="2" t="s">
        <v>67</v>
      </c>
      <c r="AD59" s="2" t="s">
        <v>68</v>
      </c>
      <c r="AE59" s="2" t="s">
        <v>69</v>
      </c>
      <c r="AF59" s="2" t="s">
        <v>70</v>
      </c>
      <c r="AG59" s="2" t="s">
        <v>509</v>
      </c>
      <c r="AK59" s="2" t="s">
        <v>603</v>
      </c>
      <c r="AM59" s="2" t="s">
        <v>72</v>
      </c>
      <c r="AN59" s="2" t="s">
        <v>595</v>
      </c>
      <c r="AP59" s="2" t="s">
        <v>74</v>
      </c>
      <c r="AU59" s="2" t="s">
        <v>75</v>
      </c>
      <c r="AW59" s="2" t="s">
        <v>604</v>
      </c>
      <c r="AZ59" s="2" t="s">
        <v>116</v>
      </c>
    </row>
    <row r="60" spans="1:52" s="3" customFormat="1" x14ac:dyDescent="0.35">
      <c r="A60" s="2" t="s">
        <v>605</v>
      </c>
      <c r="B60" s="4">
        <v>249791</v>
      </c>
      <c r="C60" s="2" t="s">
        <v>606</v>
      </c>
      <c r="D60" s="2">
        <f t="shared" si="0"/>
        <v>5</v>
      </c>
      <c r="F60" s="2" t="s">
        <v>481</v>
      </c>
      <c r="G60" s="2" t="s">
        <v>53</v>
      </c>
      <c r="H60" s="4">
        <v>1</v>
      </c>
      <c r="I60" s="4">
        <v>1</v>
      </c>
      <c r="J60" s="4">
        <v>0</v>
      </c>
      <c r="L60" s="4">
        <v>0</v>
      </c>
      <c r="M60" s="2" t="s">
        <v>55</v>
      </c>
      <c r="N60" s="2" t="s">
        <v>56</v>
      </c>
      <c r="O60" s="2" t="s">
        <v>57</v>
      </c>
      <c r="P60" s="2" t="s">
        <v>58</v>
      </c>
      <c r="Q60" s="2" t="s">
        <v>59</v>
      </c>
      <c r="R60" s="2" t="s">
        <v>607</v>
      </c>
      <c r="S60" s="2" t="s">
        <v>608</v>
      </c>
      <c r="V60" s="2" t="s">
        <v>609</v>
      </c>
      <c r="W60" s="2" t="s">
        <v>610</v>
      </c>
      <c r="Y60" s="2" t="s">
        <v>64</v>
      </c>
      <c r="Z60" s="2" t="s">
        <v>65</v>
      </c>
      <c r="AA60" s="2" t="s">
        <v>66</v>
      </c>
      <c r="AC60" s="2" t="s">
        <v>67</v>
      </c>
      <c r="AD60" s="2" t="s">
        <v>68</v>
      </c>
      <c r="AE60" s="2" t="s">
        <v>69</v>
      </c>
      <c r="AF60" s="2" t="s">
        <v>70</v>
      </c>
      <c r="AG60" s="2" t="s">
        <v>58</v>
      </c>
      <c r="AK60" s="2" t="s">
        <v>611</v>
      </c>
      <c r="AM60" s="2" t="s">
        <v>72</v>
      </c>
      <c r="AN60" s="2" t="s">
        <v>612</v>
      </c>
      <c r="AP60" s="2" t="s">
        <v>74</v>
      </c>
      <c r="AV60" s="2" t="s">
        <v>613</v>
      </c>
      <c r="AW60" s="2" t="s">
        <v>614</v>
      </c>
      <c r="AZ60" s="2" t="s">
        <v>116</v>
      </c>
    </row>
    <row r="61" spans="1:52" s="3" customFormat="1" x14ac:dyDescent="0.35">
      <c r="A61" s="2" t="s">
        <v>615</v>
      </c>
      <c r="B61" s="4">
        <v>249789</v>
      </c>
      <c r="C61" s="2" t="s">
        <v>616</v>
      </c>
      <c r="D61" s="2">
        <f t="shared" si="0"/>
        <v>5</v>
      </c>
      <c r="F61" s="2" t="s">
        <v>481</v>
      </c>
      <c r="G61" s="2" t="s">
        <v>53</v>
      </c>
      <c r="H61" s="4">
        <v>1</v>
      </c>
      <c r="I61" s="4">
        <v>1</v>
      </c>
      <c r="J61" s="4">
        <v>0</v>
      </c>
      <c r="L61" s="4">
        <v>0</v>
      </c>
      <c r="M61" s="2" t="s">
        <v>55</v>
      </c>
      <c r="N61" s="2" t="s">
        <v>56</v>
      </c>
      <c r="O61" s="2" t="s">
        <v>57</v>
      </c>
      <c r="P61" s="2" t="s">
        <v>58</v>
      </c>
      <c r="Q61" s="2" t="s">
        <v>59</v>
      </c>
      <c r="R61" s="2" t="s">
        <v>617</v>
      </c>
      <c r="S61" s="2" t="s">
        <v>618</v>
      </c>
      <c r="V61" s="2" t="s">
        <v>619</v>
      </c>
      <c r="W61" s="2" t="s">
        <v>620</v>
      </c>
      <c r="Y61" s="2" t="s">
        <v>64</v>
      </c>
      <c r="Z61" s="2" t="s">
        <v>65</v>
      </c>
      <c r="AA61" s="2" t="s">
        <v>66</v>
      </c>
      <c r="AC61" s="2" t="s">
        <v>67</v>
      </c>
      <c r="AD61" s="2" t="s">
        <v>68</v>
      </c>
      <c r="AE61" s="2" t="s">
        <v>69</v>
      </c>
      <c r="AF61" s="2" t="s">
        <v>70</v>
      </c>
      <c r="AG61" s="2" t="s">
        <v>58</v>
      </c>
      <c r="AK61" s="2" t="s">
        <v>621</v>
      </c>
      <c r="AM61" s="2" t="s">
        <v>72</v>
      </c>
      <c r="AN61" s="2" t="s">
        <v>612</v>
      </c>
      <c r="AP61" s="2" t="s">
        <v>74</v>
      </c>
      <c r="AW61" s="2" t="s">
        <v>622</v>
      </c>
      <c r="AZ61" s="2" t="s">
        <v>116</v>
      </c>
    </row>
    <row r="62" spans="1:52" s="3" customFormat="1" x14ac:dyDescent="0.35">
      <c r="A62" s="2" t="s">
        <v>623</v>
      </c>
      <c r="B62" s="4">
        <v>249788</v>
      </c>
      <c r="C62" s="2" t="s">
        <v>624</v>
      </c>
      <c r="D62" s="2">
        <f t="shared" si="0"/>
        <v>5</v>
      </c>
      <c r="F62" s="2" t="s">
        <v>481</v>
      </c>
      <c r="G62" s="2" t="s">
        <v>53</v>
      </c>
      <c r="H62" s="4">
        <v>1</v>
      </c>
      <c r="I62" s="4">
        <v>1</v>
      </c>
      <c r="J62" s="4">
        <v>0</v>
      </c>
      <c r="L62" s="4">
        <v>0</v>
      </c>
      <c r="M62" s="2" t="s">
        <v>55</v>
      </c>
      <c r="N62" s="2" t="s">
        <v>56</v>
      </c>
      <c r="O62" s="2" t="s">
        <v>57</v>
      </c>
      <c r="P62" s="2" t="s">
        <v>509</v>
      </c>
      <c r="Q62" s="2" t="s">
        <v>510</v>
      </c>
      <c r="R62" s="2" t="s">
        <v>278</v>
      </c>
      <c r="S62" s="2" t="s">
        <v>279</v>
      </c>
      <c r="V62" s="2" t="s">
        <v>280</v>
      </c>
      <c r="W62" s="2" t="s">
        <v>281</v>
      </c>
      <c r="Y62" s="2" t="s">
        <v>64</v>
      </c>
      <c r="Z62" s="2" t="s">
        <v>65</v>
      </c>
      <c r="AA62" s="2" t="s">
        <v>66</v>
      </c>
      <c r="AC62" s="2" t="s">
        <v>67</v>
      </c>
      <c r="AD62" s="2" t="s">
        <v>68</v>
      </c>
      <c r="AE62" s="2" t="s">
        <v>69</v>
      </c>
      <c r="AF62" s="2" t="s">
        <v>70</v>
      </c>
      <c r="AG62" s="2" t="s">
        <v>509</v>
      </c>
      <c r="AK62" s="2" t="s">
        <v>625</v>
      </c>
      <c r="AM62" s="2" t="s">
        <v>72</v>
      </c>
      <c r="AN62" s="2" t="s">
        <v>100</v>
      </c>
      <c r="AP62" s="2" t="s">
        <v>74</v>
      </c>
      <c r="AU62" s="2" t="s">
        <v>75</v>
      </c>
      <c r="AV62" s="2" t="s">
        <v>284</v>
      </c>
      <c r="AW62" s="2" t="s">
        <v>285</v>
      </c>
      <c r="AZ62" s="2" t="s">
        <v>116</v>
      </c>
    </row>
    <row r="63" spans="1:52" s="3" customFormat="1" x14ac:dyDescent="0.35">
      <c r="A63" s="2" t="s">
        <v>626</v>
      </c>
      <c r="B63" s="4">
        <v>249786</v>
      </c>
      <c r="C63" s="2" t="s">
        <v>627</v>
      </c>
      <c r="D63" s="2">
        <f t="shared" si="0"/>
        <v>5</v>
      </c>
      <c r="F63" s="2" t="s">
        <v>481</v>
      </c>
      <c r="G63" s="2" t="s">
        <v>53</v>
      </c>
      <c r="H63" s="4">
        <v>1</v>
      </c>
      <c r="I63" s="4">
        <v>1</v>
      </c>
      <c r="J63" s="4">
        <v>0</v>
      </c>
      <c r="L63" s="4">
        <v>0</v>
      </c>
      <c r="M63" s="2" t="s">
        <v>55</v>
      </c>
      <c r="N63" s="2" t="s">
        <v>56</v>
      </c>
      <c r="O63" s="2" t="s">
        <v>57</v>
      </c>
      <c r="P63" s="2" t="s">
        <v>509</v>
      </c>
      <c r="Q63" s="2" t="s">
        <v>510</v>
      </c>
      <c r="R63" s="2" t="s">
        <v>628</v>
      </c>
      <c r="S63" s="2" t="s">
        <v>629</v>
      </c>
      <c r="V63" s="2" t="s">
        <v>630</v>
      </c>
      <c r="W63" s="2" t="s">
        <v>631</v>
      </c>
      <c r="Y63" s="2" t="s">
        <v>64</v>
      </c>
      <c r="Z63" s="2" t="s">
        <v>65</v>
      </c>
      <c r="AA63" s="2" t="s">
        <v>66</v>
      </c>
      <c r="AC63" s="2" t="s">
        <v>67</v>
      </c>
      <c r="AD63" s="2" t="s">
        <v>68</v>
      </c>
      <c r="AE63" s="2" t="s">
        <v>69</v>
      </c>
      <c r="AF63" s="2" t="s">
        <v>70</v>
      </c>
      <c r="AG63" s="2" t="s">
        <v>509</v>
      </c>
      <c r="AK63" s="2" t="s">
        <v>632</v>
      </c>
      <c r="AM63" s="2" t="s">
        <v>72</v>
      </c>
      <c r="AN63" s="2" t="s">
        <v>403</v>
      </c>
      <c r="AP63" s="2" t="s">
        <v>74</v>
      </c>
      <c r="AU63" s="2" t="s">
        <v>75</v>
      </c>
      <c r="AW63" s="2" t="s">
        <v>633</v>
      </c>
      <c r="AZ63" s="2" t="s">
        <v>116</v>
      </c>
    </row>
    <row r="64" spans="1:52" s="3" customFormat="1" x14ac:dyDescent="0.35">
      <c r="A64" s="2" t="s">
        <v>634</v>
      </c>
      <c r="B64" s="4">
        <v>249785</v>
      </c>
      <c r="C64" s="2" t="s">
        <v>635</v>
      </c>
      <c r="D64" s="2">
        <f t="shared" si="0"/>
        <v>5</v>
      </c>
      <c r="F64" s="2" t="s">
        <v>481</v>
      </c>
      <c r="G64" s="2" t="s">
        <v>53</v>
      </c>
      <c r="H64" s="4">
        <v>1</v>
      </c>
      <c r="I64" s="4">
        <v>1</v>
      </c>
      <c r="J64" s="4">
        <v>0</v>
      </c>
      <c r="L64" s="4">
        <v>0</v>
      </c>
      <c r="M64" s="2" t="s">
        <v>55</v>
      </c>
      <c r="N64" s="2" t="s">
        <v>56</v>
      </c>
      <c r="O64" s="2" t="s">
        <v>57</v>
      </c>
      <c r="P64" s="2" t="s">
        <v>509</v>
      </c>
      <c r="Q64" s="2" t="s">
        <v>510</v>
      </c>
      <c r="R64" s="2" t="s">
        <v>636</v>
      </c>
      <c r="S64" s="2" t="s">
        <v>637</v>
      </c>
      <c r="V64" s="2" t="s">
        <v>638</v>
      </c>
      <c r="W64" s="2" t="s">
        <v>639</v>
      </c>
      <c r="Y64" s="2" t="s">
        <v>64</v>
      </c>
      <c r="Z64" s="2" t="s">
        <v>65</v>
      </c>
      <c r="AA64" s="2" t="s">
        <v>66</v>
      </c>
      <c r="AC64" s="2" t="s">
        <v>67</v>
      </c>
      <c r="AD64" s="2" t="s">
        <v>68</v>
      </c>
      <c r="AE64" s="2" t="s">
        <v>69</v>
      </c>
      <c r="AF64" s="2" t="s">
        <v>70</v>
      </c>
      <c r="AG64" s="2" t="s">
        <v>509</v>
      </c>
      <c r="AK64" s="2" t="s">
        <v>640</v>
      </c>
      <c r="AM64" s="2" t="s">
        <v>72</v>
      </c>
      <c r="AN64" s="2" t="s">
        <v>100</v>
      </c>
      <c r="AP64" s="2" t="s">
        <v>74</v>
      </c>
      <c r="AU64" s="2" t="s">
        <v>75</v>
      </c>
      <c r="AW64" s="2" t="s">
        <v>641</v>
      </c>
      <c r="AZ64" s="2" t="s">
        <v>116</v>
      </c>
    </row>
    <row r="65" spans="1:52" s="3" customFormat="1" x14ac:dyDescent="0.35">
      <c r="A65" s="2" t="s">
        <v>642</v>
      </c>
      <c r="B65" s="4">
        <v>249783</v>
      </c>
      <c r="C65" s="2" t="s">
        <v>643</v>
      </c>
      <c r="D65" s="2">
        <f t="shared" si="0"/>
        <v>5</v>
      </c>
      <c r="F65" s="2" t="s">
        <v>481</v>
      </c>
      <c r="G65" s="2" t="s">
        <v>53</v>
      </c>
      <c r="H65" s="4">
        <v>1</v>
      </c>
      <c r="I65" s="4">
        <v>1</v>
      </c>
      <c r="J65" s="4">
        <v>0</v>
      </c>
      <c r="L65" s="4">
        <v>0</v>
      </c>
      <c r="M65" s="2" t="s">
        <v>55</v>
      </c>
      <c r="N65" s="2" t="s">
        <v>56</v>
      </c>
      <c r="O65" s="2" t="s">
        <v>57</v>
      </c>
      <c r="P65" s="2" t="s">
        <v>509</v>
      </c>
      <c r="Q65" s="2" t="s">
        <v>510</v>
      </c>
      <c r="R65" s="2" t="s">
        <v>644</v>
      </c>
      <c r="S65" s="2" t="s">
        <v>645</v>
      </c>
      <c r="V65" s="2" t="s">
        <v>646</v>
      </c>
      <c r="W65" s="2" t="s">
        <v>647</v>
      </c>
      <c r="Y65" s="2" t="s">
        <v>64</v>
      </c>
      <c r="Z65" s="2" t="s">
        <v>65</v>
      </c>
      <c r="AA65" s="2" t="s">
        <v>66</v>
      </c>
      <c r="AC65" s="2" t="s">
        <v>67</v>
      </c>
      <c r="AD65" s="2" t="s">
        <v>68</v>
      </c>
      <c r="AE65" s="2" t="s">
        <v>69</v>
      </c>
      <c r="AF65" s="2" t="s">
        <v>70</v>
      </c>
      <c r="AG65" s="2" t="s">
        <v>509</v>
      </c>
      <c r="AK65" s="2" t="s">
        <v>648</v>
      </c>
      <c r="AM65" s="2" t="s">
        <v>72</v>
      </c>
      <c r="AN65" s="2" t="s">
        <v>403</v>
      </c>
      <c r="AP65" s="2" t="s">
        <v>74</v>
      </c>
      <c r="AU65" s="2" t="s">
        <v>75</v>
      </c>
      <c r="AW65" s="2" t="s">
        <v>649</v>
      </c>
      <c r="AZ65" s="2" t="s">
        <v>116</v>
      </c>
    </row>
    <row r="66" spans="1:52" s="3" customFormat="1" x14ac:dyDescent="0.35">
      <c r="A66" s="2" t="s">
        <v>650</v>
      </c>
      <c r="B66" s="4">
        <v>249782</v>
      </c>
      <c r="C66" s="2" t="s">
        <v>651</v>
      </c>
      <c r="D66" s="2">
        <f t="shared" si="0"/>
        <v>5</v>
      </c>
      <c r="F66" s="2" t="s">
        <v>481</v>
      </c>
      <c r="G66" s="2" t="s">
        <v>53</v>
      </c>
      <c r="H66" s="4">
        <v>1</v>
      </c>
      <c r="I66" s="4">
        <v>1</v>
      </c>
      <c r="J66" s="4">
        <v>0</v>
      </c>
      <c r="L66" s="4">
        <v>0</v>
      </c>
      <c r="M66" s="2" t="s">
        <v>55</v>
      </c>
      <c r="N66" s="2" t="s">
        <v>56</v>
      </c>
      <c r="O66" s="2" t="s">
        <v>57</v>
      </c>
      <c r="P66" s="2" t="s">
        <v>509</v>
      </c>
      <c r="Q66" s="2" t="s">
        <v>510</v>
      </c>
      <c r="R66" s="2" t="s">
        <v>652</v>
      </c>
      <c r="S66" s="2" t="s">
        <v>653</v>
      </c>
      <c r="V66" s="2" t="s">
        <v>654</v>
      </c>
      <c r="W66" s="2" t="s">
        <v>655</v>
      </c>
      <c r="Y66" s="2" t="s">
        <v>64</v>
      </c>
      <c r="Z66" s="2" t="s">
        <v>65</v>
      </c>
      <c r="AA66" s="2" t="s">
        <v>66</v>
      </c>
      <c r="AC66" s="2" t="s">
        <v>67</v>
      </c>
      <c r="AD66" s="2" t="s">
        <v>68</v>
      </c>
      <c r="AE66" s="2" t="s">
        <v>69</v>
      </c>
      <c r="AF66" s="2" t="s">
        <v>70</v>
      </c>
      <c r="AG66" s="2" t="s">
        <v>509</v>
      </c>
      <c r="AK66" s="2" t="s">
        <v>656</v>
      </c>
      <c r="AM66" s="2" t="s">
        <v>72</v>
      </c>
      <c r="AN66" s="2" t="s">
        <v>595</v>
      </c>
      <c r="AP66" s="2" t="s">
        <v>74</v>
      </c>
      <c r="AU66" s="2" t="s">
        <v>75</v>
      </c>
      <c r="AW66" s="2" t="s">
        <v>657</v>
      </c>
      <c r="AZ66" s="2" t="s">
        <v>116</v>
      </c>
    </row>
    <row r="67" spans="1:52" s="3" customFormat="1" x14ac:dyDescent="0.35">
      <c r="A67" s="2" t="s">
        <v>658</v>
      </c>
      <c r="B67" s="4">
        <v>249772</v>
      </c>
      <c r="C67" s="2" t="s">
        <v>659</v>
      </c>
      <c r="D67" s="2">
        <f t="shared" ref="D67:D130" si="1">MONTH(C67)</f>
        <v>5</v>
      </c>
      <c r="F67" s="2" t="s">
        <v>481</v>
      </c>
      <c r="G67" s="2" t="s">
        <v>53</v>
      </c>
      <c r="H67" s="4">
        <v>1</v>
      </c>
      <c r="I67" s="4">
        <v>1</v>
      </c>
      <c r="J67" s="4">
        <v>0</v>
      </c>
      <c r="L67" s="4">
        <v>0</v>
      </c>
      <c r="M67" s="2" t="s">
        <v>55</v>
      </c>
      <c r="N67" s="2" t="s">
        <v>56</v>
      </c>
      <c r="O67" s="2" t="s">
        <v>57</v>
      </c>
      <c r="P67" s="2" t="s">
        <v>509</v>
      </c>
      <c r="Q67" s="2" t="s">
        <v>510</v>
      </c>
      <c r="R67" s="2" t="s">
        <v>660</v>
      </c>
      <c r="S67" s="2" t="s">
        <v>661</v>
      </c>
      <c r="V67" s="2" t="s">
        <v>662</v>
      </c>
      <c r="W67" s="2" t="s">
        <v>663</v>
      </c>
      <c r="Y67" s="2" t="s">
        <v>64</v>
      </c>
      <c r="Z67" s="2" t="s">
        <v>65</v>
      </c>
      <c r="AA67" s="2" t="s">
        <v>66</v>
      </c>
      <c r="AC67" s="2" t="s">
        <v>67</v>
      </c>
      <c r="AD67" s="2" t="s">
        <v>68</v>
      </c>
      <c r="AE67" s="2" t="s">
        <v>69</v>
      </c>
      <c r="AF67" s="2" t="s">
        <v>70</v>
      </c>
      <c r="AG67" s="2" t="s">
        <v>509</v>
      </c>
      <c r="AK67" s="2" t="s">
        <v>664</v>
      </c>
      <c r="AM67" s="2" t="s">
        <v>72</v>
      </c>
      <c r="AN67" s="2" t="s">
        <v>473</v>
      </c>
      <c r="AP67" s="2" t="s">
        <v>74</v>
      </c>
      <c r="AU67" s="2" t="s">
        <v>75</v>
      </c>
      <c r="AW67" s="2" t="s">
        <v>665</v>
      </c>
      <c r="AZ67" s="2" t="s">
        <v>116</v>
      </c>
    </row>
    <row r="68" spans="1:52" s="3" customFormat="1" x14ac:dyDescent="0.35">
      <c r="A68" s="2" t="s">
        <v>666</v>
      </c>
      <c r="B68" s="4">
        <v>249771</v>
      </c>
      <c r="C68" s="2" t="s">
        <v>667</v>
      </c>
      <c r="D68" s="2">
        <f t="shared" si="1"/>
        <v>5</v>
      </c>
      <c r="F68" s="2" t="s">
        <v>481</v>
      </c>
      <c r="G68" s="2" t="s">
        <v>53</v>
      </c>
      <c r="H68" s="4">
        <v>1</v>
      </c>
      <c r="I68" s="4">
        <v>1</v>
      </c>
      <c r="J68" s="4">
        <v>0</v>
      </c>
      <c r="L68" s="4">
        <v>0</v>
      </c>
      <c r="M68" s="2" t="s">
        <v>55</v>
      </c>
      <c r="N68" s="2" t="s">
        <v>56</v>
      </c>
      <c r="O68" s="2" t="s">
        <v>57</v>
      </c>
      <c r="P68" s="2" t="s">
        <v>509</v>
      </c>
      <c r="Q68" s="2" t="s">
        <v>510</v>
      </c>
      <c r="R68" s="2" t="s">
        <v>668</v>
      </c>
      <c r="S68" s="2" t="s">
        <v>669</v>
      </c>
      <c r="V68" s="2" t="s">
        <v>670</v>
      </c>
      <c r="W68" s="2" t="s">
        <v>671</v>
      </c>
      <c r="Y68" s="2" t="s">
        <v>64</v>
      </c>
      <c r="Z68" s="2" t="s">
        <v>65</v>
      </c>
      <c r="AA68" s="2" t="s">
        <v>66</v>
      </c>
      <c r="AC68" s="2" t="s">
        <v>67</v>
      </c>
      <c r="AD68" s="2" t="s">
        <v>68</v>
      </c>
      <c r="AE68" s="2" t="s">
        <v>69</v>
      </c>
      <c r="AF68" s="2" t="s">
        <v>70</v>
      </c>
      <c r="AG68" s="2" t="s">
        <v>509</v>
      </c>
      <c r="AK68" s="2" t="s">
        <v>672</v>
      </c>
      <c r="AM68" s="2" t="s">
        <v>72</v>
      </c>
      <c r="AN68" s="2" t="s">
        <v>100</v>
      </c>
      <c r="AP68" s="2" t="s">
        <v>74</v>
      </c>
      <c r="AU68" s="2" t="s">
        <v>75</v>
      </c>
      <c r="AW68" s="2" t="s">
        <v>673</v>
      </c>
      <c r="AZ68" s="2" t="s">
        <v>116</v>
      </c>
    </row>
    <row r="69" spans="1:52" s="3" customFormat="1" x14ac:dyDescent="0.35">
      <c r="A69" s="2" t="s">
        <v>674</v>
      </c>
      <c r="B69" s="4">
        <v>249770</v>
      </c>
      <c r="C69" s="2" t="s">
        <v>675</v>
      </c>
      <c r="D69" s="2">
        <f t="shared" si="1"/>
        <v>5</v>
      </c>
      <c r="F69" s="2" t="s">
        <v>481</v>
      </c>
      <c r="G69" s="2" t="s">
        <v>53</v>
      </c>
      <c r="H69" s="4">
        <v>1</v>
      </c>
      <c r="I69" s="4">
        <v>1</v>
      </c>
      <c r="J69" s="4">
        <v>0</v>
      </c>
      <c r="L69" s="4">
        <v>0</v>
      </c>
      <c r="M69" s="2" t="s">
        <v>55</v>
      </c>
      <c r="N69" s="2" t="s">
        <v>56</v>
      </c>
      <c r="O69" s="2" t="s">
        <v>57</v>
      </c>
      <c r="P69" s="2" t="s">
        <v>509</v>
      </c>
      <c r="Q69" s="2" t="s">
        <v>510</v>
      </c>
      <c r="R69" s="2" t="s">
        <v>676</v>
      </c>
      <c r="S69" s="2" t="s">
        <v>677</v>
      </c>
      <c r="V69" s="2" t="s">
        <v>678</v>
      </c>
      <c r="W69" s="2" t="s">
        <v>679</v>
      </c>
      <c r="Y69" s="2" t="s">
        <v>64</v>
      </c>
      <c r="Z69" s="2" t="s">
        <v>65</v>
      </c>
      <c r="AA69" s="2" t="s">
        <v>66</v>
      </c>
      <c r="AC69" s="2" t="s">
        <v>67</v>
      </c>
      <c r="AD69" s="2" t="s">
        <v>68</v>
      </c>
      <c r="AE69" s="2" t="s">
        <v>69</v>
      </c>
      <c r="AF69" s="2" t="s">
        <v>70</v>
      </c>
      <c r="AG69" s="2" t="s">
        <v>509</v>
      </c>
      <c r="AK69" s="2" t="s">
        <v>680</v>
      </c>
      <c r="AM69" s="2" t="s">
        <v>72</v>
      </c>
      <c r="AN69" s="2" t="s">
        <v>473</v>
      </c>
      <c r="AP69" s="2" t="s">
        <v>74</v>
      </c>
      <c r="AU69" s="2" t="s">
        <v>75</v>
      </c>
      <c r="AW69" s="2" t="s">
        <v>681</v>
      </c>
      <c r="AZ69" s="2" t="s">
        <v>116</v>
      </c>
    </row>
    <row r="70" spans="1:52" s="3" customFormat="1" x14ac:dyDescent="0.35">
      <c r="A70" s="2" t="s">
        <v>682</v>
      </c>
      <c r="B70" s="4">
        <v>249767</v>
      </c>
      <c r="C70" s="2" t="s">
        <v>683</v>
      </c>
      <c r="D70" s="2">
        <f t="shared" si="1"/>
        <v>5</v>
      </c>
      <c r="F70" s="2" t="s">
        <v>481</v>
      </c>
      <c r="G70" s="2" t="s">
        <v>53</v>
      </c>
      <c r="H70" s="4">
        <v>1</v>
      </c>
      <c r="I70" s="4">
        <v>1</v>
      </c>
      <c r="J70" s="4">
        <v>0</v>
      </c>
      <c r="L70" s="4">
        <v>0</v>
      </c>
      <c r="M70" s="2" t="s">
        <v>55</v>
      </c>
      <c r="N70" s="2" t="s">
        <v>56</v>
      </c>
      <c r="O70" s="2" t="s">
        <v>57</v>
      </c>
      <c r="P70" s="2" t="s">
        <v>509</v>
      </c>
      <c r="Q70" s="2" t="s">
        <v>510</v>
      </c>
      <c r="R70" s="2" t="s">
        <v>684</v>
      </c>
      <c r="S70" s="2" t="s">
        <v>685</v>
      </c>
      <c r="V70" s="2" t="s">
        <v>686</v>
      </c>
      <c r="W70" s="2" t="s">
        <v>687</v>
      </c>
      <c r="Y70" s="2" t="s">
        <v>64</v>
      </c>
      <c r="Z70" s="2" t="s">
        <v>65</v>
      </c>
      <c r="AA70" s="2" t="s">
        <v>66</v>
      </c>
      <c r="AC70" s="2" t="s">
        <v>67</v>
      </c>
      <c r="AD70" s="2" t="s">
        <v>68</v>
      </c>
      <c r="AE70" s="2" t="s">
        <v>69</v>
      </c>
      <c r="AF70" s="2" t="s">
        <v>70</v>
      </c>
      <c r="AG70" s="2" t="s">
        <v>509</v>
      </c>
      <c r="AK70" s="2" t="s">
        <v>688</v>
      </c>
      <c r="AM70" s="2" t="s">
        <v>72</v>
      </c>
      <c r="AN70" s="2" t="s">
        <v>473</v>
      </c>
      <c r="AP70" s="2" t="s">
        <v>74</v>
      </c>
      <c r="AU70" s="2" t="s">
        <v>75</v>
      </c>
      <c r="AW70" s="2" t="s">
        <v>689</v>
      </c>
      <c r="AZ70" s="2" t="s">
        <v>116</v>
      </c>
    </row>
    <row r="71" spans="1:52" s="3" customFormat="1" x14ac:dyDescent="0.35">
      <c r="A71" s="2" t="s">
        <v>690</v>
      </c>
      <c r="B71" s="4">
        <v>249766</v>
      </c>
      <c r="C71" s="2" t="s">
        <v>691</v>
      </c>
      <c r="D71" s="2">
        <f t="shared" si="1"/>
        <v>5</v>
      </c>
      <c r="G71" s="2" t="s">
        <v>53</v>
      </c>
      <c r="H71" s="4">
        <v>1</v>
      </c>
      <c r="I71" s="4">
        <v>1</v>
      </c>
      <c r="J71" s="4">
        <v>0</v>
      </c>
      <c r="L71" s="4">
        <v>0</v>
      </c>
      <c r="M71" s="2" t="s">
        <v>55</v>
      </c>
      <c r="N71" s="2" t="s">
        <v>56</v>
      </c>
      <c r="O71" s="2" t="s">
        <v>57</v>
      </c>
      <c r="P71" s="2" t="s">
        <v>499</v>
      </c>
      <c r="Q71" s="2" t="s">
        <v>500</v>
      </c>
      <c r="R71" s="2" t="s">
        <v>692</v>
      </c>
      <c r="S71" s="2" t="s">
        <v>693</v>
      </c>
      <c r="V71" s="2" t="s">
        <v>694</v>
      </c>
      <c r="W71" s="2" t="s">
        <v>695</v>
      </c>
      <c r="Y71" s="2" t="s">
        <v>64</v>
      </c>
      <c r="Z71" s="2" t="s">
        <v>65</v>
      </c>
      <c r="AA71" s="2" t="s">
        <v>66</v>
      </c>
      <c r="AC71" s="2" t="s">
        <v>67</v>
      </c>
      <c r="AD71" s="2" t="s">
        <v>68</v>
      </c>
      <c r="AE71" s="2" t="s">
        <v>69</v>
      </c>
      <c r="AF71" s="2" t="s">
        <v>70</v>
      </c>
      <c r="AG71" s="2" t="s">
        <v>499</v>
      </c>
      <c r="AK71" s="2" t="s">
        <v>696</v>
      </c>
      <c r="AM71" s="2" t="s">
        <v>72</v>
      </c>
      <c r="AN71" s="2" t="s">
        <v>100</v>
      </c>
      <c r="AP71" s="2" t="s">
        <v>74</v>
      </c>
      <c r="AU71" s="2" t="s">
        <v>75</v>
      </c>
      <c r="AV71" s="2" t="s">
        <v>697</v>
      </c>
      <c r="AW71" s="2" t="s">
        <v>698</v>
      </c>
      <c r="AZ71" s="2" t="s">
        <v>116</v>
      </c>
    </row>
    <row r="72" spans="1:52" s="3" customFormat="1" x14ac:dyDescent="0.35">
      <c r="A72" s="2" t="s">
        <v>699</v>
      </c>
      <c r="B72" s="4">
        <v>249762</v>
      </c>
      <c r="C72" s="2" t="s">
        <v>700</v>
      </c>
      <c r="D72" s="2">
        <f t="shared" si="1"/>
        <v>5</v>
      </c>
      <c r="F72" s="2" t="s">
        <v>481</v>
      </c>
      <c r="G72" s="2" t="s">
        <v>53</v>
      </c>
      <c r="H72" s="4">
        <v>1</v>
      </c>
      <c r="I72" s="4">
        <v>1</v>
      </c>
      <c r="J72" s="4">
        <v>0</v>
      </c>
      <c r="L72" s="4">
        <v>0</v>
      </c>
      <c r="M72" s="2" t="s">
        <v>55</v>
      </c>
      <c r="N72" s="2" t="s">
        <v>56</v>
      </c>
      <c r="O72" s="2" t="s">
        <v>57</v>
      </c>
      <c r="P72" s="2" t="s">
        <v>509</v>
      </c>
      <c r="Q72" s="2" t="s">
        <v>510</v>
      </c>
      <c r="R72" s="2" t="s">
        <v>701</v>
      </c>
      <c r="S72" s="2" t="s">
        <v>702</v>
      </c>
      <c r="V72" s="2" t="s">
        <v>703</v>
      </c>
      <c r="W72" s="2" t="s">
        <v>704</v>
      </c>
      <c r="Y72" s="2" t="s">
        <v>64</v>
      </c>
      <c r="Z72" s="2" t="s">
        <v>65</v>
      </c>
      <c r="AA72" s="2" t="s">
        <v>66</v>
      </c>
      <c r="AC72" s="2" t="s">
        <v>67</v>
      </c>
      <c r="AD72" s="2" t="s">
        <v>68</v>
      </c>
      <c r="AE72" s="2" t="s">
        <v>69</v>
      </c>
      <c r="AF72" s="2" t="s">
        <v>70</v>
      </c>
      <c r="AG72" s="2" t="s">
        <v>509</v>
      </c>
      <c r="AK72" s="2" t="s">
        <v>705</v>
      </c>
      <c r="AM72" s="2" t="s">
        <v>72</v>
      </c>
      <c r="AN72" s="2" t="s">
        <v>344</v>
      </c>
      <c r="AP72" s="2" t="s">
        <v>74</v>
      </c>
      <c r="AU72" s="2" t="s">
        <v>75</v>
      </c>
      <c r="AW72" s="2" t="s">
        <v>706</v>
      </c>
      <c r="AZ72" s="2" t="s">
        <v>116</v>
      </c>
    </row>
    <row r="73" spans="1:52" s="3" customFormat="1" x14ac:dyDescent="0.35">
      <c r="A73" s="2" t="s">
        <v>707</v>
      </c>
      <c r="B73" s="4">
        <v>249760</v>
      </c>
      <c r="C73" s="2" t="s">
        <v>708</v>
      </c>
      <c r="D73" s="2">
        <f t="shared" si="1"/>
        <v>5</v>
      </c>
      <c r="F73" s="2" t="s">
        <v>481</v>
      </c>
      <c r="G73" s="2" t="s">
        <v>53</v>
      </c>
      <c r="H73" s="4">
        <v>1</v>
      </c>
      <c r="I73" s="4">
        <v>1</v>
      </c>
      <c r="J73" s="4">
        <v>0</v>
      </c>
      <c r="L73" s="4">
        <v>0</v>
      </c>
      <c r="M73" s="2" t="s">
        <v>55</v>
      </c>
      <c r="N73" s="2" t="s">
        <v>56</v>
      </c>
      <c r="O73" s="2" t="s">
        <v>57</v>
      </c>
      <c r="P73" s="2" t="s">
        <v>509</v>
      </c>
      <c r="Q73" s="2" t="s">
        <v>510</v>
      </c>
      <c r="R73" s="2" t="s">
        <v>709</v>
      </c>
      <c r="S73" s="2" t="s">
        <v>710</v>
      </c>
      <c r="V73" s="2" t="s">
        <v>711</v>
      </c>
      <c r="W73" s="2" t="s">
        <v>712</v>
      </c>
      <c r="Y73" s="2" t="s">
        <v>64</v>
      </c>
      <c r="Z73" s="2" t="s">
        <v>205</v>
      </c>
      <c r="AA73" s="2" t="s">
        <v>66</v>
      </c>
      <c r="AC73" s="2" t="s">
        <v>67</v>
      </c>
      <c r="AD73" s="2" t="s">
        <v>68</v>
      </c>
      <c r="AE73" s="2" t="s">
        <v>69</v>
      </c>
      <c r="AF73" s="2" t="s">
        <v>70</v>
      </c>
      <c r="AG73" s="2" t="s">
        <v>509</v>
      </c>
      <c r="AK73" s="2" t="s">
        <v>713</v>
      </c>
      <c r="AM73" s="2" t="s">
        <v>72</v>
      </c>
      <c r="AN73" s="2" t="s">
        <v>344</v>
      </c>
      <c r="AP73" s="2" t="s">
        <v>74</v>
      </c>
      <c r="AU73" s="2" t="s">
        <v>75</v>
      </c>
      <c r="AW73" s="2" t="s">
        <v>714</v>
      </c>
      <c r="AZ73" s="2" t="s">
        <v>116</v>
      </c>
    </row>
    <row r="74" spans="1:52" s="3" customFormat="1" x14ac:dyDescent="0.35">
      <c r="A74" s="2" t="s">
        <v>715</v>
      </c>
      <c r="B74" s="4">
        <v>249759</v>
      </c>
      <c r="C74" s="2" t="s">
        <v>716</v>
      </c>
      <c r="D74" s="2">
        <f t="shared" si="1"/>
        <v>5</v>
      </c>
      <c r="F74" s="2" t="s">
        <v>481</v>
      </c>
      <c r="G74" s="2" t="s">
        <v>53</v>
      </c>
      <c r="H74" s="4">
        <v>1</v>
      </c>
      <c r="I74" s="4">
        <v>1</v>
      </c>
      <c r="J74" s="4">
        <v>0</v>
      </c>
      <c r="L74" s="4">
        <v>0</v>
      </c>
      <c r="M74" s="2" t="s">
        <v>55</v>
      </c>
      <c r="N74" s="2" t="s">
        <v>56</v>
      </c>
      <c r="O74" s="2" t="s">
        <v>57</v>
      </c>
      <c r="P74" s="2" t="s">
        <v>509</v>
      </c>
      <c r="Q74" s="2" t="s">
        <v>510</v>
      </c>
      <c r="R74" s="2" t="s">
        <v>717</v>
      </c>
      <c r="S74" s="2" t="s">
        <v>718</v>
      </c>
      <c r="V74" s="2" t="s">
        <v>719</v>
      </c>
      <c r="W74" s="2" t="s">
        <v>720</v>
      </c>
      <c r="Y74" s="2" t="s">
        <v>64</v>
      </c>
      <c r="Z74" s="2" t="s">
        <v>65</v>
      </c>
      <c r="AA74" s="2" t="s">
        <v>66</v>
      </c>
      <c r="AC74" s="2" t="s">
        <v>67</v>
      </c>
      <c r="AD74" s="2" t="s">
        <v>68</v>
      </c>
      <c r="AE74" s="2" t="s">
        <v>69</v>
      </c>
      <c r="AF74" s="2" t="s">
        <v>70</v>
      </c>
      <c r="AG74" s="2" t="s">
        <v>509</v>
      </c>
      <c r="AK74" s="2" t="s">
        <v>721</v>
      </c>
      <c r="AM74" s="2" t="s">
        <v>72</v>
      </c>
      <c r="AN74" s="2" t="s">
        <v>73</v>
      </c>
      <c r="AP74" s="2" t="s">
        <v>74</v>
      </c>
      <c r="AU74" s="2" t="s">
        <v>75</v>
      </c>
      <c r="AV74" s="2" t="s">
        <v>722</v>
      </c>
      <c r="AW74" s="2" t="s">
        <v>723</v>
      </c>
      <c r="AZ74" s="2" t="s">
        <v>116</v>
      </c>
    </row>
    <row r="75" spans="1:52" s="3" customFormat="1" x14ac:dyDescent="0.35">
      <c r="A75" s="2" t="s">
        <v>724</v>
      </c>
      <c r="B75" s="4">
        <v>249757</v>
      </c>
      <c r="C75" s="2" t="s">
        <v>725</v>
      </c>
      <c r="D75" s="2">
        <f t="shared" si="1"/>
        <v>5</v>
      </c>
      <c r="G75" s="2" t="s">
        <v>53</v>
      </c>
      <c r="H75" s="4">
        <v>1</v>
      </c>
      <c r="I75" s="4">
        <v>1</v>
      </c>
      <c r="J75" s="4">
        <v>0</v>
      </c>
      <c r="L75" s="4">
        <v>0</v>
      </c>
      <c r="M75" s="2" t="s">
        <v>55</v>
      </c>
      <c r="N75" s="2" t="s">
        <v>56</v>
      </c>
      <c r="O75" s="2" t="s">
        <v>57</v>
      </c>
      <c r="P75" s="2" t="s">
        <v>499</v>
      </c>
      <c r="Q75" s="2" t="s">
        <v>500</v>
      </c>
      <c r="R75" s="2" t="s">
        <v>726</v>
      </c>
      <c r="S75" s="2" t="s">
        <v>727</v>
      </c>
      <c r="V75" s="2" t="s">
        <v>728</v>
      </c>
      <c r="W75" s="2" t="s">
        <v>729</v>
      </c>
      <c r="Y75" s="2" t="s">
        <v>64</v>
      </c>
      <c r="Z75" s="2" t="s">
        <v>65</v>
      </c>
      <c r="AA75" s="2" t="s">
        <v>66</v>
      </c>
      <c r="AC75" s="2" t="s">
        <v>67</v>
      </c>
      <c r="AD75" s="2" t="s">
        <v>68</v>
      </c>
      <c r="AE75" s="2" t="s">
        <v>69</v>
      </c>
      <c r="AF75" s="2" t="s">
        <v>70</v>
      </c>
      <c r="AG75" s="2" t="s">
        <v>499</v>
      </c>
      <c r="AK75" s="2" t="s">
        <v>730</v>
      </c>
      <c r="AM75" s="2" t="s">
        <v>72</v>
      </c>
      <c r="AN75" s="2" t="s">
        <v>100</v>
      </c>
      <c r="AP75" s="2" t="s">
        <v>74</v>
      </c>
      <c r="AU75" s="2" t="s">
        <v>75</v>
      </c>
      <c r="AV75" s="2" t="s">
        <v>731</v>
      </c>
      <c r="AW75" s="2" t="s">
        <v>732</v>
      </c>
      <c r="AZ75" s="2" t="s">
        <v>116</v>
      </c>
    </row>
    <row r="76" spans="1:52" s="3" customFormat="1" x14ac:dyDescent="0.35">
      <c r="A76" s="2" t="s">
        <v>733</v>
      </c>
      <c r="B76" s="4">
        <v>249755</v>
      </c>
      <c r="C76" s="2" t="s">
        <v>734</v>
      </c>
      <c r="D76" s="2">
        <f t="shared" si="1"/>
        <v>5</v>
      </c>
      <c r="G76" s="2" t="s">
        <v>53</v>
      </c>
      <c r="H76" s="4">
        <v>1</v>
      </c>
      <c r="I76" s="4">
        <v>1</v>
      </c>
      <c r="J76" s="4">
        <v>0</v>
      </c>
      <c r="L76" s="4">
        <v>0</v>
      </c>
      <c r="M76" s="2" t="s">
        <v>55</v>
      </c>
      <c r="N76" s="2" t="s">
        <v>56</v>
      </c>
      <c r="O76" s="2" t="s">
        <v>57</v>
      </c>
      <c r="P76" s="2" t="s">
        <v>499</v>
      </c>
      <c r="Q76" s="2" t="s">
        <v>500</v>
      </c>
      <c r="R76" s="2" t="s">
        <v>735</v>
      </c>
      <c r="S76" s="2" t="s">
        <v>736</v>
      </c>
      <c r="V76" s="2" t="s">
        <v>737</v>
      </c>
      <c r="W76" s="2" t="s">
        <v>738</v>
      </c>
      <c r="Y76" s="2" t="s">
        <v>64</v>
      </c>
      <c r="Z76" s="2" t="s">
        <v>65</v>
      </c>
      <c r="AA76" s="2" t="s">
        <v>66</v>
      </c>
      <c r="AC76" s="2" t="s">
        <v>67</v>
      </c>
      <c r="AD76" s="2" t="s">
        <v>68</v>
      </c>
      <c r="AE76" s="2" t="s">
        <v>69</v>
      </c>
      <c r="AF76" s="2" t="s">
        <v>70</v>
      </c>
      <c r="AG76" s="2" t="s">
        <v>499</v>
      </c>
      <c r="AK76" s="2" t="s">
        <v>739</v>
      </c>
      <c r="AM76" s="2" t="s">
        <v>72</v>
      </c>
      <c r="AN76" s="2" t="s">
        <v>100</v>
      </c>
      <c r="AP76" s="2" t="s">
        <v>74</v>
      </c>
      <c r="AU76" s="2" t="s">
        <v>75</v>
      </c>
      <c r="AW76" s="2" t="s">
        <v>740</v>
      </c>
      <c r="AZ76" s="2" t="s">
        <v>116</v>
      </c>
    </row>
    <row r="77" spans="1:52" s="3" customFormat="1" x14ac:dyDescent="0.35">
      <c r="A77" s="2" t="s">
        <v>741</v>
      </c>
      <c r="B77" s="4">
        <v>249754</v>
      </c>
      <c r="C77" s="2" t="s">
        <v>742</v>
      </c>
      <c r="D77" s="2">
        <f t="shared" si="1"/>
        <v>5</v>
      </c>
      <c r="G77" s="2" t="s">
        <v>53</v>
      </c>
      <c r="H77" s="4">
        <v>1</v>
      </c>
      <c r="I77" s="4">
        <v>1</v>
      </c>
      <c r="J77" s="4">
        <v>0</v>
      </c>
      <c r="L77" s="4">
        <v>0</v>
      </c>
      <c r="M77" s="2" t="s">
        <v>55</v>
      </c>
      <c r="N77" s="2" t="s">
        <v>56</v>
      </c>
      <c r="O77" s="2" t="s">
        <v>57</v>
      </c>
      <c r="P77" s="2" t="s">
        <v>499</v>
      </c>
      <c r="Q77" s="2" t="s">
        <v>500</v>
      </c>
      <c r="R77" s="2" t="s">
        <v>743</v>
      </c>
      <c r="S77" s="2" t="s">
        <v>744</v>
      </c>
      <c r="V77" s="2" t="s">
        <v>745</v>
      </c>
      <c r="W77" s="2" t="s">
        <v>746</v>
      </c>
      <c r="Y77" s="2" t="s">
        <v>64</v>
      </c>
      <c r="Z77" s="2" t="s">
        <v>65</v>
      </c>
      <c r="AA77" s="2" t="s">
        <v>66</v>
      </c>
      <c r="AC77" s="2" t="s">
        <v>67</v>
      </c>
      <c r="AD77" s="2" t="s">
        <v>68</v>
      </c>
      <c r="AE77" s="2" t="s">
        <v>69</v>
      </c>
      <c r="AF77" s="2" t="s">
        <v>70</v>
      </c>
      <c r="AG77" s="2" t="s">
        <v>499</v>
      </c>
      <c r="AK77" s="2" t="s">
        <v>747</v>
      </c>
      <c r="AM77" s="2" t="s">
        <v>72</v>
      </c>
      <c r="AN77" s="2" t="s">
        <v>100</v>
      </c>
      <c r="AP77" s="2" t="s">
        <v>74</v>
      </c>
      <c r="AU77" s="2" t="s">
        <v>75</v>
      </c>
      <c r="AW77" s="2" t="s">
        <v>748</v>
      </c>
      <c r="AZ77" s="2" t="s">
        <v>116</v>
      </c>
    </row>
    <row r="78" spans="1:52" s="3" customFormat="1" x14ac:dyDescent="0.35">
      <c r="A78" s="2" t="s">
        <v>749</v>
      </c>
      <c r="B78" s="4">
        <v>249752</v>
      </c>
      <c r="C78" s="2" t="s">
        <v>750</v>
      </c>
      <c r="D78" s="2">
        <f t="shared" si="1"/>
        <v>5</v>
      </c>
      <c r="G78" s="2" t="s">
        <v>53</v>
      </c>
      <c r="H78" s="4">
        <v>1</v>
      </c>
      <c r="I78" s="4">
        <v>1</v>
      </c>
      <c r="J78" s="4">
        <v>0</v>
      </c>
      <c r="L78" s="4">
        <v>0</v>
      </c>
      <c r="M78" s="2" t="s">
        <v>55</v>
      </c>
      <c r="N78" s="2" t="s">
        <v>56</v>
      </c>
      <c r="O78" s="2" t="s">
        <v>57</v>
      </c>
      <c r="P78" s="2" t="s">
        <v>499</v>
      </c>
      <c r="Q78" s="2" t="s">
        <v>500</v>
      </c>
      <c r="R78" s="2" t="s">
        <v>751</v>
      </c>
      <c r="S78" s="2" t="s">
        <v>752</v>
      </c>
      <c r="V78" s="2" t="s">
        <v>753</v>
      </c>
      <c r="W78" s="2" t="s">
        <v>754</v>
      </c>
      <c r="Y78" s="2" t="s">
        <v>64</v>
      </c>
      <c r="Z78" s="2" t="s">
        <v>65</v>
      </c>
      <c r="AA78" s="2" t="s">
        <v>66</v>
      </c>
      <c r="AC78" s="2" t="s">
        <v>67</v>
      </c>
      <c r="AD78" s="2" t="s">
        <v>68</v>
      </c>
      <c r="AE78" s="2" t="s">
        <v>69</v>
      </c>
      <c r="AF78" s="2" t="s">
        <v>70</v>
      </c>
      <c r="AG78" s="2" t="s">
        <v>499</v>
      </c>
      <c r="AK78" s="2" t="s">
        <v>755</v>
      </c>
      <c r="AM78" s="2" t="s">
        <v>72</v>
      </c>
      <c r="AN78" s="2" t="s">
        <v>100</v>
      </c>
      <c r="AP78" s="2" t="s">
        <v>74</v>
      </c>
      <c r="AU78" s="2" t="s">
        <v>75</v>
      </c>
      <c r="AW78" s="2" t="s">
        <v>756</v>
      </c>
      <c r="AZ78" s="2" t="s">
        <v>116</v>
      </c>
    </row>
    <row r="79" spans="1:52" s="3" customFormat="1" x14ac:dyDescent="0.35">
      <c r="A79" s="2" t="s">
        <v>757</v>
      </c>
      <c r="B79" s="4">
        <v>249751</v>
      </c>
      <c r="C79" s="2" t="s">
        <v>758</v>
      </c>
      <c r="D79" s="2">
        <f t="shared" si="1"/>
        <v>5</v>
      </c>
      <c r="G79" s="2" t="s">
        <v>53</v>
      </c>
      <c r="H79" s="4">
        <v>1</v>
      </c>
      <c r="I79" s="4">
        <v>1</v>
      </c>
      <c r="J79" s="4">
        <v>0</v>
      </c>
      <c r="L79" s="4">
        <v>0</v>
      </c>
      <c r="M79" s="2" t="s">
        <v>55</v>
      </c>
      <c r="N79" s="2" t="s">
        <v>56</v>
      </c>
      <c r="O79" s="2" t="s">
        <v>57</v>
      </c>
      <c r="P79" s="2" t="s">
        <v>499</v>
      </c>
      <c r="Q79" s="2" t="s">
        <v>500</v>
      </c>
      <c r="R79" s="2" t="s">
        <v>759</v>
      </c>
      <c r="S79" s="2" t="s">
        <v>760</v>
      </c>
      <c r="V79" s="2" t="s">
        <v>761</v>
      </c>
      <c r="W79" s="2" t="s">
        <v>762</v>
      </c>
      <c r="Y79" s="2" t="s">
        <v>64</v>
      </c>
      <c r="Z79" s="2" t="s">
        <v>65</v>
      </c>
      <c r="AA79" s="2" t="s">
        <v>66</v>
      </c>
      <c r="AC79" s="2" t="s">
        <v>67</v>
      </c>
      <c r="AD79" s="2" t="s">
        <v>68</v>
      </c>
      <c r="AE79" s="2" t="s">
        <v>69</v>
      </c>
      <c r="AF79" s="2" t="s">
        <v>70</v>
      </c>
      <c r="AG79" s="2" t="s">
        <v>499</v>
      </c>
      <c r="AK79" s="2" t="s">
        <v>763</v>
      </c>
      <c r="AM79" s="2" t="s">
        <v>72</v>
      </c>
      <c r="AN79" s="2" t="s">
        <v>100</v>
      </c>
      <c r="AP79" s="2" t="s">
        <v>74</v>
      </c>
      <c r="AU79" s="2" t="s">
        <v>75</v>
      </c>
      <c r="AW79" s="2" t="s">
        <v>764</v>
      </c>
      <c r="AZ79" s="2" t="s">
        <v>116</v>
      </c>
    </row>
    <row r="80" spans="1:52" s="3" customFormat="1" x14ac:dyDescent="0.35">
      <c r="A80" s="2" t="s">
        <v>765</v>
      </c>
      <c r="B80" s="4">
        <v>249740</v>
      </c>
      <c r="C80" s="2" t="s">
        <v>766</v>
      </c>
      <c r="D80" s="2">
        <f t="shared" si="1"/>
        <v>5</v>
      </c>
      <c r="G80" s="2" t="s">
        <v>53</v>
      </c>
      <c r="H80" s="4">
        <v>1</v>
      </c>
      <c r="I80" s="4">
        <v>1</v>
      </c>
      <c r="J80" s="4">
        <v>0</v>
      </c>
      <c r="L80" s="4">
        <v>0</v>
      </c>
      <c r="M80" s="2" t="s">
        <v>55</v>
      </c>
      <c r="N80" s="2" t="s">
        <v>56</v>
      </c>
      <c r="O80" s="2" t="s">
        <v>57</v>
      </c>
      <c r="P80" s="2" t="s">
        <v>499</v>
      </c>
      <c r="Q80" s="2" t="s">
        <v>500</v>
      </c>
      <c r="R80" s="2" t="s">
        <v>574</v>
      </c>
      <c r="S80" s="2" t="s">
        <v>575</v>
      </c>
      <c r="V80" s="2" t="s">
        <v>576</v>
      </c>
      <c r="W80" s="2" t="s">
        <v>767</v>
      </c>
      <c r="Y80" s="2" t="s">
        <v>64</v>
      </c>
      <c r="Z80" s="2" t="s">
        <v>65</v>
      </c>
      <c r="AA80" s="2" t="s">
        <v>66</v>
      </c>
      <c r="AC80" s="2" t="s">
        <v>67</v>
      </c>
      <c r="AD80" s="2" t="s">
        <v>68</v>
      </c>
      <c r="AE80" s="2" t="s">
        <v>69</v>
      </c>
      <c r="AF80" s="2" t="s">
        <v>70</v>
      </c>
      <c r="AG80" s="2" t="s">
        <v>499</v>
      </c>
      <c r="AK80" s="2" t="s">
        <v>768</v>
      </c>
      <c r="AM80" s="2" t="s">
        <v>72</v>
      </c>
      <c r="AN80" s="2" t="s">
        <v>100</v>
      </c>
      <c r="AP80" s="2" t="s">
        <v>74</v>
      </c>
      <c r="AU80" s="2" t="s">
        <v>75</v>
      </c>
      <c r="AW80" s="2" t="s">
        <v>579</v>
      </c>
      <c r="AZ80" s="2" t="s">
        <v>116</v>
      </c>
    </row>
    <row r="81" spans="1:52" s="3" customFormat="1" x14ac:dyDescent="0.35">
      <c r="A81" s="2" t="s">
        <v>769</v>
      </c>
      <c r="B81" s="4">
        <v>249739</v>
      </c>
      <c r="C81" s="2" t="s">
        <v>770</v>
      </c>
      <c r="D81" s="2">
        <f t="shared" si="1"/>
        <v>5</v>
      </c>
      <c r="G81" s="2" t="s">
        <v>53</v>
      </c>
      <c r="H81" s="4">
        <v>1</v>
      </c>
      <c r="I81" s="4">
        <v>1</v>
      </c>
      <c r="J81" s="4">
        <v>0</v>
      </c>
      <c r="L81" s="4">
        <v>0</v>
      </c>
      <c r="M81" s="2" t="s">
        <v>55</v>
      </c>
      <c r="N81" s="2" t="s">
        <v>56</v>
      </c>
      <c r="O81" s="2" t="s">
        <v>57</v>
      </c>
      <c r="P81" s="2" t="s">
        <v>499</v>
      </c>
      <c r="Q81" s="2" t="s">
        <v>500</v>
      </c>
      <c r="R81" s="2" t="s">
        <v>771</v>
      </c>
      <c r="S81" s="2" t="s">
        <v>772</v>
      </c>
      <c r="V81" s="2" t="s">
        <v>773</v>
      </c>
      <c r="W81" s="2" t="s">
        <v>774</v>
      </c>
      <c r="Y81" s="2" t="s">
        <v>64</v>
      </c>
      <c r="Z81" s="2" t="s">
        <v>65</v>
      </c>
      <c r="AA81" s="2" t="s">
        <v>66</v>
      </c>
      <c r="AC81" s="2" t="s">
        <v>67</v>
      </c>
      <c r="AD81" s="2" t="s">
        <v>68</v>
      </c>
      <c r="AE81" s="2" t="s">
        <v>69</v>
      </c>
      <c r="AF81" s="2" t="s">
        <v>70</v>
      </c>
      <c r="AG81" s="2" t="s">
        <v>499</v>
      </c>
      <c r="AK81" s="2" t="s">
        <v>775</v>
      </c>
      <c r="AM81" s="2" t="s">
        <v>72</v>
      </c>
      <c r="AN81" s="2" t="s">
        <v>100</v>
      </c>
      <c r="AP81" s="2" t="s">
        <v>74</v>
      </c>
      <c r="AU81" s="2" t="s">
        <v>75</v>
      </c>
      <c r="AW81" s="2" t="s">
        <v>776</v>
      </c>
      <c r="AZ81" s="2" t="s">
        <v>116</v>
      </c>
    </row>
    <row r="82" spans="1:52" s="3" customFormat="1" x14ac:dyDescent="0.35">
      <c r="A82" s="2" t="s">
        <v>777</v>
      </c>
      <c r="B82" s="4">
        <v>249738</v>
      </c>
      <c r="C82" s="2" t="s">
        <v>778</v>
      </c>
      <c r="D82" s="2">
        <f t="shared" si="1"/>
        <v>5</v>
      </c>
      <c r="G82" s="2" t="s">
        <v>53</v>
      </c>
      <c r="H82" s="4">
        <v>1</v>
      </c>
      <c r="I82" s="4">
        <v>1</v>
      </c>
      <c r="J82" s="4">
        <v>0</v>
      </c>
      <c r="L82" s="4">
        <v>0</v>
      </c>
      <c r="M82" s="2" t="s">
        <v>55</v>
      </c>
      <c r="N82" s="2" t="s">
        <v>56</v>
      </c>
      <c r="O82" s="2" t="s">
        <v>57</v>
      </c>
      <c r="P82" s="2" t="s">
        <v>499</v>
      </c>
      <c r="Q82" s="2" t="s">
        <v>500</v>
      </c>
      <c r="R82" s="2" t="s">
        <v>779</v>
      </c>
      <c r="S82" s="2" t="s">
        <v>780</v>
      </c>
      <c r="V82" s="2" t="s">
        <v>781</v>
      </c>
      <c r="W82" s="2" t="s">
        <v>782</v>
      </c>
      <c r="Y82" s="2" t="s">
        <v>64</v>
      </c>
      <c r="Z82" s="2" t="s">
        <v>65</v>
      </c>
      <c r="AA82" s="2" t="s">
        <v>66</v>
      </c>
      <c r="AC82" s="2" t="s">
        <v>67</v>
      </c>
      <c r="AD82" s="2" t="s">
        <v>68</v>
      </c>
      <c r="AE82" s="2" t="s">
        <v>69</v>
      </c>
      <c r="AF82" s="2" t="s">
        <v>70</v>
      </c>
      <c r="AG82" s="2" t="s">
        <v>499</v>
      </c>
      <c r="AK82" s="2" t="s">
        <v>783</v>
      </c>
      <c r="AM82" s="2" t="s">
        <v>72</v>
      </c>
      <c r="AN82" s="2" t="s">
        <v>100</v>
      </c>
      <c r="AP82" s="2" t="s">
        <v>74</v>
      </c>
      <c r="AU82" s="2" t="s">
        <v>75</v>
      </c>
      <c r="AW82" s="2" t="s">
        <v>784</v>
      </c>
      <c r="AZ82" s="2" t="s">
        <v>116</v>
      </c>
    </row>
    <row r="83" spans="1:52" s="3" customFormat="1" x14ac:dyDescent="0.35">
      <c r="A83" s="2" t="s">
        <v>785</v>
      </c>
      <c r="B83" s="4">
        <v>249737</v>
      </c>
      <c r="C83" s="2" t="s">
        <v>786</v>
      </c>
      <c r="D83" s="2">
        <f t="shared" si="1"/>
        <v>5</v>
      </c>
      <c r="G83" s="2" t="s">
        <v>53</v>
      </c>
      <c r="H83" s="4">
        <v>1</v>
      </c>
      <c r="I83" s="4">
        <v>1</v>
      </c>
      <c r="J83" s="4">
        <v>0</v>
      </c>
      <c r="L83" s="4">
        <v>0</v>
      </c>
      <c r="M83" s="2" t="s">
        <v>55</v>
      </c>
      <c r="N83" s="2" t="s">
        <v>56</v>
      </c>
      <c r="O83" s="2" t="s">
        <v>57</v>
      </c>
      <c r="P83" s="2" t="s">
        <v>499</v>
      </c>
      <c r="Q83" s="2" t="s">
        <v>500</v>
      </c>
      <c r="R83" s="2" t="s">
        <v>787</v>
      </c>
      <c r="S83" s="2" t="s">
        <v>788</v>
      </c>
      <c r="V83" s="2" t="s">
        <v>789</v>
      </c>
      <c r="W83" s="2" t="s">
        <v>790</v>
      </c>
      <c r="Y83" s="2" t="s">
        <v>64</v>
      </c>
      <c r="Z83" s="2" t="s">
        <v>65</v>
      </c>
      <c r="AA83" s="2" t="s">
        <v>66</v>
      </c>
      <c r="AC83" s="2" t="s">
        <v>67</v>
      </c>
      <c r="AD83" s="2" t="s">
        <v>68</v>
      </c>
      <c r="AE83" s="2" t="s">
        <v>69</v>
      </c>
      <c r="AF83" s="2" t="s">
        <v>70</v>
      </c>
      <c r="AG83" s="2" t="s">
        <v>499</v>
      </c>
      <c r="AK83" s="2" t="s">
        <v>791</v>
      </c>
      <c r="AM83" s="2" t="s">
        <v>72</v>
      </c>
      <c r="AN83" s="2" t="s">
        <v>100</v>
      </c>
      <c r="AP83" s="2" t="s">
        <v>74</v>
      </c>
      <c r="AU83" s="2" t="s">
        <v>75</v>
      </c>
      <c r="AW83" s="2" t="s">
        <v>792</v>
      </c>
      <c r="AZ83" s="2" t="s">
        <v>116</v>
      </c>
    </row>
    <row r="84" spans="1:52" s="3" customFormat="1" x14ac:dyDescent="0.35">
      <c r="A84" s="2" t="s">
        <v>793</v>
      </c>
      <c r="B84" s="4">
        <v>249736</v>
      </c>
      <c r="C84" s="2" t="s">
        <v>794</v>
      </c>
      <c r="D84" s="2">
        <f t="shared" si="1"/>
        <v>5</v>
      </c>
      <c r="G84" s="2" t="s">
        <v>53</v>
      </c>
      <c r="H84" s="4">
        <v>1</v>
      </c>
      <c r="I84" s="4">
        <v>1</v>
      </c>
      <c r="J84" s="4">
        <v>0</v>
      </c>
      <c r="L84" s="4">
        <v>0</v>
      </c>
      <c r="M84" s="2" t="s">
        <v>55</v>
      </c>
      <c r="N84" s="2" t="s">
        <v>56</v>
      </c>
      <c r="O84" s="2" t="s">
        <v>57</v>
      </c>
      <c r="P84" s="2" t="s">
        <v>499</v>
      </c>
      <c r="Q84" s="2" t="s">
        <v>500</v>
      </c>
      <c r="R84" s="2" t="s">
        <v>795</v>
      </c>
      <c r="S84" s="2" t="s">
        <v>796</v>
      </c>
      <c r="V84" s="2" t="s">
        <v>797</v>
      </c>
      <c r="W84" s="2" t="s">
        <v>798</v>
      </c>
      <c r="Y84" s="2" t="s">
        <v>64</v>
      </c>
      <c r="Z84" s="2" t="s">
        <v>65</v>
      </c>
      <c r="AA84" s="2" t="s">
        <v>66</v>
      </c>
      <c r="AC84" s="2" t="s">
        <v>67</v>
      </c>
      <c r="AD84" s="2" t="s">
        <v>68</v>
      </c>
      <c r="AE84" s="2" t="s">
        <v>69</v>
      </c>
      <c r="AF84" s="2" t="s">
        <v>70</v>
      </c>
      <c r="AG84" s="2" t="s">
        <v>499</v>
      </c>
      <c r="AK84" s="2" t="s">
        <v>799</v>
      </c>
      <c r="AM84" s="2" t="s">
        <v>72</v>
      </c>
      <c r="AN84" s="2" t="s">
        <v>100</v>
      </c>
      <c r="AP84" s="2" t="s">
        <v>74</v>
      </c>
      <c r="AU84" s="2" t="s">
        <v>75</v>
      </c>
      <c r="AW84" s="2" t="s">
        <v>800</v>
      </c>
      <c r="AZ84" s="2" t="s">
        <v>116</v>
      </c>
    </row>
    <row r="85" spans="1:52" s="3" customFormat="1" x14ac:dyDescent="0.35">
      <c r="A85" s="2" t="s">
        <v>801</v>
      </c>
      <c r="B85" s="4">
        <v>249735</v>
      </c>
      <c r="C85" s="2" t="s">
        <v>802</v>
      </c>
      <c r="D85" s="2">
        <f t="shared" si="1"/>
        <v>5</v>
      </c>
      <c r="G85" s="2" t="s">
        <v>53</v>
      </c>
      <c r="H85" s="4">
        <v>1</v>
      </c>
      <c r="I85" s="4">
        <v>1</v>
      </c>
      <c r="J85" s="4">
        <v>0</v>
      </c>
      <c r="L85" s="4">
        <v>0</v>
      </c>
      <c r="M85" s="2" t="s">
        <v>55</v>
      </c>
      <c r="N85" s="2" t="s">
        <v>56</v>
      </c>
      <c r="O85" s="2" t="s">
        <v>57</v>
      </c>
      <c r="P85" s="2" t="s">
        <v>499</v>
      </c>
      <c r="Q85" s="2" t="s">
        <v>500</v>
      </c>
      <c r="R85" s="2" t="s">
        <v>803</v>
      </c>
      <c r="S85" s="2" t="s">
        <v>804</v>
      </c>
      <c r="V85" s="2" t="s">
        <v>805</v>
      </c>
      <c r="W85" s="2" t="s">
        <v>806</v>
      </c>
      <c r="Y85" s="2" t="s">
        <v>64</v>
      </c>
      <c r="Z85" s="2" t="s">
        <v>205</v>
      </c>
      <c r="AA85" s="2" t="s">
        <v>66</v>
      </c>
      <c r="AC85" s="2" t="s">
        <v>67</v>
      </c>
      <c r="AD85" s="2" t="s">
        <v>68</v>
      </c>
      <c r="AE85" s="2" t="s">
        <v>69</v>
      </c>
      <c r="AF85" s="2" t="s">
        <v>70</v>
      </c>
      <c r="AG85" s="2" t="s">
        <v>499</v>
      </c>
      <c r="AK85" s="2" t="s">
        <v>807</v>
      </c>
      <c r="AM85" s="2" t="s">
        <v>72</v>
      </c>
      <c r="AN85" s="2" t="s">
        <v>100</v>
      </c>
      <c r="AP85" s="2" t="s">
        <v>74</v>
      </c>
      <c r="AU85" s="2" t="s">
        <v>75</v>
      </c>
      <c r="AV85" s="2" t="s">
        <v>808</v>
      </c>
      <c r="AW85" s="2" t="s">
        <v>809</v>
      </c>
      <c r="AZ85" s="2" t="s">
        <v>116</v>
      </c>
    </row>
    <row r="86" spans="1:52" s="3" customFormat="1" x14ac:dyDescent="0.35">
      <c r="A86" s="2" t="s">
        <v>810</v>
      </c>
      <c r="B86" s="4">
        <v>249734</v>
      </c>
      <c r="C86" s="2" t="s">
        <v>811</v>
      </c>
      <c r="D86" s="2">
        <f t="shared" si="1"/>
        <v>5</v>
      </c>
      <c r="G86" s="2" t="s">
        <v>53</v>
      </c>
      <c r="H86" s="4">
        <v>1</v>
      </c>
      <c r="I86" s="4">
        <v>1</v>
      </c>
      <c r="J86" s="4">
        <v>0</v>
      </c>
      <c r="L86" s="4">
        <v>0</v>
      </c>
      <c r="M86" s="2" t="s">
        <v>55</v>
      </c>
      <c r="N86" s="2" t="s">
        <v>56</v>
      </c>
      <c r="O86" s="2" t="s">
        <v>57</v>
      </c>
      <c r="P86" s="2" t="s">
        <v>499</v>
      </c>
      <c r="Q86" s="2" t="s">
        <v>500</v>
      </c>
      <c r="R86" s="2" t="s">
        <v>812</v>
      </c>
      <c r="S86" s="2" t="s">
        <v>813</v>
      </c>
      <c r="V86" s="2" t="s">
        <v>814</v>
      </c>
      <c r="W86" s="2" t="s">
        <v>815</v>
      </c>
      <c r="Y86" s="2" t="s">
        <v>64</v>
      </c>
      <c r="Z86" s="2" t="s">
        <v>65</v>
      </c>
      <c r="AA86" s="2" t="s">
        <v>66</v>
      </c>
      <c r="AC86" s="2" t="s">
        <v>67</v>
      </c>
      <c r="AD86" s="2" t="s">
        <v>68</v>
      </c>
      <c r="AE86" s="2" t="s">
        <v>69</v>
      </c>
      <c r="AF86" s="2" t="s">
        <v>70</v>
      </c>
      <c r="AG86" s="2" t="s">
        <v>499</v>
      </c>
      <c r="AK86" s="2" t="s">
        <v>816</v>
      </c>
      <c r="AM86" s="2" t="s">
        <v>72</v>
      </c>
      <c r="AN86" s="2" t="s">
        <v>100</v>
      </c>
      <c r="AP86" s="2" t="s">
        <v>74</v>
      </c>
      <c r="AU86" s="2" t="s">
        <v>75</v>
      </c>
      <c r="AW86" s="2" t="s">
        <v>817</v>
      </c>
      <c r="AZ86" s="2" t="s">
        <v>116</v>
      </c>
    </row>
    <row r="87" spans="1:52" s="3" customFormat="1" x14ac:dyDescent="0.35">
      <c r="A87" s="2" t="s">
        <v>818</v>
      </c>
      <c r="B87" s="4">
        <v>249733</v>
      </c>
      <c r="C87" s="2" t="s">
        <v>819</v>
      </c>
      <c r="D87" s="2">
        <f t="shared" si="1"/>
        <v>5</v>
      </c>
      <c r="G87" s="2" t="s">
        <v>53</v>
      </c>
      <c r="H87" s="4">
        <v>1</v>
      </c>
      <c r="I87" s="4">
        <v>1</v>
      </c>
      <c r="J87" s="4">
        <v>0</v>
      </c>
      <c r="L87" s="4">
        <v>0</v>
      </c>
      <c r="M87" s="2" t="s">
        <v>55</v>
      </c>
      <c r="N87" s="2" t="s">
        <v>56</v>
      </c>
      <c r="O87" s="2" t="s">
        <v>57</v>
      </c>
      <c r="P87" s="2" t="s">
        <v>499</v>
      </c>
      <c r="Q87" s="2" t="s">
        <v>500</v>
      </c>
      <c r="R87" s="2" t="s">
        <v>820</v>
      </c>
      <c r="S87" s="2" t="s">
        <v>821</v>
      </c>
      <c r="V87" s="2" t="s">
        <v>822</v>
      </c>
      <c r="W87" s="2" t="s">
        <v>823</v>
      </c>
      <c r="Y87" s="2" t="s">
        <v>64</v>
      </c>
      <c r="Z87" s="2" t="s">
        <v>65</v>
      </c>
      <c r="AA87" s="2" t="s">
        <v>66</v>
      </c>
      <c r="AC87" s="2" t="s">
        <v>67</v>
      </c>
      <c r="AD87" s="2" t="s">
        <v>68</v>
      </c>
      <c r="AE87" s="2" t="s">
        <v>69</v>
      </c>
      <c r="AF87" s="2" t="s">
        <v>70</v>
      </c>
      <c r="AG87" s="2" t="s">
        <v>499</v>
      </c>
      <c r="AK87" s="2" t="s">
        <v>824</v>
      </c>
      <c r="AM87" s="2" t="s">
        <v>72</v>
      </c>
      <c r="AN87" s="2" t="s">
        <v>100</v>
      </c>
      <c r="AP87" s="2" t="s">
        <v>74</v>
      </c>
      <c r="AU87" s="2" t="s">
        <v>75</v>
      </c>
      <c r="AW87" s="2" t="s">
        <v>825</v>
      </c>
      <c r="AZ87" s="2" t="s">
        <v>116</v>
      </c>
    </row>
    <row r="88" spans="1:52" s="3" customFormat="1" x14ac:dyDescent="0.35">
      <c r="A88" s="2" t="s">
        <v>826</v>
      </c>
      <c r="B88" s="4">
        <v>249731</v>
      </c>
      <c r="C88" s="2" t="s">
        <v>827</v>
      </c>
      <c r="D88" s="2">
        <f t="shared" si="1"/>
        <v>5</v>
      </c>
      <c r="G88" s="2" t="s">
        <v>53</v>
      </c>
      <c r="H88" s="4">
        <v>1</v>
      </c>
      <c r="I88" s="4">
        <v>1</v>
      </c>
      <c r="J88" s="4">
        <v>0</v>
      </c>
      <c r="L88" s="4">
        <v>0</v>
      </c>
      <c r="M88" s="2" t="s">
        <v>55</v>
      </c>
      <c r="N88" s="2" t="s">
        <v>56</v>
      </c>
      <c r="O88" s="2" t="s">
        <v>57</v>
      </c>
      <c r="P88" s="2" t="s">
        <v>499</v>
      </c>
      <c r="Q88" s="2" t="s">
        <v>500</v>
      </c>
      <c r="R88" s="2" t="s">
        <v>828</v>
      </c>
      <c r="S88" s="2" t="s">
        <v>829</v>
      </c>
      <c r="V88" s="2" t="s">
        <v>830</v>
      </c>
      <c r="W88" s="2" t="s">
        <v>831</v>
      </c>
      <c r="Y88" s="2" t="s">
        <v>64</v>
      </c>
      <c r="Z88" s="2" t="s">
        <v>205</v>
      </c>
      <c r="AA88" s="2" t="s">
        <v>66</v>
      </c>
      <c r="AC88" s="2" t="s">
        <v>67</v>
      </c>
      <c r="AD88" s="2" t="s">
        <v>68</v>
      </c>
      <c r="AE88" s="2" t="s">
        <v>69</v>
      </c>
      <c r="AF88" s="2" t="s">
        <v>70</v>
      </c>
      <c r="AG88" s="2" t="s">
        <v>832</v>
      </c>
      <c r="AK88" s="2" t="s">
        <v>833</v>
      </c>
      <c r="AM88" s="2" t="s">
        <v>72</v>
      </c>
      <c r="AN88" s="2" t="s">
        <v>100</v>
      </c>
      <c r="AP88" s="2" t="s">
        <v>74</v>
      </c>
      <c r="AU88" s="2" t="s">
        <v>75</v>
      </c>
      <c r="AW88" s="2" t="s">
        <v>834</v>
      </c>
      <c r="AZ88" s="2" t="s">
        <v>116</v>
      </c>
    </row>
    <row r="89" spans="1:52" s="3" customFormat="1" x14ac:dyDescent="0.35">
      <c r="A89" s="2" t="s">
        <v>835</v>
      </c>
      <c r="B89" s="4">
        <v>249728</v>
      </c>
      <c r="C89" s="2" t="s">
        <v>836</v>
      </c>
      <c r="D89" s="2">
        <f t="shared" si="1"/>
        <v>5</v>
      </c>
      <c r="G89" s="2" t="s">
        <v>53</v>
      </c>
      <c r="H89" s="4">
        <v>1</v>
      </c>
      <c r="I89" s="4">
        <v>1</v>
      </c>
      <c r="J89" s="4">
        <v>0</v>
      </c>
      <c r="L89" s="4">
        <v>0</v>
      </c>
      <c r="M89" s="2" t="s">
        <v>55</v>
      </c>
      <c r="N89" s="2" t="s">
        <v>56</v>
      </c>
      <c r="O89" s="2" t="s">
        <v>57</v>
      </c>
      <c r="P89" s="2" t="s">
        <v>499</v>
      </c>
      <c r="Q89" s="2" t="s">
        <v>500</v>
      </c>
      <c r="R89" s="2" t="s">
        <v>837</v>
      </c>
      <c r="S89" s="2" t="s">
        <v>838</v>
      </c>
      <c r="V89" s="2" t="s">
        <v>839</v>
      </c>
      <c r="W89" s="2" t="s">
        <v>840</v>
      </c>
      <c r="Y89" s="2" t="s">
        <v>64</v>
      </c>
      <c r="Z89" s="2" t="s">
        <v>65</v>
      </c>
      <c r="AA89" s="2" t="s">
        <v>66</v>
      </c>
      <c r="AC89" s="2" t="s">
        <v>67</v>
      </c>
      <c r="AD89" s="2" t="s">
        <v>68</v>
      </c>
      <c r="AE89" s="2" t="s">
        <v>69</v>
      </c>
      <c r="AF89" s="2" t="s">
        <v>70</v>
      </c>
      <c r="AG89" s="2" t="s">
        <v>499</v>
      </c>
      <c r="AK89" s="2" t="s">
        <v>841</v>
      </c>
      <c r="AM89" s="2" t="s">
        <v>72</v>
      </c>
      <c r="AN89" s="2" t="s">
        <v>100</v>
      </c>
      <c r="AP89" s="2" t="s">
        <v>74</v>
      </c>
      <c r="AU89" s="2" t="s">
        <v>75</v>
      </c>
      <c r="AV89" s="2" t="s">
        <v>842</v>
      </c>
      <c r="AW89" s="2" t="s">
        <v>843</v>
      </c>
      <c r="AZ89" s="2" t="s">
        <v>116</v>
      </c>
    </row>
    <row r="90" spans="1:52" s="3" customFormat="1" x14ac:dyDescent="0.35">
      <c r="A90" s="2" t="s">
        <v>844</v>
      </c>
      <c r="B90" s="4">
        <v>249727</v>
      </c>
      <c r="C90" s="2" t="s">
        <v>845</v>
      </c>
      <c r="D90" s="2">
        <f t="shared" si="1"/>
        <v>5</v>
      </c>
      <c r="G90" s="2" t="s">
        <v>53</v>
      </c>
      <c r="H90" s="4">
        <v>1</v>
      </c>
      <c r="I90" s="4">
        <v>1</v>
      </c>
      <c r="J90" s="4">
        <v>0</v>
      </c>
      <c r="L90" s="4">
        <v>0</v>
      </c>
      <c r="M90" s="2" t="s">
        <v>55</v>
      </c>
      <c r="N90" s="2" t="s">
        <v>56</v>
      </c>
      <c r="O90" s="2" t="s">
        <v>57</v>
      </c>
      <c r="P90" s="2" t="s">
        <v>499</v>
      </c>
      <c r="Q90" s="2" t="s">
        <v>500</v>
      </c>
      <c r="R90" s="2" t="s">
        <v>846</v>
      </c>
      <c r="S90" s="2" t="s">
        <v>847</v>
      </c>
      <c r="V90" s="2" t="s">
        <v>848</v>
      </c>
      <c r="W90" s="2" t="s">
        <v>849</v>
      </c>
      <c r="Y90" s="2" t="s">
        <v>64</v>
      </c>
      <c r="Z90" s="2" t="s">
        <v>65</v>
      </c>
      <c r="AA90" s="2" t="s">
        <v>66</v>
      </c>
      <c r="AC90" s="2" t="s">
        <v>67</v>
      </c>
      <c r="AD90" s="2" t="s">
        <v>68</v>
      </c>
      <c r="AE90" s="2" t="s">
        <v>69</v>
      </c>
      <c r="AF90" s="2" t="s">
        <v>70</v>
      </c>
      <c r="AG90" s="2" t="s">
        <v>499</v>
      </c>
      <c r="AK90" s="2" t="s">
        <v>850</v>
      </c>
      <c r="AM90" s="2" t="s">
        <v>72</v>
      </c>
      <c r="AN90" s="2" t="s">
        <v>100</v>
      </c>
      <c r="AP90" s="2" t="s">
        <v>74</v>
      </c>
      <c r="AU90" s="2" t="s">
        <v>75</v>
      </c>
      <c r="AW90" s="2" t="s">
        <v>851</v>
      </c>
      <c r="AZ90" s="2" t="s">
        <v>116</v>
      </c>
    </row>
    <row r="91" spans="1:52" s="3" customFormat="1" x14ac:dyDescent="0.35">
      <c r="A91" s="2" t="s">
        <v>852</v>
      </c>
      <c r="B91" s="4">
        <v>249724</v>
      </c>
      <c r="C91" s="2" t="s">
        <v>853</v>
      </c>
      <c r="D91" s="2">
        <f t="shared" si="1"/>
        <v>5</v>
      </c>
      <c r="G91" s="2" t="s">
        <v>53</v>
      </c>
      <c r="H91" s="4">
        <v>1</v>
      </c>
      <c r="I91" s="4">
        <v>1</v>
      </c>
      <c r="J91" s="4">
        <v>0</v>
      </c>
      <c r="L91" s="4">
        <v>0</v>
      </c>
      <c r="M91" s="2" t="s">
        <v>55</v>
      </c>
      <c r="N91" s="2" t="s">
        <v>56</v>
      </c>
      <c r="O91" s="2" t="s">
        <v>57</v>
      </c>
      <c r="P91" s="2" t="s">
        <v>499</v>
      </c>
      <c r="Q91" s="2" t="s">
        <v>500</v>
      </c>
      <c r="R91" s="2" t="s">
        <v>854</v>
      </c>
      <c r="S91" s="2" t="s">
        <v>855</v>
      </c>
      <c r="V91" s="2" t="s">
        <v>856</v>
      </c>
      <c r="W91" s="2" t="s">
        <v>857</v>
      </c>
      <c r="Y91" s="2" t="s">
        <v>64</v>
      </c>
      <c r="Z91" s="2" t="s">
        <v>65</v>
      </c>
      <c r="AA91" s="2" t="s">
        <v>66</v>
      </c>
      <c r="AC91" s="2" t="s">
        <v>67</v>
      </c>
      <c r="AD91" s="2" t="s">
        <v>68</v>
      </c>
      <c r="AE91" s="2" t="s">
        <v>69</v>
      </c>
      <c r="AF91" s="2" t="s">
        <v>70</v>
      </c>
      <c r="AG91" s="2" t="s">
        <v>499</v>
      </c>
      <c r="AK91" s="2" t="s">
        <v>858</v>
      </c>
      <c r="AM91" s="2" t="s">
        <v>72</v>
      </c>
      <c r="AN91" s="2" t="s">
        <v>100</v>
      </c>
      <c r="AP91" s="2" t="s">
        <v>74</v>
      </c>
      <c r="AU91" s="2" t="s">
        <v>75</v>
      </c>
      <c r="AW91" s="2" t="s">
        <v>859</v>
      </c>
      <c r="AZ91" s="2" t="s">
        <v>116</v>
      </c>
    </row>
    <row r="92" spans="1:52" s="3" customFormat="1" x14ac:dyDescent="0.35">
      <c r="A92" s="2" t="s">
        <v>860</v>
      </c>
      <c r="B92" s="4">
        <v>249723</v>
      </c>
      <c r="C92" s="2" t="s">
        <v>861</v>
      </c>
      <c r="D92" s="2">
        <f t="shared" si="1"/>
        <v>5</v>
      </c>
      <c r="G92" s="2" t="s">
        <v>53</v>
      </c>
      <c r="H92" s="4">
        <v>1</v>
      </c>
      <c r="I92" s="4">
        <v>1</v>
      </c>
      <c r="J92" s="4">
        <v>0</v>
      </c>
      <c r="L92" s="4">
        <v>0</v>
      </c>
      <c r="M92" s="2" t="s">
        <v>55</v>
      </c>
      <c r="N92" s="2" t="s">
        <v>56</v>
      </c>
      <c r="O92" s="2" t="s">
        <v>57</v>
      </c>
      <c r="P92" s="2" t="s">
        <v>499</v>
      </c>
      <c r="Q92" s="2" t="s">
        <v>500</v>
      </c>
      <c r="R92" s="2" t="s">
        <v>862</v>
      </c>
      <c r="S92" s="2" t="s">
        <v>863</v>
      </c>
      <c r="V92" s="2" t="s">
        <v>864</v>
      </c>
      <c r="W92" s="2" t="s">
        <v>865</v>
      </c>
      <c r="Y92" s="2" t="s">
        <v>64</v>
      </c>
      <c r="Z92" s="2" t="s">
        <v>65</v>
      </c>
      <c r="AA92" s="2" t="s">
        <v>66</v>
      </c>
      <c r="AC92" s="2" t="s">
        <v>67</v>
      </c>
      <c r="AD92" s="2" t="s">
        <v>68</v>
      </c>
      <c r="AE92" s="2" t="s">
        <v>69</v>
      </c>
      <c r="AF92" s="2" t="s">
        <v>70</v>
      </c>
      <c r="AG92" s="2" t="s">
        <v>499</v>
      </c>
      <c r="AK92" s="2" t="s">
        <v>866</v>
      </c>
      <c r="AM92" s="2" t="s">
        <v>72</v>
      </c>
      <c r="AN92" s="2" t="s">
        <v>100</v>
      </c>
      <c r="AP92" s="2" t="s">
        <v>74</v>
      </c>
      <c r="AU92" s="2" t="s">
        <v>75</v>
      </c>
      <c r="AW92" s="2" t="s">
        <v>867</v>
      </c>
      <c r="AZ92" s="2" t="s">
        <v>116</v>
      </c>
    </row>
    <row r="93" spans="1:52" s="3" customFormat="1" x14ac:dyDescent="0.35">
      <c r="A93" s="2" t="s">
        <v>868</v>
      </c>
      <c r="B93" s="4">
        <v>249722</v>
      </c>
      <c r="C93" s="2" t="s">
        <v>869</v>
      </c>
      <c r="D93" s="2">
        <f t="shared" si="1"/>
        <v>5</v>
      </c>
      <c r="G93" s="2" t="s">
        <v>53</v>
      </c>
      <c r="H93" s="4">
        <v>1</v>
      </c>
      <c r="I93" s="4">
        <v>1</v>
      </c>
      <c r="J93" s="4">
        <v>0</v>
      </c>
      <c r="L93" s="4">
        <v>0</v>
      </c>
      <c r="M93" s="2" t="s">
        <v>55</v>
      </c>
      <c r="N93" s="2" t="s">
        <v>56</v>
      </c>
      <c r="O93" s="2" t="s">
        <v>57</v>
      </c>
      <c r="P93" s="2" t="s">
        <v>499</v>
      </c>
      <c r="Q93" s="2" t="s">
        <v>500</v>
      </c>
      <c r="R93" s="2" t="s">
        <v>870</v>
      </c>
      <c r="S93" s="2" t="s">
        <v>871</v>
      </c>
      <c r="V93" s="2" t="s">
        <v>872</v>
      </c>
      <c r="W93" s="2" t="s">
        <v>873</v>
      </c>
      <c r="Y93" s="2" t="s">
        <v>64</v>
      </c>
      <c r="Z93" s="2" t="s">
        <v>65</v>
      </c>
      <c r="AA93" s="2" t="s">
        <v>66</v>
      </c>
      <c r="AC93" s="2" t="s">
        <v>67</v>
      </c>
      <c r="AD93" s="2" t="s">
        <v>68</v>
      </c>
      <c r="AE93" s="2" t="s">
        <v>69</v>
      </c>
      <c r="AF93" s="2" t="s">
        <v>70</v>
      </c>
      <c r="AG93" s="2" t="s">
        <v>499</v>
      </c>
      <c r="AK93" s="2" t="s">
        <v>874</v>
      </c>
      <c r="AM93" s="2" t="s">
        <v>72</v>
      </c>
      <c r="AN93" s="2" t="s">
        <v>100</v>
      </c>
      <c r="AP93" s="2" t="s">
        <v>74</v>
      </c>
      <c r="AU93" s="2" t="s">
        <v>75</v>
      </c>
      <c r="AW93" s="2" t="s">
        <v>875</v>
      </c>
      <c r="AZ93" s="2" t="s">
        <v>116</v>
      </c>
    </row>
    <row r="94" spans="1:52" s="3" customFormat="1" x14ac:dyDescent="0.35">
      <c r="A94" s="2" t="s">
        <v>876</v>
      </c>
      <c r="B94" s="4">
        <v>249721</v>
      </c>
      <c r="C94" s="2" t="s">
        <v>877</v>
      </c>
      <c r="D94" s="2">
        <f t="shared" si="1"/>
        <v>5</v>
      </c>
      <c r="G94" s="2" t="s">
        <v>53</v>
      </c>
      <c r="H94" s="4">
        <v>1</v>
      </c>
      <c r="I94" s="4">
        <v>1</v>
      </c>
      <c r="J94" s="4">
        <v>0</v>
      </c>
      <c r="L94" s="4">
        <v>0</v>
      </c>
      <c r="M94" s="2" t="s">
        <v>55</v>
      </c>
      <c r="N94" s="2" t="s">
        <v>56</v>
      </c>
      <c r="O94" s="2" t="s">
        <v>57</v>
      </c>
      <c r="P94" s="2" t="s">
        <v>499</v>
      </c>
      <c r="Q94" s="2" t="s">
        <v>500</v>
      </c>
      <c r="R94" s="2" t="s">
        <v>878</v>
      </c>
      <c r="S94" s="2" t="s">
        <v>879</v>
      </c>
      <c r="V94" s="2" t="s">
        <v>880</v>
      </c>
      <c r="W94" s="2" t="s">
        <v>881</v>
      </c>
      <c r="Y94" s="2" t="s">
        <v>64</v>
      </c>
      <c r="Z94" s="2" t="s">
        <v>65</v>
      </c>
      <c r="AA94" s="2" t="s">
        <v>66</v>
      </c>
      <c r="AC94" s="2" t="s">
        <v>67</v>
      </c>
      <c r="AD94" s="2" t="s">
        <v>68</v>
      </c>
      <c r="AE94" s="2" t="s">
        <v>69</v>
      </c>
      <c r="AF94" s="2" t="s">
        <v>70</v>
      </c>
      <c r="AG94" s="2" t="s">
        <v>499</v>
      </c>
      <c r="AK94" s="2" t="s">
        <v>882</v>
      </c>
      <c r="AM94" s="2" t="s">
        <v>72</v>
      </c>
      <c r="AN94" s="2" t="s">
        <v>100</v>
      </c>
      <c r="AP94" s="2" t="s">
        <v>74</v>
      </c>
      <c r="AU94" s="2" t="s">
        <v>75</v>
      </c>
      <c r="AV94" s="2" t="s">
        <v>883</v>
      </c>
      <c r="AW94" s="2" t="s">
        <v>884</v>
      </c>
      <c r="AZ94" s="2" t="s">
        <v>116</v>
      </c>
    </row>
    <row r="95" spans="1:52" s="3" customFormat="1" x14ac:dyDescent="0.35">
      <c r="A95" s="2" t="s">
        <v>885</v>
      </c>
      <c r="B95" s="4">
        <v>249718</v>
      </c>
      <c r="C95" s="2" t="s">
        <v>886</v>
      </c>
      <c r="D95" s="2">
        <f t="shared" si="1"/>
        <v>5</v>
      </c>
      <c r="G95" s="2" t="s">
        <v>53</v>
      </c>
      <c r="H95" s="4">
        <v>1</v>
      </c>
      <c r="I95" s="4">
        <v>1</v>
      </c>
      <c r="J95" s="4">
        <v>0</v>
      </c>
      <c r="L95" s="4">
        <v>0</v>
      </c>
      <c r="M95" s="2" t="s">
        <v>55</v>
      </c>
      <c r="N95" s="2" t="s">
        <v>56</v>
      </c>
      <c r="O95" s="2" t="s">
        <v>57</v>
      </c>
      <c r="P95" s="2" t="s">
        <v>499</v>
      </c>
      <c r="Q95" s="2" t="s">
        <v>500</v>
      </c>
      <c r="R95" s="2" t="s">
        <v>887</v>
      </c>
      <c r="S95" s="2" t="s">
        <v>888</v>
      </c>
      <c r="V95" s="2" t="s">
        <v>889</v>
      </c>
      <c r="W95" s="2" t="s">
        <v>890</v>
      </c>
      <c r="Y95" s="2" t="s">
        <v>64</v>
      </c>
      <c r="Z95" s="2" t="s">
        <v>65</v>
      </c>
      <c r="AA95" s="2" t="s">
        <v>66</v>
      </c>
      <c r="AC95" s="2" t="s">
        <v>67</v>
      </c>
      <c r="AD95" s="2" t="s">
        <v>68</v>
      </c>
      <c r="AE95" s="2" t="s">
        <v>69</v>
      </c>
      <c r="AF95" s="2" t="s">
        <v>70</v>
      </c>
      <c r="AG95" s="2" t="s">
        <v>499</v>
      </c>
      <c r="AK95" s="2" t="s">
        <v>891</v>
      </c>
      <c r="AM95" s="2" t="s">
        <v>72</v>
      </c>
      <c r="AN95" s="2" t="s">
        <v>100</v>
      </c>
      <c r="AP95" s="2" t="s">
        <v>74</v>
      </c>
      <c r="AU95" s="2" t="s">
        <v>75</v>
      </c>
      <c r="AV95" s="2" t="s">
        <v>892</v>
      </c>
      <c r="AW95" s="2" t="s">
        <v>893</v>
      </c>
      <c r="AZ95" s="2" t="s">
        <v>116</v>
      </c>
    </row>
    <row r="96" spans="1:52" s="3" customFormat="1" x14ac:dyDescent="0.35">
      <c r="A96" s="2" t="s">
        <v>894</v>
      </c>
      <c r="B96" s="4">
        <v>249717</v>
      </c>
      <c r="C96" s="2" t="s">
        <v>895</v>
      </c>
      <c r="D96" s="2">
        <f t="shared" si="1"/>
        <v>5</v>
      </c>
      <c r="G96" s="2" t="s">
        <v>53</v>
      </c>
      <c r="H96" s="4">
        <v>1</v>
      </c>
      <c r="I96" s="4">
        <v>1</v>
      </c>
      <c r="J96" s="4">
        <v>0</v>
      </c>
      <c r="L96" s="4">
        <v>0</v>
      </c>
      <c r="M96" s="2" t="s">
        <v>55</v>
      </c>
      <c r="N96" s="2" t="s">
        <v>56</v>
      </c>
      <c r="O96" s="2" t="s">
        <v>57</v>
      </c>
      <c r="P96" s="2" t="s">
        <v>499</v>
      </c>
      <c r="Q96" s="2" t="s">
        <v>500</v>
      </c>
      <c r="R96" s="2" t="s">
        <v>896</v>
      </c>
      <c r="S96" s="2" t="s">
        <v>897</v>
      </c>
      <c r="V96" s="2" t="s">
        <v>898</v>
      </c>
      <c r="W96" s="2" t="s">
        <v>899</v>
      </c>
      <c r="Y96" s="2" t="s">
        <v>64</v>
      </c>
      <c r="Z96" s="2" t="s">
        <v>65</v>
      </c>
      <c r="AA96" s="2" t="s">
        <v>66</v>
      </c>
      <c r="AC96" s="2" t="s">
        <v>67</v>
      </c>
      <c r="AD96" s="2" t="s">
        <v>68</v>
      </c>
      <c r="AE96" s="2" t="s">
        <v>69</v>
      </c>
      <c r="AF96" s="2" t="s">
        <v>70</v>
      </c>
      <c r="AG96" s="2" t="s">
        <v>499</v>
      </c>
      <c r="AK96" s="2" t="s">
        <v>900</v>
      </c>
      <c r="AM96" s="2" t="s">
        <v>72</v>
      </c>
      <c r="AN96" s="2" t="s">
        <v>100</v>
      </c>
      <c r="AP96" s="2" t="s">
        <v>74</v>
      </c>
      <c r="AU96" s="2" t="s">
        <v>75</v>
      </c>
      <c r="AV96" s="2" t="s">
        <v>901</v>
      </c>
      <c r="AW96" s="2" t="s">
        <v>902</v>
      </c>
      <c r="AZ96" s="2" t="s">
        <v>116</v>
      </c>
    </row>
    <row r="97" spans="1:52" s="3" customFormat="1" x14ac:dyDescent="0.35">
      <c r="A97" s="2" t="s">
        <v>903</v>
      </c>
      <c r="B97" s="4">
        <v>249716</v>
      </c>
      <c r="C97" s="2" t="s">
        <v>904</v>
      </c>
      <c r="D97" s="2">
        <f t="shared" si="1"/>
        <v>5</v>
      </c>
      <c r="G97" s="2" t="s">
        <v>53</v>
      </c>
      <c r="H97" s="4">
        <v>1</v>
      </c>
      <c r="I97" s="4">
        <v>1</v>
      </c>
      <c r="J97" s="4">
        <v>0</v>
      </c>
      <c r="L97" s="4">
        <v>0</v>
      </c>
      <c r="M97" s="2" t="s">
        <v>55</v>
      </c>
      <c r="N97" s="2" t="s">
        <v>56</v>
      </c>
      <c r="O97" s="2" t="s">
        <v>57</v>
      </c>
      <c r="P97" s="2" t="s">
        <v>499</v>
      </c>
      <c r="Q97" s="2" t="s">
        <v>500</v>
      </c>
      <c r="R97" s="2" t="s">
        <v>905</v>
      </c>
      <c r="S97" s="2" t="s">
        <v>906</v>
      </c>
      <c r="V97" s="2" t="s">
        <v>907</v>
      </c>
      <c r="W97" s="2" t="s">
        <v>908</v>
      </c>
      <c r="Y97" s="2" t="s">
        <v>64</v>
      </c>
      <c r="Z97" s="2" t="s">
        <v>65</v>
      </c>
      <c r="AA97" s="2" t="s">
        <v>66</v>
      </c>
      <c r="AC97" s="2" t="s">
        <v>67</v>
      </c>
      <c r="AD97" s="2" t="s">
        <v>68</v>
      </c>
      <c r="AE97" s="2" t="s">
        <v>69</v>
      </c>
      <c r="AF97" s="2" t="s">
        <v>70</v>
      </c>
      <c r="AG97" s="2" t="s">
        <v>499</v>
      </c>
      <c r="AK97" s="2" t="s">
        <v>909</v>
      </c>
      <c r="AM97" s="2" t="s">
        <v>72</v>
      </c>
      <c r="AN97" s="2" t="s">
        <v>100</v>
      </c>
      <c r="AP97" s="2" t="s">
        <v>74</v>
      </c>
      <c r="AU97" s="2" t="s">
        <v>75</v>
      </c>
      <c r="AV97" s="2" t="s">
        <v>910</v>
      </c>
      <c r="AW97" s="2" t="s">
        <v>911</v>
      </c>
      <c r="AZ97" s="2" t="s">
        <v>116</v>
      </c>
    </row>
    <row r="98" spans="1:52" s="3" customFormat="1" x14ac:dyDescent="0.35">
      <c r="A98" s="2" t="s">
        <v>912</v>
      </c>
      <c r="B98" s="4">
        <v>249715</v>
      </c>
      <c r="C98" s="2" t="s">
        <v>913</v>
      </c>
      <c r="D98" s="2">
        <f t="shared" si="1"/>
        <v>5</v>
      </c>
      <c r="G98" s="2" t="s">
        <v>53</v>
      </c>
      <c r="H98" s="4">
        <v>1</v>
      </c>
      <c r="I98" s="4">
        <v>1</v>
      </c>
      <c r="J98" s="4">
        <v>0</v>
      </c>
      <c r="L98" s="4">
        <v>0</v>
      </c>
      <c r="M98" s="2" t="s">
        <v>55</v>
      </c>
      <c r="N98" s="2" t="s">
        <v>56</v>
      </c>
      <c r="O98" s="2" t="s">
        <v>57</v>
      </c>
      <c r="P98" s="2" t="s">
        <v>499</v>
      </c>
      <c r="Q98" s="2" t="s">
        <v>500</v>
      </c>
      <c r="R98" s="2" t="s">
        <v>914</v>
      </c>
      <c r="S98" s="2" t="s">
        <v>915</v>
      </c>
      <c r="V98" s="2" t="s">
        <v>916</v>
      </c>
      <c r="W98" s="2" t="s">
        <v>917</v>
      </c>
      <c r="Y98" s="2" t="s">
        <v>64</v>
      </c>
      <c r="Z98" s="2" t="s">
        <v>205</v>
      </c>
      <c r="AA98" s="2" t="s">
        <v>66</v>
      </c>
      <c r="AC98" s="2" t="s">
        <v>67</v>
      </c>
      <c r="AD98" s="2" t="s">
        <v>68</v>
      </c>
      <c r="AE98" s="2" t="s">
        <v>69</v>
      </c>
      <c r="AF98" s="2" t="s">
        <v>70</v>
      </c>
      <c r="AG98" s="2" t="s">
        <v>499</v>
      </c>
      <c r="AK98" s="2" t="s">
        <v>918</v>
      </c>
      <c r="AM98" s="2" t="s">
        <v>72</v>
      </c>
      <c r="AN98" s="2" t="s">
        <v>100</v>
      </c>
      <c r="AP98" s="2" t="s">
        <v>74</v>
      </c>
      <c r="AU98" s="2" t="s">
        <v>75</v>
      </c>
      <c r="AW98" s="2" t="s">
        <v>919</v>
      </c>
      <c r="AZ98" s="2" t="s">
        <v>116</v>
      </c>
    </row>
    <row r="99" spans="1:52" s="3" customFormat="1" x14ac:dyDescent="0.35">
      <c r="A99" s="2" t="s">
        <v>920</v>
      </c>
      <c r="B99" s="4">
        <v>249713</v>
      </c>
      <c r="C99" s="2" t="s">
        <v>921</v>
      </c>
      <c r="D99" s="2">
        <f t="shared" si="1"/>
        <v>5</v>
      </c>
      <c r="G99" s="2" t="s">
        <v>53</v>
      </c>
      <c r="H99" s="4">
        <v>1</v>
      </c>
      <c r="I99" s="4">
        <v>1</v>
      </c>
      <c r="J99" s="4">
        <v>0</v>
      </c>
      <c r="L99" s="4">
        <v>0</v>
      </c>
      <c r="M99" s="2" t="s">
        <v>55</v>
      </c>
      <c r="N99" s="2" t="s">
        <v>56</v>
      </c>
      <c r="O99" s="2" t="s">
        <v>57</v>
      </c>
      <c r="P99" s="2" t="s">
        <v>499</v>
      </c>
      <c r="Q99" s="2" t="s">
        <v>500</v>
      </c>
      <c r="R99" s="2" t="s">
        <v>922</v>
      </c>
      <c r="S99" s="2" t="s">
        <v>923</v>
      </c>
      <c r="V99" s="2" t="s">
        <v>924</v>
      </c>
      <c r="W99" s="2" t="s">
        <v>925</v>
      </c>
      <c r="Y99" s="2" t="s">
        <v>64</v>
      </c>
      <c r="Z99" s="2" t="s">
        <v>65</v>
      </c>
      <c r="AA99" s="2" t="s">
        <v>66</v>
      </c>
      <c r="AC99" s="2" t="s">
        <v>67</v>
      </c>
      <c r="AD99" s="2" t="s">
        <v>68</v>
      </c>
      <c r="AE99" s="2" t="s">
        <v>69</v>
      </c>
      <c r="AF99" s="2" t="s">
        <v>70</v>
      </c>
      <c r="AG99" s="2" t="s">
        <v>499</v>
      </c>
      <c r="AK99" s="2" t="s">
        <v>926</v>
      </c>
      <c r="AM99" s="2" t="s">
        <v>72</v>
      </c>
      <c r="AN99" s="2" t="s">
        <v>100</v>
      </c>
      <c r="AP99" s="2" t="s">
        <v>74</v>
      </c>
      <c r="AU99" s="2" t="s">
        <v>75</v>
      </c>
      <c r="AW99" s="2" t="s">
        <v>927</v>
      </c>
      <c r="AZ99" s="2" t="s">
        <v>116</v>
      </c>
    </row>
    <row r="100" spans="1:52" s="3" customFormat="1" x14ac:dyDescent="0.35">
      <c r="A100" s="2" t="s">
        <v>928</v>
      </c>
      <c r="B100" s="4">
        <v>249712</v>
      </c>
      <c r="C100" s="2" t="s">
        <v>929</v>
      </c>
      <c r="D100" s="2">
        <f t="shared" si="1"/>
        <v>5</v>
      </c>
      <c r="G100" s="2" t="s">
        <v>53</v>
      </c>
      <c r="H100" s="4">
        <v>1</v>
      </c>
      <c r="I100" s="4">
        <v>1</v>
      </c>
      <c r="J100" s="4">
        <v>0</v>
      </c>
      <c r="L100" s="4">
        <v>0</v>
      </c>
      <c r="M100" s="2" t="s">
        <v>55</v>
      </c>
      <c r="N100" s="2" t="s">
        <v>56</v>
      </c>
      <c r="O100" s="2" t="s">
        <v>57</v>
      </c>
      <c r="P100" s="2" t="s">
        <v>499</v>
      </c>
      <c r="Q100" s="2" t="s">
        <v>500</v>
      </c>
      <c r="R100" s="2" t="s">
        <v>930</v>
      </c>
      <c r="S100" s="2" t="s">
        <v>931</v>
      </c>
      <c r="V100" s="2" t="s">
        <v>932</v>
      </c>
      <c r="W100" s="2" t="s">
        <v>933</v>
      </c>
      <c r="Y100" s="2" t="s">
        <v>64</v>
      </c>
      <c r="Z100" s="2" t="s">
        <v>65</v>
      </c>
      <c r="AA100" s="2" t="s">
        <v>66</v>
      </c>
      <c r="AC100" s="2" t="s">
        <v>67</v>
      </c>
      <c r="AD100" s="2" t="s">
        <v>68</v>
      </c>
      <c r="AE100" s="2" t="s">
        <v>69</v>
      </c>
      <c r="AF100" s="2" t="s">
        <v>70</v>
      </c>
      <c r="AG100" s="2" t="s">
        <v>499</v>
      </c>
      <c r="AK100" s="2" t="s">
        <v>934</v>
      </c>
      <c r="AM100" s="2" t="s">
        <v>72</v>
      </c>
      <c r="AN100" s="2" t="s">
        <v>100</v>
      </c>
      <c r="AP100" s="2" t="s">
        <v>74</v>
      </c>
      <c r="AU100" s="2" t="s">
        <v>75</v>
      </c>
      <c r="AV100" s="2" t="s">
        <v>935</v>
      </c>
      <c r="AW100" s="2" t="s">
        <v>936</v>
      </c>
      <c r="AZ100" s="2" t="s">
        <v>116</v>
      </c>
    </row>
    <row r="101" spans="1:52" s="3" customFormat="1" x14ac:dyDescent="0.35">
      <c r="A101" s="2" t="s">
        <v>937</v>
      </c>
      <c r="B101" s="4">
        <v>249710</v>
      </c>
      <c r="C101" s="2" t="s">
        <v>938</v>
      </c>
      <c r="D101" s="2">
        <f t="shared" si="1"/>
        <v>5</v>
      </c>
      <c r="G101" s="2" t="s">
        <v>53</v>
      </c>
      <c r="H101" s="4">
        <v>1</v>
      </c>
      <c r="I101" s="4">
        <v>1</v>
      </c>
      <c r="J101" s="4">
        <v>0</v>
      </c>
      <c r="L101" s="4">
        <v>0</v>
      </c>
      <c r="M101" s="2" t="s">
        <v>55</v>
      </c>
      <c r="N101" s="2" t="s">
        <v>56</v>
      </c>
      <c r="O101" s="2" t="s">
        <v>57</v>
      </c>
      <c r="P101" s="2" t="s">
        <v>499</v>
      </c>
      <c r="Q101" s="2" t="s">
        <v>500</v>
      </c>
      <c r="R101" s="2" t="s">
        <v>939</v>
      </c>
      <c r="S101" s="2" t="s">
        <v>940</v>
      </c>
      <c r="V101" s="2" t="s">
        <v>941</v>
      </c>
      <c r="W101" s="2" t="s">
        <v>942</v>
      </c>
      <c r="Y101" s="2" t="s">
        <v>64</v>
      </c>
      <c r="Z101" s="2" t="s">
        <v>65</v>
      </c>
      <c r="AA101" s="2" t="s">
        <v>66</v>
      </c>
      <c r="AC101" s="2" t="s">
        <v>67</v>
      </c>
      <c r="AD101" s="2" t="s">
        <v>68</v>
      </c>
      <c r="AE101" s="2" t="s">
        <v>69</v>
      </c>
      <c r="AF101" s="2" t="s">
        <v>70</v>
      </c>
      <c r="AG101" s="2" t="s">
        <v>499</v>
      </c>
      <c r="AK101" s="2" t="s">
        <v>943</v>
      </c>
      <c r="AM101" s="2" t="s">
        <v>72</v>
      </c>
      <c r="AN101" s="2" t="s">
        <v>100</v>
      </c>
      <c r="AP101" s="2" t="s">
        <v>74</v>
      </c>
      <c r="AU101" s="2" t="s">
        <v>75</v>
      </c>
      <c r="AW101" s="2" t="s">
        <v>944</v>
      </c>
      <c r="AZ101" s="2" t="s">
        <v>116</v>
      </c>
    </row>
    <row r="102" spans="1:52" s="3" customFormat="1" x14ac:dyDescent="0.35">
      <c r="A102" s="2" t="s">
        <v>945</v>
      </c>
      <c r="B102" s="4">
        <v>249708</v>
      </c>
      <c r="C102" s="2" t="s">
        <v>946</v>
      </c>
      <c r="D102" s="2">
        <f t="shared" si="1"/>
        <v>5</v>
      </c>
      <c r="G102" s="2" t="s">
        <v>53</v>
      </c>
      <c r="H102" s="4">
        <v>1</v>
      </c>
      <c r="I102" s="4">
        <v>1</v>
      </c>
      <c r="J102" s="4">
        <v>0</v>
      </c>
      <c r="L102" s="4">
        <v>0</v>
      </c>
      <c r="M102" s="2" t="s">
        <v>55</v>
      </c>
      <c r="N102" s="2" t="s">
        <v>56</v>
      </c>
      <c r="O102" s="2" t="s">
        <v>57</v>
      </c>
      <c r="P102" s="2" t="s">
        <v>499</v>
      </c>
      <c r="Q102" s="2" t="s">
        <v>500</v>
      </c>
      <c r="R102" s="2" t="s">
        <v>947</v>
      </c>
      <c r="S102" s="2" t="s">
        <v>948</v>
      </c>
      <c r="V102" s="2" t="s">
        <v>949</v>
      </c>
      <c r="W102" s="2" t="s">
        <v>950</v>
      </c>
      <c r="Y102" s="2" t="s">
        <v>64</v>
      </c>
      <c r="Z102" s="2" t="s">
        <v>65</v>
      </c>
      <c r="AA102" s="2" t="s">
        <v>66</v>
      </c>
      <c r="AC102" s="2" t="s">
        <v>67</v>
      </c>
      <c r="AD102" s="2" t="s">
        <v>68</v>
      </c>
      <c r="AE102" s="2" t="s">
        <v>69</v>
      </c>
      <c r="AF102" s="2" t="s">
        <v>70</v>
      </c>
      <c r="AG102" s="2" t="s">
        <v>499</v>
      </c>
      <c r="AK102" s="2" t="s">
        <v>951</v>
      </c>
      <c r="AM102" s="2" t="s">
        <v>72</v>
      </c>
      <c r="AN102" s="2" t="s">
        <v>100</v>
      </c>
      <c r="AP102" s="2" t="s">
        <v>74</v>
      </c>
      <c r="AU102" s="2" t="s">
        <v>75</v>
      </c>
      <c r="AW102" s="2" t="s">
        <v>952</v>
      </c>
      <c r="AZ102" s="2" t="s">
        <v>116</v>
      </c>
    </row>
    <row r="103" spans="1:52" s="3" customFormat="1" x14ac:dyDescent="0.35">
      <c r="A103" s="2" t="s">
        <v>953</v>
      </c>
      <c r="B103" s="4">
        <v>249707</v>
      </c>
      <c r="C103" s="2" t="s">
        <v>954</v>
      </c>
      <c r="D103" s="2">
        <f t="shared" si="1"/>
        <v>5</v>
      </c>
      <c r="G103" s="2" t="s">
        <v>53</v>
      </c>
      <c r="H103" s="4">
        <v>1</v>
      </c>
      <c r="I103" s="4">
        <v>1</v>
      </c>
      <c r="J103" s="4">
        <v>0</v>
      </c>
      <c r="L103" s="4">
        <v>0</v>
      </c>
      <c r="M103" s="2" t="s">
        <v>55</v>
      </c>
      <c r="N103" s="2" t="s">
        <v>56</v>
      </c>
      <c r="O103" s="2" t="s">
        <v>57</v>
      </c>
      <c r="P103" s="2" t="s">
        <v>499</v>
      </c>
      <c r="Q103" s="2" t="s">
        <v>500</v>
      </c>
      <c r="R103" s="2" t="s">
        <v>955</v>
      </c>
      <c r="S103" s="2" t="s">
        <v>956</v>
      </c>
      <c r="V103" s="2" t="s">
        <v>957</v>
      </c>
      <c r="W103" s="2" t="s">
        <v>958</v>
      </c>
      <c r="Y103" s="2" t="s">
        <v>64</v>
      </c>
      <c r="Z103" s="2" t="s">
        <v>65</v>
      </c>
      <c r="AA103" s="2" t="s">
        <v>66</v>
      </c>
      <c r="AC103" s="2" t="s">
        <v>67</v>
      </c>
      <c r="AD103" s="2" t="s">
        <v>68</v>
      </c>
      <c r="AE103" s="2" t="s">
        <v>69</v>
      </c>
      <c r="AF103" s="2" t="s">
        <v>70</v>
      </c>
      <c r="AG103" s="2" t="s">
        <v>499</v>
      </c>
      <c r="AK103" s="2" t="s">
        <v>959</v>
      </c>
      <c r="AM103" s="2" t="s">
        <v>72</v>
      </c>
      <c r="AN103" s="2" t="s">
        <v>100</v>
      </c>
      <c r="AP103" s="2" t="s">
        <v>74</v>
      </c>
      <c r="AU103" s="2" t="s">
        <v>75</v>
      </c>
      <c r="AW103" s="2" t="s">
        <v>960</v>
      </c>
      <c r="AZ103" s="2" t="s">
        <v>116</v>
      </c>
    </row>
    <row r="104" spans="1:52" s="3" customFormat="1" x14ac:dyDescent="0.35">
      <c r="A104" s="2" t="s">
        <v>961</v>
      </c>
      <c r="B104" s="4">
        <v>249705</v>
      </c>
      <c r="C104" s="2" t="s">
        <v>962</v>
      </c>
      <c r="D104" s="2">
        <f t="shared" si="1"/>
        <v>5</v>
      </c>
      <c r="G104" s="2" t="s">
        <v>53</v>
      </c>
      <c r="H104" s="4">
        <v>1</v>
      </c>
      <c r="I104" s="4">
        <v>1</v>
      </c>
      <c r="J104" s="4">
        <v>0</v>
      </c>
      <c r="L104" s="4">
        <v>0</v>
      </c>
      <c r="M104" s="2" t="s">
        <v>55</v>
      </c>
      <c r="N104" s="2" t="s">
        <v>56</v>
      </c>
      <c r="O104" s="2" t="s">
        <v>57</v>
      </c>
      <c r="P104" s="2" t="s">
        <v>499</v>
      </c>
      <c r="Q104" s="2" t="s">
        <v>500</v>
      </c>
      <c r="R104" s="2" t="s">
        <v>963</v>
      </c>
      <c r="S104" s="2" t="s">
        <v>964</v>
      </c>
      <c r="V104" s="2" t="s">
        <v>965</v>
      </c>
      <c r="W104" s="2" t="s">
        <v>966</v>
      </c>
      <c r="Y104" s="2" t="s">
        <v>64</v>
      </c>
      <c r="Z104" s="2" t="s">
        <v>65</v>
      </c>
      <c r="AA104" s="2" t="s">
        <v>66</v>
      </c>
      <c r="AC104" s="2" t="s">
        <v>67</v>
      </c>
      <c r="AD104" s="2" t="s">
        <v>68</v>
      </c>
      <c r="AE104" s="2" t="s">
        <v>69</v>
      </c>
      <c r="AF104" s="2" t="s">
        <v>70</v>
      </c>
      <c r="AG104" s="2" t="s">
        <v>499</v>
      </c>
      <c r="AK104" s="2" t="s">
        <v>967</v>
      </c>
      <c r="AM104" s="2" t="s">
        <v>72</v>
      </c>
      <c r="AN104" s="2" t="s">
        <v>100</v>
      </c>
      <c r="AP104" s="2" t="s">
        <v>74</v>
      </c>
      <c r="AU104" s="2" t="s">
        <v>75</v>
      </c>
      <c r="AW104" s="2" t="s">
        <v>968</v>
      </c>
      <c r="AZ104" s="2" t="s">
        <v>116</v>
      </c>
    </row>
    <row r="105" spans="1:52" s="3" customFormat="1" x14ac:dyDescent="0.35">
      <c r="A105" s="2" t="s">
        <v>969</v>
      </c>
      <c r="B105" s="4">
        <v>249704</v>
      </c>
      <c r="C105" s="2" t="s">
        <v>970</v>
      </c>
      <c r="D105" s="2">
        <f t="shared" si="1"/>
        <v>5</v>
      </c>
      <c r="G105" s="2" t="s">
        <v>53</v>
      </c>
      <c r="H105" s="4">
        <v>1</v>
      </c>
      <c r="I105" s="4">
        <v>1</v>
      </c>
      <c r="J105" s="4">
        <v>0</v>
      </c>
      <c r="L105" s="4">
        <v>0</v>
      </c>
      <c r="M105" s="2" t="s">
        <v>55</v>
      </c>
      <c r="N105" s="2" t="s">
        <v>56</v>
      </c>
      <c r="O105" s="2" t="s">
        <v>57</v>
      </c>
      <c r="P105" s="2" t="s">
        <v>499</v>
      </c>
      <c r="Q105" s="2" t="s">
        <v>500</v>
      </c>
      <c r="R105" s="2" t="s">
        <v>971</v>
      </c>
      <c r="S105" s="2" t="s">
        <v>972</v>
      </c>
      <c r="V105" s="2" t="s">
        <v>973</v>
      </c>
      <c r="W105" s="2" t="s">
        <v>974</v>
      </c>
      <c r="Y105" s="2" t="s">
        <v>64</v>
      </c>
      <c r="Z105" s="2" t="s">
        <v>65</v>
      </c>
      <c r="AA105" s="2" t="s">
        <v>66</v>
      </c>
      <c r="AC105" s="2" t="s">
        <v>67</v>
      </c>
      <c r="AD105" s="2" t="s">
        <v>68</v>
      </c>
      <c r="AE105" s="2" t="s">
        <v>69</v>
      </c>
      <c r="AF105" s="2" t="s">
        <v>70</v>
      </c>
      <c r="AG105" s="2" t="s">
        <v>499</v>
      </c>
      <c r="AK105" s="2" t="s">
        <v>975</v>
      </c>
      <c r="AM105" s="2" t="s">
        <v>72</v>
      </c>
      <c r="AN105" s="2" t="s">
        <v>100</v>
      </c>
      <c r="AP105" s="2" t="s">
        <v>74</v>
      </c>
      <c r="AU105" s="2" t="s">
        <v>75</v>
      </c>
      <c r="AW105" s="2" t="s">
        <v>976</v>
      </c>
      <c r="AZ105" s="2" t="s">
        <v>116</v>
      </c>
    </row>
    <row r="106" spans="1:52" s="3" customFormat="1" x14ac:dyDescent="0.35">
      <c r="A106" s="2" t="s">
        <v>977</v>
      </c>
      <c r="B106" s="4">
        <v>249703</v>
      </c>
      <c r="C106" s="2" t="s">
        <v>978</v>
      </c>
      <c r="D106" s="2">
        <f t="shared" si="1"/>
        <v>5</v>
      </c>
      <c r="G106" s="2" t="s">
        <v>53</v>
      </c>
      <c r="H106" s="4">
        <v>1</v>
      </c>
      <c r="I106" s="4">
        <v>1</v>
      </c>
      <c r="J106" s="4">
        <v>0</v>
      </c>
      <c r="L106" s="4">
        <v>0</v>
      </c>
      <c r="M106" s="2" t="s">
        <v>55</v>
      </c>
      <c r="N106" s="2" t="s">
        <v>56</v>
      </c>
      <c r="O106" s="2" t="s">
        <v>57</v>
      </c>
      <c r="P106" s="2" t="s">
        <v>499</v>
      </c>
      <c r="Q106" s="2" t="s">
        <v>500</v>
      </c>
      <c r="R106" s="2" t="s">
        <v>979</v>
      </c>
      <c r="S106" s="2" t="s">
        <v>980</v>
      </c>
      <c r="V106" s="2" t="s">
        <v>981</v>
      </c>
      <c r="W106" s="2" t="s">
        <v>982</v>
      </c>
      <c r="Y106" s="2" t="s">
        <v>64</v>
      </c>
      <c r="Z106" s="2" t="s">
        <v>65</v>
      </c>
      <c r="AA106" s="2" t="s">
        <v>66</v>
      </c>
      <c r="AC106" s="2" t="s">
        <v>67</v>
      </c>
      <c r="AD106" s="2" t="s">
        <v>68</v>
      </c>
      <c r="AE106" s="2" t="s">
        <v>69</v>
      </c>
      <c r="AF106" s="2" t="s">
        <v>70</v>
      </c>
      <c r="AG106" s="2" t="s">
        <v>499</v>
      </c>
      <c r="AK106" s="2" t="s">
        <v>983</v>
      </c>
      <c r="AM106" s="2" t="s">
        <v>72</v>
      </c>
      <c r="AN106" s="2" t="s">
        <v>100</v>
      </c>
      <c r="AP106" s="2" t="s">
        <v>74</v>
      </c>
      <c r="AU106" s="2" t="s">
        <v>75</v>
      </c>
      <c r="AW106" s="2" t="s">
        <v>984</v>
      </c>
      <c r="AZ106" s="2" t="s">
        <v>116</v>
      </c>
    </row>
    <row r="107" spans="1:52" s="3" customFormat="1" x14ac:dyDescent="0.35">
      <c r="A107" s="2" t="s">
        <v>985</v>
      </c>
      <c r="B107" s="4">
        <v>249702</v>
      </c>
      <c r="C107" s="2" t="s">
        <v>986</v>
      </c>
      <c r="D107" s="2">
        <f t="shared" si="1"/>
        <v>5</v>
      </c>
      <c r="G107" s="2" t="s">
        <v>53</v>
      </c>
      <c r="H107" s="4">
        <v>1</v>
      </c>
      <c r="I107" s="4">
        <v>1</v>
      </c>
      <c r="J107" s="4">
        <v>0</v>
      </c>
      <c r="L107" s="4">
        <v>0</v>
      </c>
      <c r="M107" s="2" t="s">
        <v>55</v>
      </c>
      <c r="N107" s="2" t="s">
        <v>56</v>
      </c>
      <c r="O107" s="2" t="s">
        <v>57</v>
      </c>
      <c r="P107" s="2" t="s">
        <v>499</v>
      </c>
      <c r="Q107" s="2" t="s">
        <v>500</v>
      </c>
      <c r="R107" s="2" t="s">
        <v>987</v>
      </c>
      <c r="S107" s="2" t="s">
        <v>988</v>
      </c>
      <c r="V107" s="2" t="s">
        <v>989</v>
      </c>
      <c r="W107" s="2" t="s">
        <v>990</v>
      </c>
      <c r="Y107" s="2" t="s">
        <v>64</v>
      </c>
      <c r="Z107" s="2" t="s">
        <v>65</v>
      </c>
      <c r="AA107" s="2" t="s">
        <v>66</v>
      </c>
      <c r="AC107" s="2" t="s">
        <v>67</v>
      </c>
      <c r="AD107" s="2" t="s">
        <v>68</v>
      </c>
      <c r="AE107" s="2" t="s">
        <v>69</v>
      </c>
      <c r="AF107" s="2" t="s">
        <v>70</v>
      </c>
      <c r="AG107" s="2" t="s">
        <v>499</v>
      </c>
      <c r="AK107" s="2" t="s">
        <v>991</v>
      </c>
      <c r="AM107" s="2" t="s">
        <v>72</v>
      </c>
      <c r="AN107" s="2" t="s">
        <v>100</v>
      </c>
      <c r="AP107" s="2" t="s">
        <v>74</v>
      </c>
      <c r="AU107" s="2" t="s">
        <v>75</v>
      </c>
      <c r="AW107" s="2" t="s">
        <v>992</v>
      </c>
      <c r="AZ107" s="2" t="s">
        <v>116</v>
      </c>
    </row>
    <row r="108" spans="1:52" s="3" customFormat="1" x14ac:dyDescent="0.35">
      <c r="A108" s="2" t="s">
        <v>993</v>
      </c>
      <c r="B108" s="4">
        <v>249701</v>
      </c>
      <c r="C108" s="2" t="s">
        <v>994</v>
      </c>
      <c r="D108" s="2">
        <f t="shared" si="1"/>
        <v>5</v>
      </c>
      <c r="G108" s="2" t="s">
        <v>53</v>
      </c>
      <c r="H108" s="4">
        <v>1</v>
      </c>
      <c r="I108" s="4">
        <v>1</v>
      </c>
      <c r="J108" s="4">
        <v>0</v>
      </c>
      <c r="L108" s="4">
        <v>0</v>
      </c>
      <c r="M108" s="2" t="s">
        <v>55</v>
      </c>
      <c r="N108" s="2" t="s">
        <v>56</v>
      </c>
      <c r="O108" s="2" t="s">
        <v>57</v>
      </c>
      <c r="P108" s="2" t="s">
        <v>499</v>
      </c>
      <c r="Q108" s="2" t="s">
        <v>500</v>
      </c>
      <c r="R108" s="2" t="s">
        <v>995</v>
      </c>
      <c r="S108" s="2" t="s">
        <v>906</v>
      </c>
      <c r="V108" s="2" t="s">
        <v>996</v>
      </c>
      <c r="W108" s="2" t="s">
        <v>997</v>
      </c>
      <c r="Y108" s="2" t="s">
        <v>64</v>
      </c>
      <c r="Z108" s="2" t="s">
        <v>65</v>
      </c>
      <c r="AA108" s="2" t="s">
        <v>66</v>
      </c>
      <c r="AC108" s="2" t="s">
        <v>67</v>
      </c>
      <c r="AD108" s="2" t="s">
        <v>68</v>
      </c>
      <c r="AE108" s="2" t="s">
        <v>69</v>
      </c>
      <c r="AF108" s="2" t="s">
        <v>70</v>
      </c>
      <c r="AG108" s="2" t="s">
        <v>499</v>
      </c>
      <c r="AK108" s="2" t="s">
        <v>998</v>
      </c>
      <c r="AM108" s="2" t="s">
        <v>72</v>
      </c>
      <c r="AN108" s="2" t="s">
        <v>100</v>
      </c>
      <c r="AP108" s="2" t="s">
        <v>74</v>
      </c>
      <c r="AU108" s="2" t="s">
        <v>75</v>
      </c>
      <c r="AV108" s="2" t="s">
        <v>910</v>
      </c>
      <c r="AW108" s="2" t="s">
        <v>911</v>
      </c>
      <c r="AZ108" s="2" t="s">
        <v>116</v>
      </c>
    </row>
    <row r="109" spans="1:52" s="3" customFormat="1" x14ac:dyDescent="0.35">
      <c r="A109" s="2" t="s">
        <v>999</v>
      </c>
      <c r="B109" s="4">
        <v>249700</v>
      </c>
      <c r="C109" s="2" t="s">
        <v>1000</v>
      </c>
      <c r="D109" s="2">
        <f t="shared" si="1"/>
        <v>5</v>
      </c>
      <c r="G109" s="2" t="s">
        <v>53</v>
      </c>
      <c r="H109" s="4">
        <v>1</v>
      </c>
      <c r="I109" s="4">
        <v>1</v>
      </c>
      <c r="J109" s="4">
        <v>0</v>
      </c>
      <c r="L109" s="4">
        <v>0</v>
      </c>
      <c r="M109" s="2" t="s">
        <v>55</v>
      </c>
      <c r="N109" s="2" t="s">
        <v>56</v>
      </c>
      <c r="O109" s="2" t="s">
        <v>57</v>
      </c>
      <c r="P109" s="2" t="s">
        <v>499</v>
      </c>
      <c r="Q109" s="2" t="s">
        <v>500</v>
      </c>
      <c r="R109" s="2" t="s">
        <v>1001</v>
      </c>
      <c r="S109" s="2" t="s">
        <v>1002</v>
      </c>
      <c r="V109" s="2" t="s">
        <v>1003</v>
      </c>
      <c r="W109" s="2" t="s">
        <v>1004</v>
      </c>
      <c r="Y109" s="2" t="s">
        <v>64</v>
      </c>
      <c r="Z109" s="2" t="s">
        <v>65</v>
      </c>
      <c r="AA109" s="2" t="s">
        <v>66</v>
      </c>
      <c r="AC109" s="2" t="s">
        <v>67</v>
      </c>
      <c r="AD109" s="2" t="s">
        <v>68</v>
      </c>
      <c r="AE109" s="2" t="s">
        <v>69</v>
      </c>
      <c r="AF109" s="2" t="s">
        <v>70</v>
      </c>
      <c r="AG109" s="2" t="s">
        <v>499</v>
      </c>
      <c r="AK109" s="2" t="s">
        <v>1005</v>
      </c>
      <c r="AM109" s="2" t="s">
        <v>72</v>
      </c>
      <c r="AN109" s="2" t="s">
        <v>100</v>
      </c>
      <c r="AP109" s="2" t="s">
        <v>74</v>
      </c>
      <c r="AU109" s="2" t="s">
        <v>75</v>
      </c>
      <c r="AW109" s="2" t="s">
        <v>1006</v>
      </c>
      <c r="AZ109" s="2" t="s">
        <v>116</v>
      </c>
    </row>
    <row r="110" spans="1:52" s="3" customFormat="1" x14ac:dyDescent="0.35">
      <c r="A110" s="2" t="s">
        <v>1007</v>
      </c>
      <c r="B110" s="4">
        <v>249693</v>
      </c>
      <c r="C110" s="2" t="s">
        <v>1008</v>
      </c>
      <c r="D110" s="2">
        <f t="shared" si="1"/>
        <v>5</v>
      </c>
      <c r="F110" s="2" t="s">
        <v>481</v>
      </c>
      <c r="G110" s="2" t="s">
        <v>53</v>
      </c>
      <c r="H110" s="4">
        <v>1</v>
      </c>
      <c r="I110" s="4">
        <v>1</v>
      </c>
      <c r="J110" s="4">
        <v>0</v>
      </c>
      <c r="L110" s="4">
        <v>0</v>
      </c>
      <c r="M110" s="2" t="s">
        <v>55</v>
      </c>
      <c r="N110" s="2" t="s">
        <v>56</v>
      </c>
      <c r="O110" s="2" t="s">
        <v>57</v>
      </c>
      <c r="P110" s="2" t="s">
        <v>509</v>
      </c>
      <c r="Q110" s="2" t="s">
        <v>510</v>
      </c>
      <c r="R110" s="2" t="s">
        <v>1009</v>
      </c>
      <c r="S110" s="2" t="s">
        <v>1010</v>
      </c>
      <c r="V110" s="2" t="s">
        <v>1011</v>
      </c>
      <c r="W110" s="2" t="s">
        <v>1012</v>
      </c>
      <c r="Y110" s="2" t="s">
        <v>64</v>
      </c>
      <c r="Z110" s="2" t="s">
        <v>205</v>
      </c>
      <c r="AA110" s="2" t="s">
        <v>66</v>
      </c>
      <c r="AC110" s="2" t="s">
        <v>67</v>
      </c>
      <c r="AD110" s="2" t="s">
        <v>68</v>
      </c>
      <c r="AE110" s="2" t="s">
        <v>69</v>
      </c>
      <c r="AF110" s="2" t="s">
        <v>70</v>
      </c>
      <c r="AG110" s="2" t="s">
        <v>509</v>
      </c>
      <c r="AK110" s="2" t="s">
        <v>1013</v>
      </c>
      <c r="AM110" s="2" t="s">
        <v>72</v>
      </c>
      <c r="AN110" s="2" t="s">
        <v>403</v>
      </c>
      <c r="AP110" s="2" t="s">
        <v>74</v>
      </c>
      <c r="AU110" s="2" t="s">
        <v>75</v>
      </c>
      <c r="AW110" s="2" t="s">
        <v>1014</v>
      </c>
      <c r="AZ110" s="2" t="s">
        <v>116</v>
      </c>
    </row>
    <row r="111" spans="1:52" s="3" customFormat="1" x14ac:dyDescent="0.35">
      <c r="A111" s="2" t="s">
        <v>1015</v>
      </c>
      <c r="B111" s="4">
        <v>249522</v>
      </c>
      <c r="C111" s="2" t="s">
        <v>1016</v>
      </c>
      <c r="D111" s="2">
        <f t="shared" si="1"/>
        <v>5</v>
      </c>
      <c r="G111" s="2" t="s">
        <v>53</v>
      </c>
      <c r="H111" s="4">
        <v>1</v>
      </c>
      <c r="I111" s="4">
        <v>1</v>
      </c>
      <c r="J111" s="4">
        <v>0</v>
      </c>
      <c r="L111" s="4">
        <v>0</v>
      </c>
      <c r="M111" s="2" t="s">
        <v>55</v>
      </c>
      <c r="N111" s="2" t="s">
        <v>56</v>
      </c>
      <c r="O111" s="2" t="s">
        <v>57</v>
      </c>
      <c r="P111" s="2" t="s">
        <v>499</v>
      </c>
      <c r="Q111" s="2" t="s">
        <v>500</v>
      </c>
      <c r="R111" s="2" t="s">
        <v>1017</v>
      </c>
      <c r="S111" s="2" t="s">
        <v>1018</v>
      </c>
      <c r="V111" s="2" t="s">
        <v>1019</v>
      </c>
      <c r="W111" s="2" t="s">
        <v>1020</v>
      </c>
      <c r="Y111" s="2" t="s">
        <v>64</v>
      </c>
      <c r="Z111" s="2" t="s">
        <v>65</v>
      </c>
      <c r="AA111" s="2" t="s">
        <v>66</v>
      </c>
      <c r="AC111" s="2" t="s">
        <v>67</v>
      </c>
      <c r="AD111" s="2" t="s">
        <v>68</v>
      </c>
      <c r="AE111" s="2" t="s">
        <v>69</v>
      </c>
      <c r="AF111" s="2" t="s">
        <v>70</v>
      </c>
      <c r="AG111" s="2" t="s">
        <v>499</v>
      </c>
      <c r="AK111" s="2" t="s">
        <v>1021</v>
      </c>
      <c r="AM111" s="2" t="s">
        <v>72</v>
      </c>
      <c r="AN111" s="2" t="s">
        <v>100</v>
      </c>
      <c r="AP111" s="2" t="s">
        <v>74</v>
      </c>
      <c r="AU111" s="2" t="s">
        <v>75</v>
      </c>
      <c r="AW111" s="2" t="s">
        <v>1022</v>
      </c>
      <c r="AZ111" s="2" t="s">
        <v>116</v>
      </c>
    </row>
    <row r="112" spans="1:52" s="3" customFormat="1" x14ac:dyDescent="0.35">
      <c r="A112" s="2" t="s">
        <v>1023</v>
      </c>
      <c r="B112" s="4">
        <v>249521</v>
      </c>
      <c r="C112" s="2" t="s">
        <v>1024</v>
      </c>
      <c r="D112" s="2">
        <f t="shared" si="1"/>
        <v>5</v>
      </c>
      <c r="G112" s="2" t="s">
        <v>53</v>
      </c>
      <c r="H112" s="4">
        <v>1</v>
      </c>
      <c r="I112" s="4">
        <v>1</v>
      </c>
      <c r="J112" s="4">
        <v>0</v>
      </c>
      <c r="L112" s="4">
        <v>0</v>
      </c>
      <c r="M112" s="2" t="s">
        <v>55</v>
      </c>
      <c r="N112" s="2" t="s">
        <v>56</v>
      </c>
      <c r="O112" s="2" t="s">
        <v>57</v>
      </c>
      <c r="P112" s="2" t="s">
        <v>499</v>
      </c>
      <c r="Q112" s="2" t="s">
        <v>500</v>
      </c>
      <c r="R112" s="2" t="s">
        <v>1025</v>
      </c>
      <c r="S112" s="2" t="s">
        <v>1026</v>
      </c>
      <c r="V112" s="2" t="s">
        <v>1027</v>
      </c>
      <c r="W112" s="2" t="s">
        <v>1028</v>
      </c>
      <c r="Y112" s="2" t="s">
        <v>64</v>
      </c>
      <c r="Z112" s="2" t="s">
        <v>65</v>
      </c>
      <c r="AA112" s="2" t="s">
        <v>66</v>
      </c>
      <c r="AC112" s="2" t="s">
        <v>67</v>
      </c>
      <c r="AD112" s="2" t="s">
        <v>68</v>
      </c>
      <c r="AE112" s="2" t="s">
        <v>69</v>
      </c>
      <c r="AF112" s="2" t="s">
        <v>70</v>
      </c>
      <c r="AG112" s="2" t="s">
        <v>499</v>
      </c>
      <c r="AK112" s="2" t="s">
        <v>1029</v>
      </c>
      <c r="AM112" s="2" t="s">
        <v>72</v>
      </c>
      <c r="AN112" s="2" t="s">
        <v>100</v>
      </c>
      <c r="AP112" s="2" t="s">
        <v>74</v>
      </c>
      <c r="AU112" s="2" t="s">
        <v>75</v>
      </c>
      <c r="AW112" s="2" t="s">
        <v>1030</v>
      </c>
      <c r="AZ112" s="2" t="s">
        <v>116</v>
      </c>
    </row>
    <row r="113" spans="1:52" s="3" customFormat="1" x14ac:dyDescent="0.35">
      <c r="A113" s="2" t="s">
        <v>1031</v>
      </c>
      <c r="B113" s="4">
        <v>249516</v>
      </c>
      <c r="C113" s="2" t="s">
        <v>1032</v>
      </c>
      <c r="D113" s="2">
        <f t="shared" si="1"/>
        <v>5</v>
      </c>
      <c r="F113" s="2" t="s">
        <v>1033</v>
      </c>
      <c r="G113" s="2" t="s">
        <v>53</v>
      </c>
      <c r="H113" s="4">
        <v>5</v>
      </c>
      <c r="I113" s="4">
        <v>1</v>
      </c>
      <c r="J113" s="4">
        <v>0</v>
      </c>
      <c r="L113" s="4">
        <v>0</v>
      </c>
      <c r="M113" s="2" t="s">
        <v>55</v>
      </c>
      <c r="N113" s="2" t="s">
        <v>56</v>
      </c>
      <c r="O113" s="2" t="s">
        <v>57</v>
      </c>
      <c r="P113" s="2" t="s">
        <v>509</v>
      </c>
      <c r="Q113" s="2" t="s">
        <v>510</v>
      </c>
      <c r="R113" s="2" t="s">
        <v>1034</v>
      </c>
      <c r="T113" s="2" t="s">
        <v>1035</v>
      </c>
      <c r="U113" s="2" t="s">
        <v>1036</v>
      </c>
      <c r="V113" s="2" t="s">
        <v>1037</v>
      </c>
      <c r="W113" s="2" t="s">
        <v>1038</v>
      </c>
      <c r="X113" s="2" t="s">
        <v>1039</v>
      </c>
      <c r="Y113" s="2" t="s">
        <v>1040</v>
      </c>
      <c r="Z113" s="2" t="s">
        <v>1041</v>
      </c>
      <c r="AA113" s="2" t="s">
        <v>1042</v>
      </c>
      <c r="AB113" s="2" t="s">
        <v>1043</v>
      </c>
      <c r="AC113" s="2" t="s">
        <v>1044</v>
      </c>
      <c r="AD113" s="2" t="s">
        <v>68</v>
      </c>
      <c r="AE113" s="2" t="s">
        <v>69</v>
      </c>
      <c r="AF113" s="2" t="s">
        <v>70</v>
      </c>
      <c r="AG113" s="2" t="s">
        <v>509</v>
      </c>
      <c r="AK113" s="2" t="s">
        <v>1045</v>
      </c>
      <c r="AM113" s="2" t="s">
        <v>72</v>
      </c>
      <c r="AN113" s="2" t="s">
        <v>1046</v>
      </c>
      <c r="AP113" s="2" t="s">
        <v>74</v>
      </c>
      <c r="AU113" s="2" t="s">
        <v>75</v>
      </c>
      <c r="AV113" s="2" t="s">
        <v>1047</v>
      </c>
      <c r="AW113" s="2" t="s">
        <v>1048</v>
      </c>
      <c r="AZ113" s="2" t="s">
        <v>116</v>
      </c>
    </row>
    <row r="114" spans="1:52" s="3" customFormat="1" x14ac:dyDescent="0.35">
      <c r="A114" s="2" t="s">
        <v>1049</v>
      </c>
      <c r="B114" s="4">
        <v>249512</v>
      </c>
      <c r="C114" s="2" t="s">
        <v>1050</v>
      </c>
      <c r="D114" s="2">
        <f t="shared" si="1"/>
        <v>5</v>
      </c>
      <c r="F114" s="2" t="s">
        <v>1033</v>
      </c>
      <c r="G114" s="2" t="s">
        <v>53</v>
      </c>
      <c r="H114" s="4">
        <v>1</v>
      </c>
      <c r="I114" s="4">
        <v>1</v>
      </c>
      <c r="J114" s="4">
        <v>0</v>
      </c>
      <c r="L114" s="4">
        <v>0</v>
      </c>
      <c r="M114" s="2" t="s">
        <v>55</v>
      </c>
      <c r="N114" s="2" t="s">
        <v>56</v>
      </c>
      <c r="O114" s="2" t="s">
        <v>57</v>
      </c>
      <c r="P114" s="2" t="s">
        <v>1051</v>
      </c>
      <c r="Q114" s="2" t="s">
        <v>1052</v>
      </c>
      <c r="R114" s="2" t="s">
        <v>1053</v>
      </c>
      <c r="S114" s="2" t="s">
        <v>1054</v>
      </c>
      <c r="V114" s="2" t="s">
        <v>1055</v>
      </c>
      <c r="W114" s="2" t="s">
        <v>1056</v>
      </c>
      <c r="Y114" s="2" t="s">
        <v>64</v>
      </c>
      <c r="Z114" s="2" t="s">
        <v>205</v>
      </c>
      <c r="AA114" s="2" t="s">
        <v>66</v>
      </c>
      <c r="AC114" s="2" t="s">
        <v>67</v>
      </c>
      <c r="AD114" s="2" t="s">
        <v>68</v>
      </c>
      <c r="AE114" s="2" t="s">
        <v>69</v>
      </c>
      <c r="AF114" s="2" t="s">
        <v>70</v>
      </c>
      <c r="AG114" s="2" t="s">
        <v>1051</v>
      </c>
      <c r="AK114" s="2" t="s">
        <v>1057</v>
      </c>
      <c r="AM114" s="2" t="s">
        <v>72</v>
      </c>
      <c r="AN114" s="2" t="s">
        <v>403</v>
      </c>
      <c r="AP114" s="2" t="s">
        <v>1058</v>
      </c>
      <c r="AU114" s="2" t="s">
        <v>75</v>
      </c>
      <c r="AW114" s="2" t="s">
        <v>1059</v>
      </c>
      <c r="AZ114" s="2" t="s">
        <v>116</v>
      </c>
    </row>
    <row r="115" spans="1:52" s="3" customFormat="1" x14ac:dyDescent="0.35">
      <c r="A115" s="2" t="s">
        <v>1060</v>
      </c>
      <c r="B115" s="4">
        <v>249501</v>
      </c>
      <c r="C115" s="2" t="s">
        <v>1061</v>
      </c>
      <c r="D115" s="2">
        <f t="shared" si="1"/>
        <v>5</v>
      </c>
      <c r="F115" s="2" t="s">
        <v>1033</v>
      </c>
      <c r="G115" s="2" t="s">
        <v>53</v>
      </c>
      <c r="H115" s="4">
        <v>1</v>
      </c>
      <c r="I115" s="4">
        <v>1</v>
      </c>
      <c r="J115" s="4">
        <v>0</v>
      </c>
      <c r="L115" s="4">
        <v>0</v>
      </c>
      <c r="M115" s="2" t="s">
        <v>55</v>
      </c>
      <c r="N115" s="2" t="s">
        <v>56</v>
      </c>
      <c r="O115" s="2" t="s">
        <v>57</v>
      </c>
      <c r="P115" s="2" t="s">
        <v>106</v>
      </c>
      <c r="Q115" s="2" t="s">
        <v>107</v>
      </c>
      <c r="R115" s="2" t="s">
        <v>1062</v>
      </c>
      <c r="S115" s="2" t="s">
        <v>1063</v>
      </c>
      <c r="V115" s="2" t="s">
        <v>1064</v>
      </c>
      <c r="W115" s="2" t="s">
        <v>1065</v>
      </c>
      <c r="Y115" s="2" t="s">
        <v>64</v>
      </c>
      <c r="Z115" s="2" t="s">
        <v>65</v>
      </c>
      <c r="AA115" s="2" t="s">
        <v>66</v>
      </c>
      <c r="AC115" s="2" t="s">
        <v>67</v>
      </c>
      <c r="AD115" s="2" t="s">
        <v>68</v>
      </c>
      <c r="AE115" s="2" t="s">
        <v>69</v>
      </c>
      <c r="AF115" s="2" t="s">
        <v>70</v>
      </c>
      <c r="AG115" s="2" t="s">
        <v>106</v>
      </c>
      <c r="AK115" s="2" t="s">
        <v>1066</v>
      </c>
      <c r="AM115" s="2" t="s">
        <v>72</v>
      </c>
      <c r="AN115" s="2" t="s">
        <v>100</v>
      </c>
      <c r="AP115" s="2" t="s">
        <v>113</v>
      </c>
      <c r="AT115" s="2" t="s">
        <v>114</v>
      </c>
      <c r="AU115" s="2" t="s">
        <v>75</v>
      </c>
      <c r="AV115" s="2" t="s">
        <v>1067</v>
      </c>
      <c r="AW115" s="2" t="s">
        <v>1068</v>
      </c>
      <c r="AZ115" s="2" t="s">
        <v>116</v>
      </c>
    </row>
    <row r="116" spans="1:52" s="3" customFormat="1" x14ac:dyDescent="0.35">
      <c r="A116" s="2" t="s">
        <v>1069</v>
      </c>
      <c r="B116" s="4">
        <v>249500</v>
      </c>
      <c r="C116" s="2" t="s">
        <v>1070</v>
      </c>
      <c r="D116" s="2">
        <f t="shared" si="1"/>
        <v>5</v>
      </c>
      <c r="F116" s="2" t="s">
        <v>1033</v>
      </c>
      <c r="G116" s="2" t="s">
        <v>53</v>
      </c>
      <c r="H116" s="4">
        <v>1</v>
      </c>
      <c r="I116" s="4">
        <v>1</v>
      </c>
      <c r="J116" s="4">
        <v>0</v>
      </c>
      <c r="L116" s="4">
        <v>0</v>
      </c>
      <c r="M116" s="2" t="s">
        <v>55</v>
      </c>
      <c r="N116" s="2" t="s">
        <v>56</v>
      </c>
      <c r="O116" s="2" t="s">
        <v>57</v>
      </c>
      <c r="P116" s="2" t="s">
        <v>106</v>
      </c>
      <c r="Q116" s="2" t="s">
        <v>107</v>
      </c>
      <c r="R116" s="2" t="s">
        <v>1071</v>
      </c>
      <c r="S116" s="2" t="s">
        <v>1072</v>
      </c>
      <c r="V116" s="2" t="s">
        <v>1073</v>
      </c>
      <c r="W116" s="2" t="s">
        <v>1074</v>
      </c>
      <c r="Y116" s="2" t="s">
        <v>64</v>
      </c>
      <c r="Z116" s="2" t="s">
        <v>65</v>
      </c>
      <c r="AA116" s="2" t="s">
        <v>66</v>
      </c>
      <c r="AC116" s="2" t="s">
        <v>67</v>
      </c>
      <c r="AD116" s="2" t="s">
        <v>68</v>
      </c>
      <c r="AE116" s="2" t="s">
        <v>69</v>
      </c>
      <c r="AF116" s="2" t="s">
        <v>70</v>
      </c>
      <c r="AG116" s="2" t="s">
        <v>106</v>
      </c>
      <c r="AK116" s="2" t="s">
        <v>1075</v>
      </c>
      <c r="AM116" s="2" t="s">
        <v>72</v>
      </c>
      <c r="AN116" s="2" t="s">
        <v>100</v>
      </c>
      <c r="AP116" s="2" t="s">
        <v>113</v>
      </c>
      <c r="AT116" s="2" t="s">
        <v>114</v>
      </c>
      <c r="AU116" s="2" t="s">
        <v>75</v>
      </c>
      <c r="AW116" s="2" t="s">
        <v>1076</v>
      </c>
      <c r="AZ116" s="2" t="s">
        <v>116</v>
      </c>
    </row>
    <row r="117" spans="1:52" s="3" customFormat="1" x14ac:dyDescent="0.35">
      <c r="A117" s="2" t="s">
        <v>1077</v>
      </c>
      <c r="B117" s="4">
        <v>249497</v>
      </c>
      <c r="C117" s="2" t="s">
        <v>1078</v>
      </c>
      <c r="D117" s="2">
        <f t="shared" si="1"/>
        <v>5</v>
      </c>
      <c r="F117" s="2" t="s">
        <v>1033</v>
      </c>
      <c r="G117" s="2" t="s">
        <v>53</v>
      </c>
      <c r="H117" s="4">
        <v>1</v>
      </c>
      <c r="I117" s="4">
        <v>1</v>
      </c>
      <c r="J117" s="4">
        <v>0</v>
      </c>
      <c r="L117" s="4">
        <v>0</v>
      </c>
      <c r="M117" s="2" t="s">
        <v>55</v>
      </c>
      <c r="N117" s="2" t="s">
        <v>56</v>
      </c>
      <c r="O117" s="2" t="s">
        <v>57</v>
      </c>
      <c r="P117" s="2" t="s">
        <v>106</v>
      </c>
      <c r="Q117" s="2" t="s">
        <v>107</v>
      </c>
      <c r="R117" s="2" t="s">
        <v>1079</v>
      </c>
      <c r="S117" s="2" t="s">
        <v>1080</v>
      </c>
      <c r="V117" s="2" t="s">
        <v>1081</v>
      </c>
      <c r="W117" s="2" t="s">
        <v>1082</v>
      </c>
      <c r="Y117" s="2" t="s">
        <v>64</v>
      </c>
      <c r="Z117" s="2" t="s">
        <v>65</v>
      </c>
      <c r="AA117" s="2" t="s">
        <v>66</v>
      </c>
      <c r="AC117" s="2" t="s">
        <v>67</v>
      </c>
      <c r="AD117" s="2" t="s">
        <v>68</v>
      </c>
      <c r="AE117" s="2" t="s">
        <v>69</v>
      </c>
      <c r="AF117" s="2" t="s">
        <v>70</v>
      </c>
      <c r="AG117" s="2" t="s">
        <v>106</v>
      </c>
      <c r="AK117" s="2" t="s">
        <v>1083</v>
      </c>
      <c r="AM117" s="2" t="s">
        <v>72</v>
      </c>
      <c r="AN117" s="2" t="s">
        <v>100</v>
      </c>
      <c r="AP117" s="2" t="s">
        <v>113</v>
      </c>
      <c r="AT117" s="2" t="s">
        <v>114</v>
      </c>
      <c r="AU117" s="2" t="s">
        <v>75</v>
      </c>
      <c r="AW117" s="2" t="s">
        <v>1084</v>
      </c>
      <c r="AZ117" s="2" t="s">
        <v>116</v>
      </c>
    </row>
    <row r="118" spans="1:52" s="3" customFormat="1" x14ac:dyDescent="0.35">
      <c r="A118" s="2" t="s">
        <v>1085</v>
      </c>
      <c r="B118" s="4">
        <v>249494</v>
      </c>
      <c r="C118" s="2" t="s">
        <v>1086</v>
      </c>
      <c r="D118" s="2">
        <f t="shared" si="1"/>
        <v>5</v>
      </c>
      <c r="F118" s="2" t="s">
        <v>1033</v>
      </c>
      <c r="G118" s="2" t="s">
        <v>53</v>
      </c>
      <c r="H118" s="4">
        <v>1</v>
      </c>
      <c r="I118" s="4">
        <v>1</v>
      </c>
      <c r="J118" s="4">
        <v>0</v>
      </c>
      <c r="L118" s="4">
        <v>0</v>
      </c>
      <c r="M118" s="2" t="s">
        <v>55</v>
      </c>
      <c r="N118" s="2" t="s">
        <v>56</v>
      </c>
      <c r="O118" s="2" t="s">
        <v>57</v>
      </c>
      <c r="P118" s="2" t="s">
        <v>106</v>
      </c>
      <c r="Q118" s="2" t="s">
        <v>107</v>
      </c>
      <c r="R118" s="2" t="s">
        <v>1087</v>
      </c>
      <c r="S118" s="2" t="s">
        <v>1088</v>
      </c>
      <c r="V118" s="2" t="s">
        <v>1089</v>
      </c>
      <c r="W118" s="2" t="s">
        <v>1090</v>
      </c>
      <c r="Y118" s="2" t="s">
        <v>64</v>
      </c>
      <c r="Z118" s="2" t="s">
        <v>65</v>
      </c>
      <c r="AA118" s="2" t="s">
        <v>66</v>
      </c>
      <c r="AC118" s="2" t="s">
        <v>67</v>
      </c>
      <c r="AD118" s="2" t="s">
        <v>68</v>
      </c>
      <c r="AE118" s="2" t="s">
        <v>69</v>
      </c>
      <c r="AF118" s="2" t="s">
        <v>70</v>
      </c>
      <c r="AG118" s="2" t="s">
        <v>106</v>
      </c>
      <c r="AK118" s="2" t="s">
        <v>1091</v>
      </c>
      <c r="AM118" s="2" t="s">
        <v>72</v>
      </c>
      <c r="AN118" s="2" t="s">
        <v>100</v>
      </c>
      <c r="AP118" s="2" t="s">
        <v>113</v>
      </c>
      <c r="AT118" s="2" t="s">
        <v>114</v>
      </c>
      <c r="AU118" s="2" t="s">
        <v>75</v>
      </c>
      <c r="AW118" s="2" t="s">
        <v>1092</v>
      </c>
      <c r="AZ118" s="2" t="s">
        <v>116</v>
      </c>
    </row>
    <row r="119" spans="1:52" s="3" customFormat="1" x14ac:dyDescent="0.35">
      <c r="A119" s="2" t="s">
        <v>1093</v>
      </c>
      <c r="B119" s="4">
        <v>249493</v>
      </c>
      <c r="C119" s="2" t="s">
        <v>1094</v>
      </c>
      <c r="D119" s="2">
        <f t="shared" si="1"/>
        <v>5</v>
      </c>
      <c r="F119" s="2" t="s">
        <v>1033</v>
      </c>
      <c r="G119" s="2" t="s">
        <v>53</v>
      </c>
      <c r="H119" s="4">
        <v>1</v>
      </c>
      <c r="I119" s="4">
        <v>1</v>
      </c>
      <c r="J119" s="4">
        <v>0</v>
      </c>
      <c r="L119" s="4">
        <v>0</v>
      </c>
      <c r="M119" s="2" t="s">
        <v>55</v>
      </c>
      <c r="N119" s="2" t="s">
        <v>56</v>
      </c>
      <c r="O119" s="2" t="s">
        <v>57</v>
      </c>
      <c r="P119" s="2" t="s">
        <v>106</v>
      </c>
      <c r="Q119" s="2" t="s">
        <v>107</v>
      </c>
      <c r="R119" s="2" t="s">
        <v>1095</v>
      </c>
      <c r="S119" s="2" t="s">
        <v>1096</v>
      </c>
      <c r="V119" s="2" t="s">
        <v>1097</v>
      </c>
      <c r="W119" s="2" t="s">
        <v>1098</v>
      </c>
      <c r="Y119" s="2" t="s">
        <v>64</v>
      </c>
      <c r="Z119" s="2" t="s">
        <v>65</v>
      </c>
      <c r="AA119" s="2" t="s">
        <v>66</v>
      </c>
      <c r="AC119" s="2" t="s">
        <v>67</v>
      </c>
      <c r="AD119" s="2" t="s">
        <v>68</v>
      </c>
      <c r="AE119" s="2" t="s">
        <v>69</v>
      </c>
      <c r="AF119" s="2" t="s">
        <v>70</v>
      </c>
      <c r="AG119" s="2" t="s">
        <v>106</v>
      </c>
      <c r="AK119" s="2" t="s">
        <v>1099</v>
      </c>
      <c r="AM119" s="2" t="s">
        <v>72</v>
      </c>
      <c r="AN119" s="2" t="s">
        <v>100</v>
      </c>
      <c r="AP119" s="2" t="s">
        <v>113</v>
      </c>
      <c r="AT119" s="2" t="s">
        <v>114</v>
      </c>
      <c r="AU119" s="2" t="s">
        <v>75</v>
      </c>
      <c r="AW119" s="2" t="s">
        <v>1100</v>
      </c>
      <c r="AZ119" s="2" t="s">
        <v>116</v>
      </c>
    </row>
    <row r="120" spans="1:52" s="3" customFormat="1" x14ac:dyDescent="0.35">
      <c r="A120" s="2" t="s">
        <v>1101</v>
      </c>
      <c r="B120" s="4">
        <v>249492</v>
      </c>
      <c r="C120" s="2" t="s">
        <v>1102</v>
      </c>
      <c r="D120" s="2">
        <f t="shared" si="1"/>
        <v>5</v>
      </c>
      <c r="F120" s="2" t="s">
        <v>1033</v>
      </c>
      <c r="G120" s="2" t="s">
        <v>53</v>
      </c>
      <c r="H120" s="4">
        <v>1</v>
      </c>
      <c r="I120" s="4">
        <v>1</v>
      </c>
      <c r="J120" s="4">
        <v>0</v>
      </c>
      <c r="L120" s="4">
        <v>0</v>
      </c>
      <c r="M120" s="2" t="s">
        <v>55</v>
      </c>
      <c r="N120" s="2" t="s">
        <v>56</v>
      </c>
      <c r="O120" s="2" t="s">
        <v>57</v>
      </c>
      <c r="P120" s="2" t="s">
        <v>58</v>
      </c>
      <c r="Q120" s="2" t="s">
        <v>59</v>
      </c>
      <c r="R120" s="2" t="s">
        <v>1103</v>
      </c>
      <c r="S120" s="2" t="s">
        <v>1104</v>
      </c>
      <c r="V120" s="2" t="s">
        <v>1105</v>
      </c>
      <c r="W120" s="2" t="s">
        <v>1106</v>
      </c>
      <c r="Y120" s="2" t="s">
        <v>64</v>
      </c>
      <c r="Z120" s="2" t="s">
        <v>65</v>
      </c>
      <c r="AA120" s="2" t="s">
        <v>66</v>
      </c>
      <c r="AC120" s="2" t="s">
        <v>67</v>
      </c>
      <c r="AD120" s="2" t="s">
        <v>68</v>
      </c>
      <c r="AE120" s="2" t="s">
        <v>69</v>
      </c>
      <c r="AF120" s="2" t="s">
        <v>70</v>
      </c>
      <c r="AG120" s="2" t="s">
        <v>58</v>
      </c>
      <c r="AK120" s="2" t="s">
        <v>1107</v>
      </c>
      <c r="AM120" s="2" t="s">
        <v>72</v>
      </c>
      <c r="AN120" s="2" t="s">
        <v>473</v>
      </c>
      <c r="AP120" s="2" t="s">
        <v>74</v>
      </c>
      <c r="AU120" s="2" t="s">
        <v>75</v>
      </c>
      <c r="AW120" s="2" t="s">
        <v>1108</v>
      </c>
      <c r="AZ120" s="2" t="s">
        <v>116</v>
      </c>
    </row>
    <row r="121" spans="1:52" s="3" customFormat="1" x14ac:dyDescent="0.35">
      <c r="A121" s="2" t="s">
        <v>1109</v>
      </c>
      <c r="B121" s="4">
        <v>249491</v>
      </c>
      <c r="C121" s="2" t="s">
        <v>1110</v>
      </c>
      <c r="D121" s="2">
        <f t="shared" si="1"/>
        <v>5</v>
      </c>
      <c r="F121" s="2" t="s">
        <v>1033</v>
      </c>
      <c r="G121" s="2" t="s">
        <v>53</v>
      </c>
      <c r="H121" s="4">
        <v>1</v>
      </c>
      <c r="I121" s="4">
        <v>1</v>
      </c>
      <c r="J121" s="4">
        <v>0</v>
      </c>
      <c r="L121" s="4">
        <v>0</v>
      </c>
      <c r="M121" s="2" t="s">
        <v>55</v>
      </c>
      <c r="N121" s="2" t="s">
        <v>56</v>
      </c>
      <c r="O121" s="2" t="s">
        <v>57</v>
      </c>
      <c r="P121" s="2" t="s">
        <v>58</v>
      </c>
      <c r="Q121" s="2" t="s">
        <v>59</v>
      </c>
      <c r="R121" s="2" t="s">
        <v>1111</v>
      </c>
      <c r="S121" s="2" t="s">
        <v>1112</v>
      </c>
      <c r="V121" s="2" t="s">
        <v>1113</v>
      </c>
      <c r="W121" s="2" t="s">
        <v>1114</v>
      </c>
      <c r="Y121" s="2" t="s">
        <v>64</v>
      </c>
      <c r="Z121" s="2" t="s">
        <v>65</v>
      </c>
      <c r="AA121" s="2" t="s">
        <v>66</v>
      </c>
      <c r="AC121" s="2" t="s">
        <v>67</v>
      </c>
      <c r="AD121" s="2" t="s">
        <v>68</v>
      </c>
      <c r="AE121" s="2" t="s">
        <v>69</v>
      </c>
      <c r="AF121" s="2" t="s">
        <v>70</v>
      </c>
      <c r="AG121" s="2" t="s">
        <v>58</v>
      </c>
      <c r="AK121" s="2" t="s">
        <v>1115</v>
      </c>
      <c r="AM121" s="2" t="s">
        <v>72</v>
      </c>
      <c r="AN121" s="2" t="s">
        <v>100</v>
      </c>
      <c r="AP121" s="2" t="s">
        <v>74</v>
      </c>
      <c r="AU121" s="2" t="s">
        <v>75</v>
      </c>
      <c r="AW121" s="2" t="s">
        <v>1116</v>
      </c>
      <c r="AZ121" s="2" t="s">
        <v>116</v>
      </c>
    </row>
    <row r="122" spans="1:52" s="3" customFormat="1" x14ac:dyDescent="0.35">
      <c r="A122" s="2" t="s">
        <v>1117</v>
      </c>
      <c r="B122" s="4">
        <v>249490</v>
      </c>
      <c r="C122" s="2" t="s">
        <v>1118</v>
      </c>
      <c r="D122" s="2">
        <f t="shared" si="1"/>
        <v>5</v>
      </c>
      <c r="F122" s="2" t="s">
        <v>1033</v>
      </c>
      <c r="G122" s="2" t="s">
        <v>53</v>
      </c>
      <c r="H122" s="4">
        <v>1</v>
      </c>
      <c r="I122" s="4">
        <v>1</v>
      </c>
      <c r="J122" s="4">
        <v>0</v>
      </c>
      <c r="L122" s="4">
        <v>0</v>
      </c>
      <c r="M122" s="2" t="s">
        <v>55</v>
      </c>
      <c r="N122" s="2" t="s">
        <v>56</v>
      </c>
      <c r="O122" s="2" t="s">
        <v>57</v>
      </c>
      <c r="P122" s="2" t="s">
        <v>58</v>
      </c>
      <c r="Q122" s="2" t="s">
        <v>59</v>
      </c>
      <c r="R122" s="2" t="s">
        <v>1119</v>
      </c>
      <c r="S122" s="2" t="s">
        <v>1120</v>
      </c>
      <c r="V122" s="2" t="s">
        <v>1121</v>
      </c>
      <c r="W122" s="2" t="s">
        <v>1122</v>
      </c>
      <c r="Y122" s="2" t="s">
        <v>64</v>
      </c>
      <c r="Z122" s="2" t="s">
        <v>65</v>
      </c>
      <c r="AA122" s="2" t="s">
        <v>66</v>
      </c>
      <c r="AC122" s="2" t="s">
        <v>67</v>
      </c>
      <c r="AD122" s="2" t="s">
        <v>68</v>
      </c>
      <c r="AE122" s="2" t="s">
        <v>69</v>
      </c>
      <c r="AF122" s="2" t="s">
        <v>70</v>
      </c>
      <c r="AG122" s="2" t="s">
        <v>58</v>
      </c>
      <c r="AK122" s="2" t="s">
        <v>1123</v>
      </c>
      <c r="AM122" s="2" t="s">
        <v>72</v>
      </c>
      <c r="AN122" s="2" t="s">
        <v>473</v>
      </c>
      <c r="AP122" s="2" t="s">
        <v>74</v>
      </c>
      <c r="AU122" s="2" t="s">
        <v>75</v>
      </c>
      <c r="AW122" s="2" t="s">
        <v>1124</v>
      </c>
      <c r="AZ122" s="2" t="s">
        <v>116</v>
      </c>
    </row>
    <row r="123" spans="1:52" s="3" customFormat="1" x14ac:dyDescent="0.35">
      <c r="A123" s="2" t="s">
        <v>1125</v>
      </c>
      <c r="B123" s="4">
        <v>249489</v>
      </c>
      <c r="C123" s="2" t="s">
        <v>1126</v>
      </c>
      <c r="D123" s="2">
        <f t="shared" si="1"/>
        <v>5</v>
      </c>
      <c r="G123" s="2" t="s">
        <v>53</v>
      </c>
      <c r="H123" s="4">
        <v>1</v>
      </c>
      <c r="I123" s="4">
        <v>1</v>
      </c>
      <c r="J123" s="4">
        <v>0</v>
      </c>
      <c r="L123" s="4">
        <v>0</v>
      </c>
      <c r="M123" s="2" t="s">
        <v>55</v>
      </c>
      <c r="N123" s="2" t="s">
        <v>56</v>
      </c>
      <c r="O123" s="2" t="s">
        <v>57</v>
      </c>
      <c r="P123" s="2" t="s">
        <v>499</v>
      </c>
      <c r="Q123" s="2" t="s">
        <v>500</v>
      </c>
      <c r="R123" s="2" t="s">
        <v>1127</v>
      </c>
      <c r="S123" s="2" t="s">
        <v>1128</v>
      </c>
      <c r="V123" s="2" t="s">
        <v>1129</v>
      </c>
      <c r="W123" s="2" t="s">
        <v>1130</v>
      </c>
      <c r="Y123" s="2" t="s">
        <v>64</v>
      </c>
      <c r="Z123" s="2" t="s">
        <v>65</v>
      </c>
      <c r="AA123" s="2" t="s">
        <v>66</v>
      </c>
      <c r="AC123" s="2" t="s">
        <v>67</v>
      </c>
      <c r="AD123" s="2" t="s">
        <v>68</v>
      </c>
      <c r="AE123" s="2" t="s">
        <v>69</v>
      </c>
      <c r="AF123" s="2" t="s">
        <v>70</v>
      </c>
      <c r="AG123" s="2" t="s">
        <v>499</v>
      </c>
      <c r="AK123" s="2" t="s">
        <v>1131</v>
      </c>
      <c r="AM123" s="2" t="s">
        <v>72</v>
      </c>
      <c r="AN123" s="2" t="s">
        <v>100</v>
      </c>
      <c r="AP123" s="2" t="s">
        <v>74</v>
      </c>
      <c r="AU123" s="2" t="s">
        <v>75</v>
      </c>
      <c r="AW123" s="2" t="s">
        <v>1132</v>
      </c>
      <c r="AZ123" s="2" t="s">
        <v>116</v>
      </c>
    </row>
    <row r="124" spans="1:52" s="3" customFormat="1" x14ac:dyDescent="0.35">
      <c r="A124" s="2" t="s">
        <v>1133</v>
      </c>
      <c r="B124" s="4">
        <v>249486</v>
      </c>
      <c r="C124" s="2" t="s">
        <v>1134</v>
      </c>
      <c r="D124" s="2">
        <f t="shared" si="1"/>
        <v>5</v>
      </c>
      <c r="F124" s="2" t="s">
        <v>1033</v>
      </c>
      <c r="G124" s="2" t="s">
        <v>53</v>
      </c>
      <c r="H124" s="4">
        <v>1</v>
      </c>
      <c r="I124" s="4">
        <v>1</v>
      </c>
      <c r="J124" s="4">
        <v>0</v>
      </c>
      <c r="L124" s="4">
        <v>0</v>
      </c>
      <c r="M124" s="2" t="s">
        <v>55</v>
      </c>
      <c r="N124" s="2" t="s">
        <v>56</v>
      </c>
      <c r="O124" s="2" t="s">
        <v>57</v>
      </c>
      <c r="P124" s="2" t="s">
        <v>509</v>
      </c>
      <c r="Q124" s="2" t="s">
        <v>510</v>
      </c>
      <c r="R124" s="2" t="s">
        <v>1071</v>
      </c>
      <c r="S124" s="2" t="s">
        <v>1072</v>
      </c>
      <c r="V124" s="2" t="s">
        <v>1073</v>
      </c>
      <c r="W124" s="2" t="s">
        <v>1074</v>
      </c>
      <c r="Y124" s="2" t="s">
        <v>64</v>
      </c>
      <c r="Z124" s="2" t="s">
        <v>65</v>
      </c>
      <c r="AA124" s="2" t="s">
        <v>66</v>
      </c>
      <c r="AC124" s="2" t="s">
        <v>67</v>
      </c>
      <c r="AD124" s="2" t="s">
        <v>68</v>
      </c>
      <c r="AE124" s="2" t="s">
        <v>69</v>
      </c>
      <c r="AF124" s="2" t="s">
        <v>70</v>
      </c>
      <c r="AG124" s="2" t="s">
        <v>509</v>
      </c>
      <c r="AK124" s="2" t="s">
        <v>1135</v>
      </c>
      <c r="AM124" s="2" t="s">
        <v>72</v>
      </c>
      <c r="AN124" s="2" t="s">
        <v>73</v>
      </c>
      <c r="AP124" s="2" t="s">
        <v>74</v>
      </c>
      <c r="AU124" s="2" t="s">
        <v>75</v>
      </c>
      <c r="AW124" s="2" t="s">
        <v>1076</v>
      </c>
      <c r="AZ124" s="2" t="s">
        <v>116</v>
      </c>
    </row>
    <row r="125" spans="1:52" s="3" customFormat="1" x14ac:dyDescent="0.35">
      <c r="A125" s="2" t="s">
        <v>1136</v>
      </c>
      <c r="B125" s="4">
        <v>249485</v>
      </c>
      <c r="C125" s="2" t="s">
        <v>1137</v>
      </c>
      <c r="D125" s="2">
        <f t="shared" si="1"/>
        <v>5</v>
      </c>
      <c r="F125" s="2" t="s">
        <v>1033</v>
      </c>
      <c r="G125" s="2" t="s">
        <v>53</v>
      </c>
      <c r="H125" s="4">
        <v>1</v>
      </c>
      <c r="I125" s="4">
        <v>1</v>
      </c>
      <c r="J125" s="4">
        <v>0</v>
      </c>
      <c r="L125" s="4">
        <v>0</v>
      </c>
      <c r="M125" s="2" t="s">
        <v>55</v>
      </c>
      <c r="N125" s="2" t="s">
        <v>56</v>
      </c>
      <c r="O125" s="2" t="s">
        <v>57</v>
      </c>
      <c r="P125" s="2" t="s">
        <v>106</v>
      </c>
      <c r="Q125" s="2" t="s">
        <v>107</v>
      </c>
      <c r="R125" s="2" t="s">
        <v>1138</v>
      </c>
      <c r="S125" s="2" t="s">
        <v>1139</v>
      </c>
      <c r="V125" s="2" t="s">
        <v>1140</v>
      </c>
      <c r="W125" s="2" t="s">
        <v>1141</v>
      </c>
      <c r="Y125" s="2" t="s">
        <v>64</v>
      </c>
      <c r="Z125" s="2" t="s">
        <v>65</v>
      </c>
      <c r="AA125" s="2" t="s">
        <v>66</v>
      </c>
      <c r="AC125" s="2" t="s">
        <v>67</v>
      </c>
      <c r="AD125" s="2" t="s">
        <v>68</v>
      </c>
      <c r="AE125" s="2" t="s">
        <v>69</v>
      </c>
      <c r="AF125" s="2" t="s">
        <v>70</v>
      </c>
      <c r="AG125" s="2" t="s">
        <v>106</v>
      </c>
      <c r="AK125" s="2" t="s">
        <v>1142</v>
      </c>
      <c r="AM125" s="2" t="s">
        <v>72</v>
      </c>
      <c r="AN125" s="2" t="s">
        <v>73</v>
      </c>
      <c r="AP125" s="2" t="s">
        <v>113</v>
      </c>
      <c r="AT125" s="2" t="s">
        <v>114</v>
      </c>
      <c r="AU125" s="2" t="s">
        <v>75</v>
      </c>
      <c r="AW125" s="2" t="s">
        <v>1143</v>
      </c>
      <c r="AZ125" s="2" t="s">
        <v>116</v>
      </c>
    </row>
    <row r="126" spans="1:52" s="3" customFormat="1" x14ac:dyDescent="0.35">
      <c r="A126" s="2" t="s">
        <v>1144</v>
      </c>
      <c r="B126" s="4">
        <v>249483</v>
      </c>
      <c r="C126" s="2" t="s">
        <v>1145</v>
      </c>
      <c r="D126" s="2">
        <f t="shared" si="1"/>
        <v>5</v>
      </c>
      <c r="F126" s="2" t="s">
        <v>1033</v>
      </c>
      <c r="G126" s="2" t="s">
        <v>53</v>
      </c>
      <c r="H126" s="4">
        <v>1</v>
      </c>
      <c r="I126" s="4">
        <v>1</v>
      </c>
      <c r="J126" s="4">
        <v>0</v>
      </c>
      <c r="L126" s="4">
        <v>0</v>
      </c>
      <c r="M126" s="2" t="s">
        <v>55</v>
      </c>
      <c r="N126" s="2" t="s">
        <v>56</v>
      </c>
      <c r="O126" s="2" t="s">
        <v>57</v>
      </c>
      <c r="P126" s="2" t="s">
        <v>509</v>
      </c>
      <c r="Q126" s="2" t="s">
        <v>510</v>
      </c>
      <c r="R126" s="2" t="s">
        <v>1146</v>
      </c>
      <c r="S126" s="2" t="s">
        <v>1147</v>
      </c>
      <c r="V126" s="2" t="s">
        <v>1148</v>
      </c>
      <c r="W126" s="2" t="s">
        <v>1149</v>
      </c>
      <c r="Y126" s="2" t="s">
        <v>64</v>
      </c>
      <c r="Z126" s="2" t="s">
        <v>65</v>
      </c>
      <c r="AA126" s="2" t="s">
        <v>66</v>
      </c>
      <c r="AC126" s="2" t="s">
        <v>67</v>
      </c>
      <c r="AD126" s="2" t="s">
        <v>68</v>
      </c>
      <c r="AE126" s="2" t="s">
        <v>69</v>
      </c>
      <c r="AF126" s="2" t="s">
        <v>70</v>
      </c>
      <c r="AG126" s="2" t="s">
        <v>509</v>
      </c>
      <c r="AK126" s="2" t="s">
        <v>1150</v>
      </c>
      <c r="AM126" s="2" t="s">
        <v>72</v>
      </c>
      <c r="AN126" s="2" t="s">
        <v>100</v>
      </c>
      <c r="AP126" s="2" t="s">
        <v>74</v>
      </c>
      <c r="AU126" s="2" t="s">
        <v>75</v>
      </c>
      <c r="AV126" s="2" t="s">
        <v>1151</v>
      </c>
      <c r="AW126" s="2" t="s">
        <v>1152</v>
      </c>
      <c r="AZ126" s="2" t="s">
        <v>116</v>
      </c>
    </row>
    <row r="127" spans="1:52" s="3" customFormat="1" x14ac:dyDescent="0.35">
      <c r="A127" s="2" t="s">
        <v>1153</v>
      </c>
      <c r="B127" s="4">
        <v>249481</v>
      </c>
      <c r="C127" s="2" t="s">
        <v>1154</v>
      </c>
      <c r="D127" s="2">
        <f t="shared" si="1"/>
        <v>5</v>
      </c>
      <c r="F127" s="2" t="s">
        <v>1033</v>
      </c>
      <c r="G127" s="2" t="s">
        <v>53</v>
      </c>
      <c r="H127" s="4">
        <v>1</v>
      </c>
      <c r="I127" s="4">
        <v>1</v>
      </c>
      <c r="J127" s="4">
        <v>0</v>
      </c>
      <c r="L127" s="4">
        <v>0</v>
      </c>
      <c r="M127" s="2" t="s">
        <v>55</v>
      </c>
      <c r="N127" s="2" t="s">
        <v>56</v>
      </c>
      <c r="O127" s="2" t="s">
        <v>57</v>
      </c>
      <c r="P127" s="2" t="s">
        <v>509</v>
      </c>
      <c r="Q127" s="2" t="s">
        <v>510</v>
      </c>
      <c r="R127" s="2" t="s">
        <v>1155</v>
      </c>
      <c r="S127" s="2" t="s">
        <v>1156</v>
      </c>
      <c r="V127" s="2" t="s">
        <v>1157</v>
      </c>
      <c r="W127" s="2" t="s">
        <v>1158</v>
      </c>
      <c r="Y127" s="2" t="s">
        <v>64</v>
      </c>
      <c r="Z127" s="2" t="s">
        <v>65</v>
      </c>
      <c r="AA127" s="2" t="s">
        <v>66</v>
      </c>
      <c r="AC127" s="2" t="s">
        <v>67</v>
      </c>
      <c r="AD127" s="2" t="s">
        <v>68</v>
      </c>
      <c r="AE127" s="2" t="s">
        <v>69</v>
      </c>
      <c r="AF127" s="2" t="s">
        <v>70</v>
      </c>
      <c r="AG127" s="2" t="s">
        <v>509</v>
      </c>
      <c r="AK127" s="2" t="s">
        <v>1159</v>
      </c>
      <c r="AM127" s="2" t="s">
        <v>72</v>
      </c>
      <c r="AN127" s="2" t="s">
        <v>73</v>
      </c>
      <c r="AP127" s="2" t="s">
        <v>74</v>
      </c>
      <c r="AU127" s="2" t="s">
        <v>75</v>
      </c>
      <c r="AW127" s="2" t="s">
        <v>1160</v>
      </c>
      <c r="AZ127" s="2" t="s">
        <v>116</v>
      </c>
    </row>
    <row r="128" spans="1:52" s="3" customFormat="1" x14ac:dyDescent="0.35">
      <c r="A128" s="2" t="s">
        <v>1161</v>
      </c>
      <c r="B128" s="4">
        <v>249480</v>
      </c>
      <c r="C128" s="2" t="s">
        <v>1162</v>
      </c>
      <c r="D128" s="2">
        <f t="shared" si="1"/>
        <v>5</v>
      </c>
      <c r="F128" s="2" t="s">
        <v>1033</v>
      </c>
      <c r="G128" s="2" t="s">
        <v>53</v>
      </c>
      <c r="H128" s="4">
        <v>1</v>
      </c>
      <c r="I128" s="4">
        <v>1</v>
      </c>
      <c r="J128" s="4">
        <v>0</v>
      </c>
      <c r="L128" s="4">
        <v>0</v>
      </c>
      <c r="M128" s="2" t="s">
        <v>55</v>
      </c>
      <c r="N128" s="2" t="s">
        <v>56</v>
      </c>
      <c r="O128" s="2" t="s">
        <v>57</v>
      </c>
      <c r="P128" s="2" t="s">
        <v>509</v>
      </c>
      <c r="Q128" s="2" t="s">
        <v>510</v>
      </c>
      <c r="R128" s="2" t="s">
        <v>1163</v>
      </c>
      <c r="S128" s="2" t="s">
        <v>1164</v>
      </c>
      <c r="V128" s="2" t="s">
        <v>1165</v>
      </c>
      <c r="W128" s="2" t="s">
        <v>1166</v>
      </c>
      <c r="Y128" s="2" t="s">
        <v>64</v>
      </c>
      <c r="Z128" s="2" t="s">
        <v>65</v>
      </c>
      <c r="AA128" s="2" t="s">
        <v>66</v>
      </c>
      <c r="AC128" s="2" t="s">
        <v>67</v>
      </c>
      <c r="AD128" s="2" t="s">
        <v>68</v>
      </c>
      <c r="AE128" s="2" t="s">
        <v>69</v>
      </c>
      <c r="AF128" s="2" t="s">
        <v>70</v>
      </c>
      <c r="AG128" s="2" t="s">
        <v>509</v>
      </c>
      <c r="AK128" s="2" t="s">
        <v>1167</v>
      </c>
      <c r="AM128" s="2" t="s">
        <v>72</v>
      </c>
      <c r="AN128" s="2" t="s">
        <v>100</v>
      </c>
      <c r="AP128" s="2" t="s">
        <v>74</v>
      </c>
      <c r="AU128" s="2" t="s">
        <v>75</v>
      </c>
      <c r="AW128" s="2" t="s">
        <v>1168</v>
      </c>
      <c r="AZ128" s="2" t="s">
        <v>116</v>
      </c>
    </row>
    <row r="129" spans="1:52" s="3" customFormat="1" x14ac:dyDescent="0.35">
      <c r="A129" s="2" t="s">
        <v>1169</v>
      </c>
      <c r="B129" s="4">
        <v>249478</v>
      </c>
      <c r="C129" s="2" t="s">
        <v>1170</v>
      </c>
      <c r="D129" s="2">
        <f t="shared" si="1"/>
        <v>5</v>
      </c>
      <c r="F129" s="2" t="s">
        <v>1033</v>
      </c>
      <c r="G129" s="2" t="s">
        <v>53</v>
      </c>
      <c r="H129" s="4">
        <v>1</v>
      </c>
      <c r="I129" s="4">
        <v>1</v>
      </c>
      <c r="J129" s="4">
        <v>0</v>
      </c>
      <c r="L129" s="4">
        <v>0</v>
      </c>
      <c r="M129" s="2" t="s">
        <v>55</v>
      </c>
      <c r="N129" s="2" t="s">
        <v>56</v>
      </c>
      <c r="O129" s="2" t="s">
        <v>57</v>
      </c>
      <c r="P129" s="2" t="s">
        <v>509</v>
      </c>
      <c r="Q129" s="2" t="s">
        <v>510</v>
      </c>
      <c r="R129" s="2" t="s">
        <v>1171</v>
      </c>
      <c r="S129" s="2" t="s">
        <v>1172</v>
      </c>
      <c r="V129" s="2" t="s">
        <v>1173</v>
      </c>
      <c r="W129" s="2" t="s">
        <v>1174</v>
      </c>
      <c r="Y129" s="2" t="s">
        <v>64</v>
      </c>
      <c r="Z129" s="2" t="s">
        <v>65</v>
      </c>
      <c r="AA129" s="2" t="s">
        <v>66</v>
      </c>
      <c r="AC129" s="2" t="s">
        <v>67</v>
      </c>
      <c r="AD129" s="2" t="s">
        <v>68</v>
      </c>
      <c r="AE129" s="2" t="s">
        <v>69</v>
      </c>
      <c r="AF129" s="2" t="s">
        <v>70</v>
      </c>
      <c r="AG129" s="2" t="s">
        <v>509</v>
      </c>
      <c r="AK129" s="2" t="s">
        <v>1175</v>
      </c>
      <c r="AM129" s="2" t="s">
        <v>72</v>
      </c>
      <c r="AN129" s="2" t="s">
        <v>100</v>
      </c>
      <c r="AP129" s="2" t="s">
        <v>74</v>
      </c>
      <c r="AU129" s="2" t="s">
        <v>75</v>
      </c>
      <c r="AW129" s="2" t="s">
        <v>1176</v>
      </c>
      <c r="AZ129" s="2" t="s">
        <v>116</v>
      </c>
    </row>
    <row r="130" spans="1:52" s="3" customFormat="1" x14ac:dyDescent="0.35">
      <c r="A130" s="2" t="s">
        <v>1177</v>
      </c>
      <c r="B130" s="4">
        <v>249477</v>
      </c>
      <c r="C130" s="2" t="s">
        <v>1178</v>
      </c>
      <c r="D130" s="2">
        <f t="shared" si="1"/>
        <v>5</v>
      </c>
      <c r="F130" s="2" t="s">
        <v>1033</v>
      </c>
      <c r="G130" s="2" t="s">
        <v>53</v>
      </c>
      <c r="H130" s="4">
        <v>1</v>
      </c>
      <c r="I130" s="4">
        <v>1</v>
      </c>
      <c r="J130" s="4">
        <v>0</v>
      </c>
      <c r="L130" s="4">
        <v>0</v>
      </c>
      <c r="M130" s="2" t="s">
        <v>55</v>
      </c>
      <c r="N130" s="2" t="s">
        <v>56</v>
      </c>
      <c r="O130" s="2" t="s">
        <v>57</v>
      </c>
      <c r="P130" s="2" t="s">
        <v>509</v>
      </c>
      <c r="Q130" s="2" t="s">
        <v>510</v>
      </c>
      <c r="R130" s="2" t="s">
        <v>1179</v>
      </c>
      <c r="S130" s="2" t="s">
        <v>1180</v>
      </c>
      <c r="V130" s="2" t="s">
        <v>1181</v>
      </c>
      <c r="W130" s="2" t="s">
        <v>1182</v>
      </c>
      <c r="Y130" s="2" t="s">
        <v>64</v>
      </c>
      <c r="Z130" s="2" t="s">
        <v>65</v>
      </c>
      <c r="AA130" s="2" t="s">
        <v>66</v>
      </c>
      <c r="AC130" s="2" t="s">
        <v>67</v>
      </c>
      <c r="AD130" s="2" t="s">
        <v>68</v>
      </c>
      <c r="AE130" s="2" t="s">
        <v>69</v>
      </c>
      <c r="AF130" s="2" t="s">
        <v>70</v>
      </c>
      <c r="AG130" s="2" t="s">
        <v>509</v>
      </c>
      <c r="AK130" s="2" t="s">
        <v>1183</v>
      </c>
      <c r="AM130" s="2" t="s">
        <v>72</v>
      </c>
      <c r="AN130" s="2" t="s">
        <v>283</v>
      </c>
      <c r="AP130" s="2" t="s">
        <v>74</v>
      </c>
      <c r="AU130" s="2" t="s">
        <v>75</v>
      </c>
      <c r="AV130" s="2" t="s">
        <v>1184</v>
      </c>
      <c r="AW130" s="2" t="s">
        <v>1185</v>
      </c>
      <c r="AZ130" s="2" t="s">
        <v>116</v>
      </c>
    </row>
    <row r="131" spans="1:52" s="3" customFormat="1" x14ac:dyDescent="0.35">
      <c r="A131" s="2" t="s">
        <v>1186</v>
      </c>
      <c r="B131" s="4">
        <v>249475</v>
      </c>
      <c r="C131" s="2" t="s">
        <v>1187</v>
      </c>
      <c r="D131" s="2">
        <f t="shared" ref="D131:D194" si="2">MONTH(C131)</f>
        <v>5</v>
      </c>
      <c r="F131" s="2" t="s">
        <v>1033</v>
      </c>
      <c r="G131" s="2" t="s">
        <v>53</v>
      </c>
      <c r="H131" s="4">
        <v>1</v>
      </c>
      <c r="I131" s="4">
        <v>1</v>
      </c>
      <c r="J131" s="4">
        <v>0</v>
      </c>
      <c r="L131" s="4">
        <v>0</v>
      </c>
      <c r="M131" s="2" t="s">
        <v>55</v>
      </c>
      <c r="N131" s="2" t="s">
        <v>56</v>
      </c>
      <c r="O131" s="2" t="s">
        <v>57</v>
      </c>
      <c r="P131" s="2" t="s">
        <v>509</v>
      </c>
      <c r="Q131" s="2" t="s">
        <v>510</v>
      </c>
      <c r="R131" s="2" t="s">
        <v>1188</v>
      </c>
      <c r="S131" s="2" t="s">
        <v>1189</v>
      </c>
      <c r="V131" s="2" t="s">
        <v>1190</v>
      </c>
      <c r="W131" s="2" t="s">
        <v>1191</v>
      </c>
      <c r="Y131" s="2" t="s">
        <v>64</v>
      </c>
      <c r="Z131" s="2" t="s">
        <v>65</v>
      </c>
      <c r="AA131" s="2" t="s">
        <v>66</v>
      </c>
      <c r="AC131" s="2" t="s">
        <v>67</v>
      </c>
      <c r="AD131" s="2" t="s">
        <v>68</v>
      </c>
      <c r="AE131" s="2" t="s">
        <v>69</v>
      </c>
      <c r="AF131" s="2" t="s">
        <v>70</v>
      </c>
      <c r="AG131" s="2" t="s">
        <v>509</v>
      </c>
      <c r="AK131" s="2" t="s">
        <v>1192</v>
      </c>
      <c r="AM131" s="2" t="s">
        <v>72</v>
      </c>
      <c r="AN131" s="2" t="s">
        <v>283</v>
      </c>
      <c r="AP131" s="2" t="s">
        <v>74</v>
      </c>
      <c r="AU131" s="2" t="s">
        <v>75</v>
      </c>
      <c r="AW131" s="2" t="s">
        <v>1193</v>
      </c>
      <c r="AZ131" s="2" t="s">
        <v>116</v>
      </c>
    </row>
    <row r="132" spans="1:52" s="3" customFormat="1" x14ac:dyDescent="0.35">
      <c r="A132" s="2" t="s">
        <v>1194</v>
      </c>
      <c r="B132" s="4">
        <v>249474</v>
      </c>
      <c r="C132" s="2" t="s">
        <v>1195</v>
      </c>
      <c r="D132" s="2">
        <f t="shared" si="2"/>
        <v>5</v>
      </c>
      <c r="F132" s="2" t="s">
        <v>1033</v>
      </c>
      <c r="G132" s="2" t="s">
        <v>53</v>
      </c>
      <c r="H132" s="4">
        <v>1</v>
      </c>
      <c r="I132" s="4">
        <v>1</v>
      </c>
      <c r="J132" s="4">
        <v>0</v>
      </c>
      <c r="L132" s="4">
        <v>0</v>
      </c>
      <c r="M132" s="2" t="s">
        <v>55</v>
      </c>
      <c r="N132" s="2" t="s">
        <v>56</v>
      </c>
      <c r="O132" s="2" t="s">
        <v>57</v>
      </c>
      <c r="P132" s="2" t="s">
        <v>509</v>
      </c>
      <c r="Q132" s="2" t="s">
        <v>510</v>
      </c>
      <c r="R132" s="2" t="s">
        <v>1196</v>
      </c>
      <c r="S132" s="2" t="s">
        <v>1197</v>
      </c>
      <c r="V132" s="2" t="s">
        <v>1198</v>
      </c>
      <c r="W132" s="2" t="s">
        <v>1199</v>
      </c>
      <c r="Y132" s="2" t="s">
        <v>64</v>
      </c>
      <c r="Z132" s="2" t="s">
        <v>205</v>
      </c>
      <c r="AA132" s="2" t="s">
        <v>66</v>
      </c>
      <c r="AC132" s="2" t="s">
        <v>67</v>
      </c>
      <c r="AD132" s="2" t="s">
        <v>68</v>
      </c>
      <c r="AE132" s="2" t="s">
        <v>69</v>
      </c>
      <c r="AF132" s="2" t="s">
        <v>70</v>
      </c>
      <c r="AG132" s="2" t="s">
        <v>509</v>
      </c>
      <c r="AK132" s="2" t="s">
        <v>1200</v>
      </c>
      <c r="AM132" s="2" t="s">
        <v>72</v>
      </c>
      <c r="AN132" s="2" t="s">
        <v>283</v>
      </c>
      <c r="AP132" s="2" t="s">
        <v>74</v>
      </c>
      <c r="AU132" s="2" t="s">
        <v>75</v>
      </c>
      <c r="AW132" s="2" t="s">
        <v>1201</v>
      </c>
      <c r="AZ132" s="2" t="s">
        <v>116</v>
      </c>
    </row>
    <row r="133" spans="1:52" s="3" customFormat="1" x14ac:dyDescent="0.35">
      <c r="A133" s="2" t="s">
        <v>1202</v>
      </c>
      <c r="B133" s="4">
        <v>249473</v>
      </c>
      <c r="C133" s="2" t="s">
        <v>1203</v>
      </c>
      <c r="D133" s="2">
        <f t="shared" si="2"/>
        <v>5</v>
      </c>
      <c r="F133" s="2" t="s">
        <v>1033</v>
      </c>
      <c r="G133" s="2" t="s">
        <v>53</v>
      </c>
      <c r="H133" s="4">
        <v>1</v>
      </c>
      <c r="I133" s="4">
        <v>1</v>
      </c>
      <c r="J133" s="4">
        <v>0</v>
      </c>
      <c r="L133" s="4">
        <v>0</v>
      </c>
      <c r="M133" s="2" t="s">
        <v>55</v>
      </c>
      <c r="N133" s="2" t="s">
        <v>56</v>
      </c>
      <c r="O133" s="2" t="s">
        <v>57</v>
      </c>
      <c r="P133" s="2" t="s">
        <v>509</v>
      </c>
      <c r="Q133" s="2" t="s">
        <v>510</v>
      </c>
      <c r="R133" s="2" t="s">
        <v>1204</v>
      </c>
      <c r="S133" s="2" t="s">
        <v>1205</v>
      </c>
      <c r="V133" s="2" t="s">
        <v>1206</v>
      </c>
      <c r="W133" s="2" t="s">
        <v>1207</v>
      </c>
      <c r="Y133" s="2" t="s">
        <v>64</v>
      </c>
      <c r="Z133" s="2" t="s">
        <v>65</v>
      </c>
      <c r="AA133" s="2" t="s">
        <v>66</v>
      </c>
      <c r="AC133" s="2" t="s">
        <v>67</v>
      </c>
      <c r="AD133" s="2" t="s">
        <v>68</v>
      </c>
      <c r="AE133" s="2" t="s">
        <v>69</v>
      </c>
      <c r="AF133" s="2" t="s">
        <v>70</v>
      </c>
      <c r="AG133" s="2" t="s">
        <v>509</v>
      </c>
      <c r="AK133" s="2" t="s">
        <v>1208</v>
      </c>
      <c r="AM133" s="2" t="s">
        <v>72</v>
      </c>
      <c r="AN133" s="2" t="s">
        <v>73</v>
      </c>
      <c r="AP133" s="2" t="s">
        <v>74</v>
      </c>
      <c r="AU133" s="2" t="s">
        <v>75</v>
      </c>
      <c r="AW133" s="2" t="s">
        <v>1209</v>
      </c>
      <c r="AZ133" s="2" t="s">
        <v>116</v>
      </c>
    </row>
    <row r="134" spans="1:52" s="3" customFormat="1" x14ac:dyDescent="0.35">
      <c r="A134" s="2" t="s">
        <v>1210</v>
      </c>
      <c r="B134" s="4">
        <v>249470</v>
      </c>
      <c r="C134" s="2" t="s">
        <v>1211</v>
      </c>
      <c r="D134" s="2">
        <f t="shared" si="2"/>
        <v>5</v>
      </c>
      <c r="G134" s="2" t="s">
        <v>53</v>
      </c>
      <c r="H134" s="4">
        <v>1</v>
      </c>
      <c r="I134" s="4">
        <v>1</v>
      </c>
      <c r="J134" s="4">
        <v>0</v>
      </c>
      <c r="L134" s="4">
        <v>0</v>
      </c>
      <c r="M134" s="2" t="s">
        <v>55</v>
      </c>
      <c r="N134" s="2" t="s">
        <v>56</v>
      </c>
      <c r="O134" s="2" t="s">
        <v>57</v>
      </c>
      <c r="P134" s="2" t="s">
        <v>499</v>
      </c>
      <c r="Q134" s="2" t="s">
        <v>500</v>
      </c>
      <c r="R134" s="2" t="s">
        <v>1212</v>
      </c>
      <c r="S134" s="2" t="s">
        <v>1213</v>
      </c>
      <c r="V134" s="2" t="s">
        <v>1214</v>
      </c>
      <c r="W134" s="2" t="s">
        <v>1215</v>
      </c>
      <c r="Y134" s="2" t="s">
        <v>64</v>
      </c>
      <c r="Z134" s="2" t="s">
        <v>65</v>
      </c>
      <c r="AA134" s="2" t="s">
        <v>66</v>
      </c>
      <c r="AC134" s="2" t="s">
        <v>67</v>
      </c>
      <c r="AD134" s="2" t="s">
        <v>68</v>
      </c>
      <c r="AE134" s="2" t="s">
        <v>69</v>
      </c>
      <c r="AF134" s="2" t="s">
        <v>70</v>
      </c>
      <c r="AG134" s="2" t="s">
        <v>499</v>
      </c>
      <c r="AK134" s="2" t="s">
        <v>1216</v>
      </c>
      <c r="AM134" s="2" t="s">
        <v>72</v>
      </c>
      <c r="AN134" s="2" t="s">
        <v>100</v>
      </c>
      <c r="AP134" s="2" t="s">
        <v>74</v>
      </c>
      <c r="AU134" s="2" t="s">
        <v>75</v>
      </c>
      <c r="AW134" s="2" t="s">
        <v>1217</v>
      </c>
      <c r="AZ134" s="2" t="s">
        <v>116</v>
      </c>
    </row>
    <row r="135" spans="1:52" s="3" customFormat="1" x14ac:dyDescent="0.35">
      <c r="A135" s="2" t="s">
        <v>1218</v>
      </c>
      <c r="B135" s="4">
        <v>249469</v>
      </c>
      <c r="C135" s="2" t="s">
        <v>1219</v>
      </c>
      <c r="D135" s="2">
        <f t="shared" si="2"/>
        <v>5</v>
      </c>
      <c r="G135" s="2" t="s">
        <v>53</v>
      </c>
      <c r="H135" s="4">
        <v>1</v>
      </c>
      <c r="I135" s="4">
        <v>1</v>
      </c>
      <c r="J135" s="4">
        <v>0</v>
      </c>
      <c r="L135" s="4">
        <v>0</v>
      </c>
      <c r="M135" s="2" t="s">
        <v>55</v>
      </c>
      <c r="N135" s="2" t="s">
        <v>56</v>
      </c>
      <c r="O135" s="2" t="s">
        <v>57</v>
      </c>
      <c r="P135" s="2" t="s">
        <v>499</v>
      </c>
      <c r="Q135" s="2" t="s">
        <v>500</v>
      </c>
      <c r="R135" s="2" t="s">
        <v>1220</v>
      </c>
      <c r="S135" s="2" t="s">
        <v>1221</v>
      </c>
      <c r="V135" s="2" t="s">
        <v>1222</v>
      </c>
      <c r="W135" s="2" t="s">
        <v>1223</v>
      </c>
      <c r="Y135" s="2" t="s">
        <v>64</v>
      </c>
      <c r="Z135" s="2" t="s">
        <v>65</v>
      </c>
      <c r="AA135" s="2" t="s">
        <v>66</v>
      </c>
      <c r="AC135" s="2" t="s">
        <v>67</v>
      </c>
      <c r="AD135" s="2" t="s">
        <v>68</v>
      </c>
      <c r="AE135" s="2" t="s">
        <v>69</v>
      </c>
      <c r="AF135" s="2" t="s">
        <v>70</v>
      </c>
      <c r="AG135" s="2" t="s">
        <v>499</v>
      </c>
      <c r="AK135" s="2" t="s">
        <v>1224</v>
      </c>
      <c r="AM135" s="2" t="s">
        <v>72</v>
      </c>
      <c r="AN135" s="2" t="s">
        <v>100</v>
      </c>
      <c r="AP135" s="2" t="s">
        <v>74</v>
      </c>
      <c r="AU135" s="2" t="s">
        <v>75</v>
      </c>
      <c r="AV135" s="2" t="s">
        <v>1225</v>
      </c>
      <c r="AW135" s="2" t="s">
        <v>1226</v>
      </c>
      <c r="AZ135" s="2" t="s">
        <v>116</v>
      </c>
    </row>
    <row r="136" spans="1:52" s="3" customFormat="1" x14ac:dyDescent="0.35">
      <c r="A136" s="2" t="s">
        <v>1227</v>
      </c>
      <c r="B136" s="4">
        <v>249468</v>
      </c>
      <c r="C136" s="2" t="s">
        <v>1228</v>
      </c>
      <c r="D136" s="2">
        <f t="shared" si="2"/>
        <v>5</v>
      </c>
      <c r="G136" s="2" t="s">
        <v>53</v>
      </c>
      <c r="H136" s="4">
        <v>1</v>
      </c>
      <c r="I136" s="4">
        <v>1</v>
      </c>
      <c r="J136" s="4">
        <v>0</v>
      </c>
      <c r="L136" s="4">
        <v>0</v>
      </c>
      <c r="M136" s="2" t="s">
        <v>55</v>
      </c>
      <c r="N136" s="2" t="s">
        <v>56</v>
      </c>
      <c r="O136" s="2" t="s">
        <v>57</v>
      </c>
      <c r="P136" s="2" t="s">
        <v>499</v>
      </c>
      <c r="Q136" s="2" t="s">
        <v>500</v>
      </c>
      <c r="R136" s="2" t="s">
        <v>1229</v>
      </c>
      <c r="S136" s="2" t="s">
        <v>1230</v>
      </c>
      <c r="V136" s="2" t="s">
        <v>1231</v>
      </c>
      <c r="W136" s="2" t="s">
        <v>1232</v>
      </c>
      <c r="Y136" s="2" t="s">
        <v>64</v>
      </c>
      <c r="Z136" s="2" t="s">
        <v>65</v>
      </c>
      <c r="AA136" s="2" t="s">
        <v>66</v>
      </c>
      <c r="AC136" s="2" t="s">
        <v>67</v>
      </c>
      <c r="AD136" s="2" t="s">
        <v>68</v>
      </c>
      <c r="AE136" s="2" t="s">
        <v>69</v>
      </c>
      <c r="AF136" s="2" t="s">
        <v>70</v>
      </c>
      <c r="AG136" s="2" t="s">
        <v>499</v>
      </c>
      <c r="AK136" s="2" t="s">
        <v>1233</v>
      </c>
      <c r="AM136" s="2" t="s">
        <v>72</v>
      </c>
      <c r="AN136" s="2" t="s">
        <v>100</v>
      </c>
      <c r="AP136" s="2" t="s">
        <v>74</v>
      </c>
      <c r="AU136" s="2" t="s">
        <v>75</v>
      </c>
      <c r="AW136" s="2" t="s">
        <v>1234</v>
      </c>
      <c r="AZ136" s="2" t="s">
        <v>116</v>
      </c>
    </row>
    <row r="137" spans="1:52" s="3" customFormat="1" x14ac:dyDescent="0.35">
      <c r="A137" s="2" t="s">
        <v>1235</v>
      </c>
      <c r="B137" s="4">
        <v>249467</v>
      </c>
      <c r="C137" s="2" t="s">
        <v>1236</v>
      </c>
      <c r="D137" s="2">
        <f t="shared" si="2"/>
        <v>5</v>
      </c>
      <c r="G137" s="2" t="s">
        <v>53</v>
      </c>
      <c r="H137" s="4">
        <v>1</v>
      </c>
      <c r="I137" s="4">
        <v>1</v>
      </c>
      <c r="J137" s="4">
        <v>0</v>
      </c>
      <c r="L137" s="4">
        <v>0</v>
      </c>
      <c r="M137" s="2" t="s">
        <v>55</v>
      </c>
      <c r="N137" s="2" t="s">
        <v>56</v>
      </c>
      <c r="O137" s="2" t="s">
        <v>57</v>
      </c>
      <c r="P137" s="2" t="s">
        <v>499</v>
      </c>
      <c r="Q137" s="2" t="s">
        <v>500</v>
      </c>
      <c r="R137" s="2" t="s">
        <v>1237</v>
      </c>
      <c r="S137" s="2" t="s">
        <v>1238</v>
      </c>
      <c r="V137" s="2" t="s">
        <v>1239</v>
      </c>
      <c r="W137" s="2" t="s">
        <v>1240</v>
      </c>
      <c r="Y137" s="2" t="s">
        <v>64</v>
      </c>
      <c r="Z137" s="2" t="s">
        <v>65</v>
      </c>
      <c r="AA137" s="2" t="s">
        <v>66</v>
      </c>
      <c r="AC137" s="2" t="s">
        <v>67</v>
      </c>
      <c r="AD137" s="2" t="s">
        <v>68</v>
      </c>
      <c r="AE137" s="2" t="s">
        <v>69</v>
      </c>
      <c r="AF137" s="2" t="s">
        <v>70</v>
      </c>
      <c r="AG137" s="2" t="s">
        <v>499</v>
      </c>
      <c r="AK137" s="2" t="s">
        <v>1241</v>
      </c>
      <c r="AM137" s="2" t="s">
        <v>72</v>
      </c>
      <c r="AN137" s="2" t="s">
        <v>100</v>
      </c>
      <c r="AP137" s="2" t="s">
        <v>74</v>
      </c>
      <c r="AU137" s="2" t="s">
        <v>75</v>
      </c>
      <c r="AV137" s="2" t="s">
        <v>1242</v>
      </c>
      <c r="AW137" s="2" t="s">
        <v>1243</v>
      </c>
      <c r="AZ137" s="2" t="s">
        <v>116</v>
      </c>
    </row>
    <row r="138" spans="1:52" s="3" customFormat="1" x14ac:dyDescent="0.35">
      <c r="A138" s="2" t="s">
        <v>1244</v>
      </c>
      <c r="B138" s="4">
        <v>249465</v>
      </c>
      <c r="C138" s="2" t="s">
        <v>1245</v>
      </c>
      <c r="D138" s="2">
        <f t="shared" si="2"/>
        <v>5</v>
      </c>
      <c r="G138" s="2" t="s">
        <v>53</v>
      </c>
      <c r="H138" s="4">
        <v>1</v>
      </c>
      <c r="I138" s="4">
        <v>1</v>
      </c>
      <c r="J138" s="4">
        <v>0</v>
      </c>
      <c r="L138" s="4">
        <v>0</v>
      </c>
      <c r="M138" s="2" t="s">
        <v>55</v>
      </c>
      <c r="N138" s="2" t="s">
        <v>56</v>
      </c>
      <c r="O138" s="2" t="s">
        <v>57</v>
      </c>
      <c r="P138" s="2" t="s">
        <v>499</v>
      </c>
      <c r="Q138" s="2" t="s">
        <v>500</v>
      </c>
      <c r="R138" s="2" t="s">
        <v>1246</v>
      </c>
      <c r="S138" s="2" t="s">
        <v>1247</v>
      </c>
      <c r="V138" s="2" t="s">
        <v>1248</v>
      </c>
      <c r="W138" s="2" t="s">
        <v>1249</v>
      </c>
      <c r="Y138" s="2" t="s">
        <v>64</v>
      </c>
      <c r="Z138" s="2" t="s">
        <v>65</v>
      </c>
      <c r="AA138" s="2" t="s">
        <v>66</v>
      </c>
      <c r="AC138" s="2" t="s">
        <v>67</v>
      </c>
      <c r="AD138" s="2" t="s">
        <v>68</v>
      </c>
      <c r="AE138" s="2" t="s">
        <v>69</v>
      </c>
      <c r="AF138" s="2" t="s">
        <v>70</v>
      </c>
      <c r="AG138" s="2" t="s">
        <v>499</v>
      </c>
      <c r="AK138" s="2" t="s">
        <v>1250</v>
      </c>
      <c r="AM138" s="2" t="s">
        <v>72</v>
      </c>
      <c r="AN138" s="2" t="s">
        <v>100</v>
      </c>
      <c r="AP138" s="2" t="s">
        <v>74</v>
      </c>
      <c r="AU138" s="2" t="s">
        <v>75</v>
      </c>
      <c r="AW138" s="2" t="s">
        <v>1251</v>
      </c>
      <c r="AZ138" s="2" t="s">
        <v>116</v>
      </c>
    </row>
    <row r="139" spans="1:52" s="3" customFormat="1" x14ac:dyDescent="0.35">
      <c r="A139" s="2" t="s">
        <v>1257</v>
      </c>
      <c r="B139" s="4">
        <v>249458</v>
      </c>
      <c r="C139" s="2" t="s">
        <v>1258</v>
      </c>
      <c r="D139" s="2">
        <f t="shared" si="2"/>
        <v>5</v>
      </c>
      <c r="G139" s="2" t="s">
        <v>53</v>
      </c>
      <c r="H139" s="4">
        <v>1</v>
      </c>
      <c r="I139" s="4">
        <v>1</v>
      </c>
      <c r="J139" s="4">
        <v>0</v>
      </c>
      <c r="L139" s="4">
        <v>0</v>
      </c>
      <c r="M139" s="2" t="s">
        <v>55</v>
      </c>
      <c r="N139" s="2" t="s">
        <v>56</v>
      </c>
      <c r="O139" s="2" t="s">
        <v>57</v>
      </c>
      <c r="P139" s="2" t="s">
        <v>499</v>
      </c>
      <c r="Q139" s="2" t="s">
        <v>500</v>
      </c>
      <c r="R139" s="2" t="s">
        <v>1259</v>
      </c>
      <c r="S139" s="2" t="s">
        <v>1260</v>
      </c>
      <c r="V139" s="2" t="s">
        <v>1261</v>
      </c>
      <c r="W139" s="2" t="s">
        <v>1262</v>
      </c>
      <c r="Y139" s="2" t="s">
        <v>64</v>
      </c>
      <c r="Z139" s="2" t="s">
        <v>65</v>
      </c>
      <c r="AA139" s="2" t="s">
        <v>66</v>
      </c>
      <c r="AC139" s="2" t="s">
        <v>67</v>
      </c>
      <c r="AD139" s="2" t="s">
        <v>68</v>
      </c>
      <c r="AE139" s="2" t="s">
        <v>69</v>
      </c>
      <c r="AF139" s="2" t="s">
        <v>70</v>
      </c>
      <c r="AG139" s="2" t="s">
        <v>499</v>
      </c>
      <c r="AK139" s="2" t="s">
        <v>1263</v>
      </c>
      <c r="AM139" s="2" t="s">
        <v>72</v>
      </c>
      <c r="AN139" s="2" t="s">
        <v>100</v>
      </c>
      <c r="AP139" s="2" t="s">
        <v>74</v>
      </c>
      <c r="AU139" s="2" t="s">
        <v>75</v>
      </c>
      <c r="AV139" s="2" t="s">
        <v>1264</v>
      </c>
      <c r="AW139" s="2" t="s">
        <v>1265</v>
      </c>
      <c r="AZ139" s="2" t="s">
        <v>116</v>
      </c>
    </row>
    <row r="140" spans="1:52" s="3" customFormat="1" x14ac:dyDescent="0.35">
      <c r="A140" s="2" t="s">
        <v>1266</v>
      </c>
      <c r="B140" s="4">
        <v>249457</v>
      </c>
      <c r="C140" s="2" t="s">
        <v>1267</v>
      </c>
      <c r="D140" s="2">
        <f t="shared" si="2"/>
        <v>5</v>
      </c>
      <c r="G140" s="2" t="s">
        <v>53</v>
      </c>
      <c r="H140" s="4">
        <v>1</v>
      </c>
      <c r="I140" s="4">
        <v>1</v>
      </c>
      <c r="J140" s="4">
        <v>0</v>
      </c>
      <c r="L140" s="4">
        <v>0</v>
      </c>
      <c r="M140" s="2" t="s">
        <v>55</v>
      </c>
      <c r="N140" s="2" t="s">
        <v>56</v>
      </c>
      <c r="O140" s="2" t="s">
        <v>57</v>
      </c>
      <c r="P140" s="2" t="s">
        <v>499</v>
      </c>
      <c r="Q140" s="2" t="s">
        <v>500</v>
      </c>
      <c r="R140" s="2" t="s">
        <v>1268</v>
      </c>
      <c r="S140" s="2" t="s">
        <v>1269</v>
      </c>
      <c r="V140" s="2" t="s">
        <v>1270</v>
      </c>
      <c r="W140" s="2" t="s">
        <v>1271</v>
      </c>
      <c r="Y140" s="2" t="s">
        <v>64</v>
      </c>
      <c r="Z140" s="2" t="s">
        <v>65</v>
      </c>
      <c r="AA140" s="2" t="s">
        <v>66</v>
      </c>
      <c r="AC140" s="2" t="s">
        <v>67</v>
      </c>
      <c r="AD140" s="2" t="s">
        <v>68</v>
      </c>
      <c r="AE140" s="2" t="s">
        <v>69</v>
      </c>
      <c r="AF140" s="2" t="s">
        <v>70</v>
      </c>
      <c r="AG140" s="2" t="s">
        <v>499</v>
      </c>
      <c r="AK140" s="2" t="s">
        <v>1272</v>
      </c>
      <c r="AM140" s="2" t="s">
        <v>72</v>
      </c>
      <c r="AN140" s="2" t="s">
        <v>100</v>
      </c>
      <c r="AP140" s="2" t="s">
        <v>74</v>
      </c>
      <c r="AU140" s="2" t="s">
        <v>75</v>
      </c>
      <c r="AW140" s="2" t="s">
        <v>1273</v>
      </c>
      <c r="AZ140" s="2" t="s">
        <v>116</v>
      </c>
    </row>
    <row r="141" spans="1:52" s="3" customFormat="1" x14ac:dyDescent="0.35">
      <c r="A141" s="2" t="s">
        <v>1274</v>
      </c>
      <c r="B141" s="4">
        <v>249456</v>
      </c>
      <c r="C141" s="2" t="s">
        <v>1275</v>
      </c>
      <c r="D141" s="2">
        <f t="shared" si="2"/>
        <v>5</v>
      </c>
      <c r="G141" s="2" t="s">
        <v>53</v>
      </c>
      <c r="H141" s="4">
        <v>1</v>
      </c>
      <c r="I141" s="4">
        <v>1</v>
      </c>
      <c r="J141" s="4">
        <v>0</v>
      </c>
      <c r="L141" s="4">
        <v>0</v>
      </c>
      <c r="M141" s="2" t="s">
        <v>55</v>
      </c>
      <c r="N141" s="2" t="s">
        <v>56</v>
      </c>
      <c r="O141" s="2" t="s">
        <v>57</v>
      </c>
      <c r="P141" s="2" t="s">
        <v>499</v>
      </c>
      <c r="Q141" s="2" t="s">
        <v>500</v>
      </c>
      <c r="R141" s="2" t="s">
        <v>1276</v>
      </c>
      <c r="S141" s="2" t="s">
        <v>1277</v>
      </c>
      <c r="V141" s="2" t="s">
        <v>1278</v>
      </c>
      <c r="W141" s="2" t="s">
        <v>1279</v>
      </c>
      <c r="Y141" s="2" t="s">
        <v>64</v>
      </c>
      <c r="Z141" s="2" t="s">
        <v>65</v>
      </c>
      <c r="AA141" s="2" t="s">
        <v>66</v>
      </c>
      <c r="AC141" s="2" t="s">
        <v>67</v>
      </c>
      <c r="AD141" s="2" t="s">
        <v>68</v>
      </c>
      <c r="AE141" s="2" t="s">
        <v>69</v>
      </c>
      <c r="AF141" s="2" t="s">
        <v>70</v>
      </c>
      <c r="AG141" s="2" t="s">
        <v>499</v>
      </c>
      <c r="AK141" s="2" t="s">
        <v>1280</v>
      </c>
      <c r="AM141" s="2" t="s">
        <v>72</v>
      </c>
      <c r="AN141" s="2" t="s">
        <v>100</v>
      </c>
      <c r="AP141" s="2" t="s">
        <v>74</v>
      </c>
      <c r="AU141" s="2" t="s">
        <v>75</v>
      </c>
      <c r="AW141" s="2" t="s">
        <v>1281</v>
      </c>
      <c r="AZ141" s="2" t="s">
        <v>116</v>
      </c>
    </row>
    <row r="142" spans="1:52" s="3" customFormat="1" x14ac:dyDescent="0.35">
      <c r="A142" s="2" t="s">
        <v>1282</v>
      </c>
      <c r="B142" s="4">
        <v>249455</v>
      </c>
      <c r="C142" s="2" t="s">
        <v>1283</v>
      </c>
      <c r="D142" s="2">
        <f t="shared" si="2"/>
        <v>5</v>
      </c>
      <c r="G142" s="2" t="s">
        <v>53</v>
      </c>
      <c r="H142" s="4">
        <v>1</v>
      </c>
      <c r="I142" s="4">
        <v>1</v>
      </c>
      <c r="J142" s="4">
        <v>0</v>
      </c>
      <c r="L142" s="4">
        <v>0</v>
      </c>
      <c r="M142" s="2" t="s">
        <v>55</v>
      </c>
      <c r="N142" s="2" t="s">
        <v>56</v>
      </c>
      <c r="O142" s="2" t="s">
        <v>57</v>
      </c>
      <c r="P142" s="2" t="s">
        <v>499</v>
      </c>
      <c r="Q142" s="2" t="s">
        <v>500</v>
      </c>
      <c r="R142" s="2" t="s">
        <v>1284</v>
      </c>
      <c r="S142" s="2" t="s">
        <v>1285</v>
      </c>
      <c r="V142" s="2" t="s">
        <v>1286</v>
      </c>
      <c r="W142" s="2" t="s">
        <v>1287</v>
      </c>
      <c r="Y142" s="2" t="s">
        <v>64</v>
      </c>
      <c r="Z142" s="2" t="s">
        <v>65</v>
      </c>
      <c r="AA142" s="2" t="s">
        <v>66</v>
      </c>
      <c r="AC142" s="2" t="s">
        <v>67</v>
      </c>
      <c r="AD142" s="2" t="s">
        <v>68</v>
      </c>
      <c r="AE142" s="2" t="s">
        <v>69</v>
      </c>
      <c r="AF142" s="2" t="s">
        <v>70</v>
      </c>
      <c r="AG142" s="2" t="s">
        <v>499</v>
      </c>
      <c r="AK142" s="2" t="s">
        <v>1288</v>
      </c>
      <c r="AM142" s="2" t="s">
        <v>72</v>
      </c>
      <c r="AN142" s="2" t="s">
        <v>100</v>
      </c>
      <c r="AP142" s="2" t="s">
        <v>74</v>
      </c>
      <c r="AU142" s="2" t="s">
        <v>75</v>
      </c>
      <c r="AW142" s="2" t="s">
        <v>1289</v>
      </c>
      <c r="AZ142" s="2" t="s">
        <v>116</v>
      </c>
    </row>
    <row r="143" spans="1:52" s="3" customFormat="1" x14ac:dyDescent="0.35">
      <c r="A143" s="2" t="s">
        <v>1290</v>
      </c>
      <c r="B143" s="4">
        <v>249453</v>
      </c>
      <c r="C143" s="2" t="s">
        <v>1291</v>
      </c>
      <c r="D143" s="2">
        <f t="shared" si="2"/>
        <v>5</v>
      </c>
      <c r="G143" s="2" t="s">
        <v>53</v>
      </c>
      <c r="H143" s="4">
        <v>1</v>
      </c>
      <c r="I143" s="4">
        <v>1</v>
      </c>
      <c r="J143" s="4">
        <v>0</v>
      </c>
      <c r="L143" s="4">
        <v>0</v>
      </c>
      <c r="M143" s="2" t="s">
        <v>55</v>
      </c>
      <c r="N143" s="2" t="s">
        <v>56</v>
      </c>
      <c r="O143" s="2" t="s">
        <v>57</v>
      </c>
      <c r="P143" s="2" t="s">
        <v>499</v>
      </c>
      <c r="Q143" s="2" t="s">
        <v>500</v>
      </c>
      <c r="R143" s="2" t="s">
        <v>1292</v>
      </c>
      <c r="S143" s="2" t="s">
        <v>1293</v>
      </c>
      <c r="V143" s="2" t="s">
        <v>1294</v>
      </c>
      <c r="W143" s="2" t="s">
        <v>1295</v>
      </c>
      <c r="Y143" s="2" t="s">
        <v>64</v>
      </c>
      <c r="Z143" s="2" t="s">
        <v>65</v>
      </c>
      <c r="AA143" s="2" t="s">
        <v>66</v>
      </c>
      <c r="AC143" s="2" t="s">
        <v>67</v>
      </c>
      <c r="AD143" s="2" t="s">
        <v>68</v>
      </c>
      <c r="AE143" s="2" t="s">
        <v>69</v>
      </c>
      <c r="AF143" s="2" t="s">
        <v>70</v>
      </c>
      <c r="AG143" s="2" t="s">
        <v>499</v>
      </c>
      <c r="AK143" s="2" t="s">
        <v>1296</v>
      </c>
      <c r="AM143" s="2" t="s">
        <v>72</v>
      </c>
      <c r="AN143" s="2" t="s">
        <v>100</v>
      </c>
      <c r="AP143" s="2" t="s">
        <v>74</v>
      </c>
      <c r="AU143" s="2" t="s">
        <v>75</v>
      </c>
      <c r="AW143" s="2" t="s">
        <v>1297</v>
      </c>
      <c r="AZ143" s="2" t="s">
        <v>116</v>
      </c>
    </row>
    <row r="144" spans="1:52" s="3" customFormat="1" x14ac:dyDescent="0.35">
      <c r="A144" s="2" t="s">
        <v>1298</v>
      </c>
      <c r="B144" s="4">
        <v>249452</v>
      </c>
      <c r="C144" s="2" t="s">
        <v>1299</v>
      </c>
      <c r="D144" s="2">
        <f t="shared" si="2"/>
        <v>5</v>
      </c>
      <c r="G144" s="2" t="s">
        <v>53</v>
      </c>
      <c r="H144" s="4">
        <v>1</v>
      </c>
      <c r="I144" s="4">
        <v>1</v>
      </c>
      <c r="J144" s="4">
        <v>0</v>
      </c>
      <c r="L144" s="4">
        <v>0</v>
      </c>
      <c r="M144" s="2" t="s">
        <v>55</v>
      </c>
      <c r="N144" s="2" t="s">
        <v>56</v>
      </c>
      <c r="O144" s="2" t="s">
        <v>57</v>
      </c>
      <c r="P144" s="2" t="s">
        <v>499</v>
      </c>
      <c r="Q144" s="2" t="s">
        <v>500</v>
      </c>
      <c r="R144" s="2" t="s">
        <v>244</v>
      </c>
      <c r="S144" s="2" t="s">
        <v>245</v>
      </c>
      <c r="V144" s="2" t="s">
        <v>246</v>
      </c>
      <c r="W144" s="2" t="s">
        <v>247</v>
      </c>
      <c r="Y144" s="2" t="s">
        <v>64</v>
      </c>
      <c r="Z144" s="2" t="s">
        <v>65</v>
      </c>
      <c r="AA144" s="2" t="s">
        <v>66</v>
      </c>
      <c r="AC144" s="2" t="s">
        <v>67</v>
      </c>
      <c r="AD144" s="2" t="s">
        <v>68</v>
      </c>
      <c r="AE144" s="2" t="s">
        <v>69</v>
      </c>
      <c r="AF144" s="2" t="s">
        <v>70</v>
      </c>
      <c r="AG144" s="2" t="s">
        <v>499</v>
      </c>
      <c r="AK144" s="2" t="s">
        <v>1300</v>
      </c>
      <c r="AM144" s="2" t="s">
        <v>72</v>
      </c>
      <c r="AN144" s="2" t="s">
        <v>100</v>
      </c>
      <c r="AP144" s="2" t="s">
        <v>74</v>
      </c>
      <c r="AU144" s="2" t="s">
        <v>75</v>
      </c>
      <c r="AW144" s="2" t="s">
        <v>250</v>
      </c>
      <c r="AZ144" s="2" t="s">
        <v>116</v>
      </c>
    </row>
    <row r="145" spans="1:52" s="3" customFormat="1" x14ac:dyDescent="0.35">
      <c r="A145" s="2" t="s">
        <v>1301</v>
      </c>
      <c r="B145" s="4">
        <v>249451</v>
      </c>
      <c r="C145" s="2" t="s">
        <v>1302</v>
      </c>
      <c r="D145" s="2">
        <f t="shared" si="2"/>
        <v>5</v>
      </c>
      <c r="G145" s="2" t="s">
        <v>53</v>
      </c>
      <c r="H145" s="4">
        <v>1</v>
      </c>
      <c r="I145" s="4">
        <v>1</v>
      </c>
      <c r="J145" s="4">
        <v>0</v>
      </c>
      <c r="L145" s="4">
        <v>0</v>
      </c>
      <c r="M145" s="2" t="s">
        <v>55</v>
      </c>
      <c r="N145" s="2" t="s">
        <v>56</v>
      </c>
      <c r="O145" s="2" t="s">
        <v>57</v>
      </c>
      <c r="P145" s="2" t="s">
        <v>499</v>
      </c>
      <c r="Q145" s="2" t="s">
        <v>500</v>
      </c>
      <c r="R145" s="2" t="s">
        <v>261</v>
      </c>
      <c r="S145" s="2" t="s">
        <v>262</v>
      </c>
      <c r="V145" s="2" t="s">
        <v>263</v>
      </c>
      <c r="W145" s="2" t="s">
        <v>264</v>
      </c>
      <c r="Y145" s="2" t="s">
        <v>64</v>
      </c>
      <c r="Z145" s="2" t="s">
        <v>65</v>
      </c>
      <c r="AA145" s="2" t="s">
        <v>66</v>
      </c>
      <c r="AC145" s="2" t="s">
        <v>67</v>
      </c>
      <c r="AD145" s="2" t="s">
        <v>68</v>
      </c>
      <c r="AE145" s="2" t="s">
        <v>69</v>
      </c>
      <c r="AF145" s="2" t="s">
        <v>70</v>
      </c>
      <c r="AG145" s="2" t="s">
        <v>499</v>
      </c>
      <c r="AK145" s="2" t="s">
        <v>1303</v>
      </c>
      <c r="AM145" s="2" t="s">
        <v>72</v>
      </c>
      <c r="AN145" s="2" t="s">
        <v>100</v>
      </c>
      <c r="AP145" s="2" t="s">
        <v>74</v>
      </c>
      <c r="AU145" s="2" t="s">
        <v>75</v>
      </c>
      <c r="AW145" s="2" t="s">
        <v>266</v>
      </c>
      <c r="AZ145" s="2" t="s">
        <v>116</v>
      </c>
    </row>
    <row r="146" spans="1:52" s="3" customFormat="1" x14ac:dyDescent="0.35">
      <c r="A146" s="2" t="s">
        <v>1304</v>
      </c>
      <c r="B146" s="4">
        <v>249449</v>
      </c>
      <c r="C146" s="2" t="s">
        <v>1305</v>
      </c>
      <c r="D146" s="2">
        <f t="shared" si="2"/>
        <v>5</v>
      </c>
      <c r="G146" s="2" t="s">
        <v>53</v>
      </c>
      <c r="H146" s="4">
        <v>1</v>
      </c>
      <c r="I146" s="4">
        <v>1</v>
      </c>
      <c r="J146" s="4">
        <v>0</v>
      </c>
      <c r="L146" s="4">
        <v>0</v>
      </c>
      <c r="M146" s="2" t="s">
        <v>55</v>
      </c>
      <c r="N146" s="2" t="s">
        <v>56</v>
      </c>
      <c r="O146" s="2" t="s">
        <v>57</v>
      </c>
      <c r="P146" s="2" t="s">
        <v>499</v>
      </c>
      <c r="Q146" s="2" t="s">
        <v>500</v>
      </c>
      <c r="R146" s="2" t="s">
        <v>1306</v>
      </c>
      <c r="S146" s="2" t="s">
        <v>1307</v>
      </c>
      <c r="V146" s="2" t="s">
        <v>1308</v>
      </c>
      <c r="W146" s="2" t="s">
        <v>1309</v>
      </c>
      <c r="Y146" s="2" t="s">
        <v>64</v>
      </c>
      <c r="Z146" s="2" t="s">
        <v>65</v>
      </c>
      <c r="AA146" s="2" t="s">
        <v>66</v>
      </c>
      <c r="AC146" s="2" t="s">
        <v>67</v>
      </c>
      <c r="AD146" s="2" t="s">
        <v>68</v>
      </c>
      <c r="AE146" s="2" t="s">
        <v>69</v>
      </c>
      <c r="AF146" s="2" t="s">
        <v>70</v>
      </c>
      <c r="AG146" s="2" t="s">
        <v>499</v>
      </c>
      <c r="AK146" s="2" t="s">
        <v>1310</v>
      </c>
      <c r="AM146" s="2" t="s">
        <v>72</v>
      </c>
      <c r="AN146" s="2" t="s">
        <v>100</v>
      </c>
      <c r="AP146" s="2" t="s">
        <v>74</v>
      </c>
      <c r="AU146" s="2" t="s">
        <v>75</v>
      </c>
      <c r="AW146" s="2" t="s">
        <v>1311</v>
      </c>
      <c r="AZ146" s="2" t="s">
        <v>116</v>
      </c>
    </row>
    <row r="147" spans="1:52" s="3" customFormat="1" x14ac:dyDescent="0.35">
      <c r="A147" s="2" t="s">
        <v>1312</v>
      </c>
      <c r="B147" s="4">
        <v>249448</v>
      </c>
      <c r="C147" s="2" t="s">
        <v>1313</v>
      </c>
      <c r="D147" s="2">
        <f t="shared" si="2"/>
        <v>5</v>
      </c>
      <c r="G147" s="2" t="s">
        <v>53</v>
      </c>
      <c r="H147" s="4">
        <v>1</v>
      </c>
      <c r="I147" s="4">
        <v>1</v>
      </c>
      <c r="J147" s="4">
        <v>0</v>
      </c>
      <c r="L147" s="4">
        <v>0</v>
      </c>
      <c r="M147" s="2" t="s">
        <v>55</v>
      </c>
      <c r="N147" s="2" t="s">
        <v>56</v>
      </c>
      <c r="O147" s="2" t="s">
        <v>57</v>
      </c>
      <c r="P147" s="2" t="s">
        <v>499</v>
      </c>
      <c r="Q147" s="2" t="s">
        <v>500</v>
      </c>
      <c r="R147" s="2" t="s">
        <v>1314</v>
      </c>
      <c r="S147" s="2" t="s">
        <v>1315</v>
      </c>
      <c r="V147" s="2" t="s">
        <v>1316</v>
      </c>
      <c r="W147" s="2" t="s">
        <v>1317</v>
      </c>
      <c r="Y147" s="2" t="s">
        <v>64</v>
      </c>
      <c r="Z147" s="2" t="s">
        <v>65</v>
      </c>
      <c r="AA147" s="2" t="s">
        <v>66</v>
      </c>
      <c r="AC147" s="2" t="s">
        <v>67</v>
      </c>
      <c r="AD147" s="2" t="s">
        <v>68</v>
      </c>
      <c r="AE147" s="2" t="s">
        <v>69</v>
      </c>
      <c r="AF147" s="2" t="s">
        <v>70</v>
      </c>
      <c r="AG147" s="2" t="s">
        <v>499</v>
      </c>
      <c r="AK147" s="2" t="s">
        <v>1318</v>
      </c>
      <c r="AM147" s="2" t="s">
        <v>72</v>
      </c>
      <c r="AN147" s="2" t="s">
        <v>100</v>
      </c>
      <c r="AP147" s="2" t="s">
        <v>74</v>
      </c>
      <c r="AU147" s="2" t="s">
        <v>75</v>
      </c>
      <c r="AW147" s="2" t="s">
        <v>1319</v>
      </c>
      <c r="AZ147" s="2" t="s">
        <v>116</v>
      </c>
    </row>
    <row r="148" spans="1:52" s="3" customFormat="1" x14ac:dyDescent="0.35">
      <c r="A148" s="2" t="s">
        <v>1320</v>
      </c>
      <c r="B148" s="4">
        <v>249447</v>
      </c>
      <c r="C148" s="2" t="s">
        <v>1321</v>
      </c>
      <c r="D148" s="2">
        <f t="shared" si="2"/>
        <v>5</v>
      </c>
      <c r="G148" s="2" t="s">
        <v>53</v>
      </c>
      <c r="H148" s="4">
        <v>1</v>
      </c>
      <c r="I148" s="4">
        <v>1</v>
      </c>
      <c r="J148" s="4">
        <v>0</v>
      </c>
      <c r="L148" s="4">
        <v>0</v>
      </c>
      <c r="M148" s="2" t="s">
        <v>55</v>
      </c>
      <c r="N148" s="2" t="s">
        <v>56</v>
      </c>
      <c r="O148" s="2" t="s">
        <v>57</v>
      </c>
      <c r="P148" s="2" t="s">
        <v>499</v>
      </c>
      <c r="Q148" s="2" t="s">
        <v>500</v>
      </c>
      <c r="R148" s="2" t="s">
        <v>1322</v>
      </c>
      <c r="S148" s="2" t="s">
        <v>1323</v>
      </c>
      <c r="V148" s="2" t="s">
        <v>1324</v>
      </c>
      <c r="W148" s="2" t="s">
        <v>1325</v>
      </c>
      <c r="Y148" s="2" t="s">
        <v>64</v>
      </c>
      <c r="Z148" s="2" t="s">
        <v>65</v>
      </c>
      <c r="AA148" s="2" t="s">
        <v>66</v>
      </c>
      <c r="AC148" s="2" t="s">
        <v>67</v>
      </c>
      <c r="AD148" s="2" t="s">
        <v>68</v>
      </c>
      <c r="AE148" s="2" t="s">
        <v>69</v>
      </c>
      <c r="AF148" s="2" t="s">
        <v>70</v>
      </c>
      <c r="AG148" s="2" t="s">
        <v>499</v>
      </c>
      <c r="AK148" s="2" t="s">
        <v>1326</v>
      </c>
      <c r="AM148" s="2" t="s">
        <v>72</v>
      </c>
      <c r="AN148" s="2" t="s">
        <v>100</v>
      </c>
      <c r="AP148" s="2" t="s">
        <v>74</v>
      </c>
      <c r="AU148" s="2" t="s">
        <v>75</v>
      </c>
      <c r="AW148" s="2" t="s">
        <v>1327</v>
      </c>
      <c r="AZ148" s="2" t="s">
        <v>116</v>
      </c>
    </row>
    <row r="149" spans="1:52" s="3" customFormat="1" x14ac:dyDescent="0.35">
      <c r="A149" s="2" t="s">
        <v>1328</v>
      </c>
      <c r="B149" s="4">
        <v>249446</v>
      </c>
      <c r="C149" s="2" t="s">
        <v>1329</v>
      </c>
      <c r="D149" s="2">
        <f t="shared" si="2"/>
        <v>5</v>
      </c>
      <c r="G149" s="2" t="s">
        <v>53</v>
      </c>
      <c r="H149" s="4">
        <v>1</v>
      </c>
      <c r="I149" s="4">
        <v>1</v>
      </c>
      <c r="J149" s="4">
        <v>0</v>
      </c>
      <c r="L149" s="4">
        <v>0</v>
      </c>
      <c r="M149" s="2" t="s">
        <v>55</v>
      </c>
      <c r="N149" s="2" t="s">
        <v>56</v>
      </c>
      <c r="O149" s="2" t="s">
        <v>57</v>
      </c>
      <c r="P149" s="2" t="s">
        <v>499</v>
      </c>
      <c r="Q149" s="2" t="s">
        <v>500</v>
      </c>
      <c r="R149" s="2" t="s">
        <v>1330</v>
      </c>
      <c r="S149" s="2" t="s">
        <v>1331</v>
      </c>
      <c r="V149" s="2" t="s">
        <v>1332</v>
      </c>
      <c r="W149" s="2" t="s">
        <v>1333</v>
      </c>
      <c r="Y149" s="2" t="s">
        <v>64</v>
      </c>
      <c r="Z149" s="2" t="s">
        <v>65</v>
      </c>
      <c r="AA149" s="2" t="s">
        <v>66</v>
      </c>
      <c r="AC149" s="2" t="s">
        <v>67</v>
      </c>
      <c r="AD149" s="2" t="s">
        <v>68</v>
      </c>
      <c r="AE149" s="2" t="s">
        <v>69</v>
      </c>
      <c r="AF149" s="2" t="s">
        <v>70</v>
      </c>
      <c r="AG149" s="2" t="s">
        <v>499</v>
      </c>
      <c r="AK149" s="2" t="s">
        <v>1334</v>
      </c>
      <c r="AM149" s="2" t="s">
        <v>72</v>
      </c>
      <c r="AN149" s="2" t="s">
        <v>100</v>
      </c>
      <c r="AP149" s="2" t="s">
        <v>74</v>
      </c>
      <c r="AU149" s="2" t="s">
        <v>75</v>
      </c>
      <c r="AW149" s="2" t="s">
        <v>1335</v>
      </c>
      <c r="AZ149" s="2" t="s">
        <v>116</v>
      </c>
    </row>
    <row r="150" spans="1:52" s="3" customFormat="1" x14ac:dyDescent="0.35">
      <c r="A150" s="2" t="s">
        <v>1336</v>
      </c>
      <c r="B150" s="4">
        <v>249445</v>
      </c>
      <c r="C150" s="2" t="s">
        <v>1337</v>
      </c>
      <c r="D150" s="2">
        <f t="shared" si="2"/>
        <v>5</v>
      </c>
      <c r="G150" s="2" t="s">
        <v>53</v>
      </c>
      <c r="H150" s="4">
        <v>1</v>
      </c>
      <c r="I150" s="4">
        <v>1</v>
      </c>
      <c r="J150" s="4">
        <v>0</v>
      </c>
      <c r="L150" s="4">
        <v>0</v>
      </c>
      <c r="M150" s="2" t="s">
        <v>55</v>
      </c>
      <c r="N150" s="2" t="s">
        <v>56</v>
      </c>
      <c r="O150" s="2" t="s">
        <v>57</v>
      </c>
      <c r="P150" s="2" t="s">
        <v>499</v>
      </c>
      <c r="Q150" s="2" t="s">
        <v>500</v>
      </c>
      <c r="R150" s="2" t="s">
        <v>1338</v>
      </c>
      <c r="S150" s="2" t="s">
        <v>1339</v>
      </c>
      <c r="V150" s="2" t="s">
        <v>1340</v>
      </c>
      <c r="W150" s="2" t="s">
        <v>1341</v>
      </c>
      <c r="Y150" s="2" t="s">
        <v>64</v>
      </c>
      <c r="Z150" s="2" t="s">
        <v>205</v>
      </c>
      <c r="AA150" s="2" t="s">
        <v>66</v>
      </c>
      <c r="AC150" s="2" t="s">
        <v>67</v>
      </c>
      <c r="AD150" s="2" t="s">
        <v>68</v>
      </c>
      <c r="AE150" s="2" t="s">
        <v>69</v>
      </c>
      <c r="AF150" s="2" t="s">
        <v>70</v>
      </c>
      <c r="AG150" s="2" t="s">
        <v>499</v>
      </c>
      <c r="AK150" s="2" t="s">
        <v>1342</v>
      </c>
      <c r="AM150" s="2" t="s">
        <v>72</v>
      </c>
      <c r="AN150" s="2" t="s">
        <v>100</v>
      </c>
      <c r="AP150" s="2" t="s">
        <v>74</v>
      </c>
      <c r="AU150" s="2" t="s">
        <v>75</v>
      </c>
      <c r="AW150" s="2" t="s">
        <v>1343</v>
      </c>
      <c r="AZ150" s="2" t="s">
        <v>116</v>
      </c>
    </row>
    <row r="151" spans="1:52" s="3" customFormat="1" x14ac:dyDescent="0.35">
      <c r="A151" s="2" t="s">
        <v>1344</v>
      </c>
      <c r="B151" s="4">
        <v>249436</v>
      </c>
      <c r="C151" s="2" t="s">
        <v>1345</v>
      </c>
      <c r="D151" s="2">
        <f t="shared" si="2"/>
        <v>5</v>
      </c>
      <c r="G151" s="2" t="s">
        <v>53</v>
      </c>
      <c r="H151" s="4">
        <v>7</v>
      </c>
      <c r="I151" s="4">
        <v>1</v>
      </c>
      <c r="J151" s="4">
        <v>0</v>
      </c>
      <c r="L151" s="4">
        <v>0</v>
      </c>
      <c r="M151" s="2" t="s">
        <v>55</v>
      </c>
      <c r="N151" s="2" t="s">
        <v>56</v>
      </c>
      <c r="O151" s="2" t="s">
        <v>57</v>
      </c>
      <c r="P151" s="2" t="s">
        <v>499</v>
      </c>
      <c r="Q151" s="2" t="s">
        <v>500</v>
      </c>
      <c r="R151" s="2" t="s">
        <v>1034</v>
      </c>
      <c r="T151" s="2" t="s">
        <v>1035</v>
      </c>
      <c r="U151" s="2" t="s">
        <v>1036</v>
      </c>
      <c r="V151" s="2" t="s">
        <v>1037</v>
      </c>
      <c r="W151" s="2" t="s">
        <v>1038</v>
      </c>
      <c r="X151" s="2" t="s">
        <v>1039</v>
      </c>
      <c r="Y151" s="2" t="s">
        <v>1040</v>
      </c>
      <c r="Z151" s="2" t="s">
        <v>1041</v>
      </c>
      <c r="AA151" s="2" t="s">
        <v>1042</v>
      </c>
      <c r="AB151" s="2" t="s">
        <v>1043</v>
      </c>
      <c r="AC151" s="2" t="s">
        <v>1044</v>
      </c>
      <c r="AD151" s="2" t="s">
        <v>68</v>
      </c>
      <c r="AE151" s="2" t="s">
        <v>69</v>
      </c>
      <c r="AF151" s="2" t="s">
        <v>70</v>
      </c>
      <c r="AG151" s="2" t="s">
        <v>499</v>
      </c>
      <c r="AK151" s="2" t="s">
        <v>1346</v>
      </c>
      <c r="AM151" s="2" t="s">
        <v>72</v>
      </c>
      <c r="AN151" s="2" t="s">
        <v>1046</v>
      </c>
      <c r="AP151" s="2" t="s">
        <v>74</v>
      </c>
      <c r="AU151" s="2" t="s">
        <v>75</v>
      </c>
      <c r="AV151" s="2" t="s">
        <v>1047</v>
      </c>
      <c r="AW151" s="2" t="s">
        <v>1048</v>
      </c>
      <c r="AZ151" s="2" t="s">
        <v>116</v>
      </c>
    </row>
    <row r="152" spans="1:52" s="3" customFormat="1" x14ac:dyDescent="0.35">
      <c r="A152" s="2" t="s">
        <v>1347</v>
      </c>
      <c r="B152" s="4">
        <v>249433</v>
      </c>
      <c r="C152" s="2" t="s">
        <v>1348</v>
      </c>
      <c r="D152" s="2">
        <f t="shared" si="2"/>
        <v>5</v>
      </c>
      <c r="F152" s="2" t="s">
        <v>1033</v>
      </c>
      <c r="G152" s="2" t="s">
        <v>53</v>
      </c>
      <c r="H152" s="4">
        <v>1</v>
      </c>
      <c r="I152" s="4">
        <v>1</v>
      </c>
      <c r="J152" s="5">
        <v>12000</v>
      </c>
      <c r="L152" s="5">
        <v>11262</v>
      </c>
      <c r="M152" s="2" t="s">
        <v>55</v>
      </c>
      <c r="N152" s="2" t="s">
        <v>458</v>
      </c>
      <c r="O152" s="2" t="s">
        <v>459</v>
      </c>
      <c r="P152" s="2" t="s">
        <v>1349</v>
      </c>
      <c r="Q152" s="2" t="s">
        <v>1350</v>
      </c>
      <c r="R152" s="2" t="s">
        <v>1351</v>
      </c>
      <c r="T152" s="2" t="s">
        <v>1352</v>
      </c>
      <c r="U152" s="2" t="s">
        <v>1353</v>
      </c>
      <c r="V152" s="2" t="s">
        <v>1354</v>
      </c>
      <c r="W152" s="2" t="s">
        <v>1355</v>
      </c>
      <c r="X152" s="2" t="s">
        <v>1356</v>
      </c>
      <c r="Y152" s="2" t="s">
        <v>1357</v>
      </c>
      <c r="Z152" s="2" t="s">
        <v>1358</v>
      </c>
      <c r="AA152" s="2" t="s">
        <v>1359</v>
      </c>
      <c r="AC152" s="2" t="s">
        <v>1360</v>
      </c>
      <c r="AD152" s="2" t="s">
        <v>1361</v>
      </c>
      <c r="AE152" s="2" t="s">
        <v>1362</v>
      </c>
      <c r="AF152" s="2" t="s">
        <v>70</v>
      </c>
      <c r="AG152" s="2" t="s">
        <v>1349</v>
      </c>
      <c r="AK152" s="2" t="s">
        <v>1363</v>
      </c>
      <c r="AM152" s="2" t="s">
        <v>72</v>
      </c>
      <c r="AN152" s="2" t="s">
        <v>1046</v>
      </c>
      <c r="AP152" s="2" t="s">
        <v>1364</v>
      </c>
      <c r="AU152" s="2" t="s">
        <v>75</v>
      </c>
      <c r="AV152" s="2" t="s">
        <v>1365</v>
      </c>
      <c r="AW152" s="2" t="s">
        <v>1366</v>
      </c>
      <c r="AX152" s="2" t="s">
        <v>477</v>
      </c>
      <c r="AZ152" s="2" t="s">
        <v>478</v>
      </c>
    </row>
    <row r="153" spans="1:52" s="3" customFormat="1" x14ac:dyDescent="0.35">
      <c r="A153" s="2" t="s">
        <v>1367</v>
      </c>
      <c r="B153" s="4">
        <v>249408</v>
      </c>
      <c r="C153" s="2" t="s">
        <v>1368</v>
      </c>
      <c r="D153" s="2">
        <f t="shared" si="2"/>
        <v>5</v>
      </c>
      <c r="F153" s="2" t="s">
        <v>1033</v>
      </c>
      <c r="G153" s="2" t="s">
        <v>53</v>
      </c>
      <c r="H153" s="4">
        <v>1</v>
      </c>
      <c r="I153" s="4">
        <v>1</v>
      </c>
      <c r="J153" s="5">
        <v>130000</v>
      </c>
      <c r="L153" s="5">
        <v>122005</v>
      </c>
      <c r="N153" s="2" t="s">
        <v>458</v>
      </c>
      <c r="O153" s="2" t="s">
        <v>459</v>
      </c>
      <c r="P153" s="2" t="s">
        <v>1369</v>
      </c>
      <c r="Q153" s="2" t="s">
        <v>1370</v>
      </c>
      <c r="R153" s="2" t="s">
        <v>1371</v>
      </c>
      <c r="T153" s="2" t="s">
        <v>1372</v>
      </c>
      <c r="U153" s="2" t="s">
        <v>1373</v>
      </c>
      <c r="V153" s="2" t="s">
        <v>1374</v>
      </c>
      <c r="W153" s="2" t="s">
        <v>1375</v>
      </c>
      <c r="X153" s="2" t="s">
        <v>1376</v>
      </c>
      <c r="Y153" s="2" t="s">
        <v>1377</v>
      </c>
      <c r="Z153" s="2" t="s">
        <v>1378</v>
      </c>
      <c r="AA153" s="2" t="s">
        <v>1379</v>
      </c>
      <c r="AC153" s="2" t="s">
        <v>1380</v>
      </c>
      <c r="AD153" s="2" t="s">
        <v>1381</v>
      </c>
      <c r="AE153" s="2" t="s">
        <v>69</v>
      </c>
      <c r="AF153" s="2" t="s">
        <v>70</v>
      </c>
      <c r="AG153" s="2" t="s">
        <v>55</v>
      </c>
      <c r="AK153" s="2" t="s">
        <v>1382</v>
      </c>
      <c r="AM153" s="2" t="s">
        <v>72</v>
      </c>
      <c r="AN153" s="2" t="s">
        <v>1383</v>
      </c>
      <c r="AP153" s="2" t="s">
        <v>1384</v>
      </c>
      <c r="AU153" s="2" t="s">
        <v>75</v>
      </c>
      <c r="AV153" s="2" t="s">
        <v>1385</v>
      </c>
      <c r="AW153" s="2" t="s">
        <v>1386</v>
      </c>
      <c r="AZ153" s="2" t="s">
        <v>478</v>
      </c>
    </row>
    <row r="154" spans="1:52" s="3" customFormat="1" x14ac:dyDescent="0.35">
      <c r="A154" s="2" t="s">
        <v>1387</v>
      </c>
      <c r="B154" s="4">
        <v>249380</v>
      </c>
      <c r="C154" s="2" t="s">
        <v>1388</v>
      </c>
      <c r="D154" s="2">
        <f t="shared" si="2"/>
        <v>5</v>
      </c>
      <c r="F154" s="2" t="s">
        <v>1389</v>
      </c>
      <c r="G154" s="2" t="s">
        <v>53</v>
      </c>
      <c r="H154" s="4">
        <v>1</v>
      </c>
      <c r="I154" s="4">
        <v>12</v>
      </c>
      <c r="J154" s="5">
        <v>29900</v>
      </c>
      <c r="K154" s="2" t="s">
        <v>80</v>
      </c>
      <c r="L154" s="5">
        <v>29900</v>
      </c>
      <c r="M154" s="2" t="s">
        <v>1390</v>
      </c>
      <c r="N154" s="2" t="s">
        <v>82</v>
      </c>
      <c r="O154" s="2" t="s">
        <v>484</v>
      </c>
      <c r="P154" s="2" t="s">
        <v>1391</v>
      </c>
      <c r="Q154" s="2" t="s">
        <v>1392</v>
      </c>
      <c r="R154" s="2" t="s">
        <v>1393</v>
      </c>
      <c r="S154" s="2" t="s">
        <v>1394</v>
      </c>
      <c r="V154" s="2" t="s">
        <v>1395</v>
      </c>
      <c r="W154" s="2" t="s">
        <v>1396</v>
      </c>
      <c r="Y154" s="2" t="s">
        <v>1397</v>
      </c>
      <c r="Z154" s="2" t="s">
        <v>1398</v>
      </c>
      <c r="AA154" s="2" t="s">
        <v>1399</v>
      </c>
      <c r="AB154" s="2" t="s">
        <v>1400</v>
      </c>
      <c r="AC154" s="2" t="s">
        <v>1401</v>
      </c>
      <c r="AD154" s="2" t="s">
        <v>1402</v>
      </c>
      <c r="AE154" s="2" t="s">
        <v>1403</v>
      </c>
      <c r="AF154" s="2" t="s">
        <v>97</v>
      </c>
      <c r="AK154" s="2" t="s">
        <v>1404</v>
      </c>
      <c r="AL154" s="2" t="s">
        <v>1405</v>
      </c>
      <c r="AM154" s="2" t="s">
        <v>72</v>
      </c>
      <c r="AN154" s="2" t="s">
        <v>249</v>
      </c>
      <c r="AP154" s="2" t="s">
        <v>1406</v>
      </c>
      <c r="AS154" s="2" t="s">
        <v>1407</v>
      </c>
      <c r="AT154" s="2" t="s">
        <v>102</v>
      </c>
      <c r="AU154" s="2" t="s">
        <v>75</v>
      </c>
      <c r="AV154" s="2" t="s">
        <v>1389</v>
      </c>
      <c r="AW154" s="2" t="s">
        <v>1408</v>
      </c>
      <c r="AZ154" s="2" t="s">
        <v>77</v>
      </c>
    </row>
    <row r="155" spans="1:52" s="3" customFormat="1" x14ac:dyDescent="0.35">
      <c r="A155" s="2" t="s">
        <v>1409</v>
      </c>
      <c r="B155" s="4">
        <v>249371</v>
      </c>
      <c r="C155" s="2" t="s">
        <v>1410</v>
      </c>
      <c r="D155" s="2">
        <f t="shared" si="2"/>
        <v>5</v>
      </c>
      <c r="F155" s="2" t="s">
        <v>1411</v>
      </c>
      <c r="G155" s="2" t="s">
        <v>53</v>
      </c>
      <c r="H155" s="4">
        <v>1</v>
      </c>
      <c r="I155" s="4">
        <v>1</v>
      </c>
      <c r="J155" s="4">
        <v>0</v>
      </c>
      <c r="L155" s="4">
        <v>0</v>
      </c>
      <c r="M155" s="2" t="s">
        <v>55</v>
      </c>
      <c r="N155" s="2" t="s">
        <v>56</v>
      </c>
      <c r="O155" s="2" t="s">
        <v>57</v>
      </c>
      <c r="P155" s="2" t="s">
        <v>106</v>
      </c>
      <c r="Q155" s="2" t="s">
        <v>107</v>
      </c>
      <c r="R155" s="2" t="s">
        <v>1412</v>
      </c>
      <c r="S155" s="2" t="s">
        <v>1413</v>
      </c>
      <c r="V155" s="2" t="s">
        <v>1414</v>
      </c>
      <c r="W155" s="2" t="s">
        <v>1415</v>
      </c>
      <c r="Y155" s="2" t="s">
        <v>64</v>
      </c>
      <c r="Z155" s="2" t="s">
        <v>65</v>
      </c>
      <c r="AA155" s="2" t="s">
        <v>66</v>
      </c>
      <c r="AC155" s="2" t="s">
        <v>67</v>
      </c>
      <c r="AD155" s="2" t="s">
        <v>68</v>
      </c>
      <c r="AE155" s="2" t="s">
        <v>69</v>
      </c>
      <c r="AF155" s="2" t="s">
        <v>70</v>
      </c>
      <c r="AG155" s="2" t="s">
        <v>106</v>
      </c>
      <c r="AK155" s="2" t="s">
        <v>1416</v>
      </c>
      <c r="AM155" s="2" t="s">
        <v>72</v>
      </c>
      <c r="AN155" s="2" t="s">
        <v>249</v>
      </c>
      <c r="AP155" s="2" t="s">
        <v>113</v>
      </c>
      <c r="AT155" s="2" t="s">
        <v>114</v>
      </c>
      <c r="AU155" s="2" t="s">
        <v>75</v>
      </c>
      <c r="AV155" s="2" t="s">
        <v>1417</v>
      </c>
      <c r="AW155" s="2" t="s">
        <v>1418</v>
      </c>
      <c r="AZ155" s="2" t="s">
        <v>116</v>
      </c>
    </row>
    <row r="156" spans="1:52" s="3" customFormat="1" x14ac:dyDescent="0.35">
      <c r="A156" s="2" t="s">
        <v>1419</v>
      </c>
      <c r="B156" s="4">
        <v>249370</v>
      </c>
      <c r="C156" s="2" t="s">
        <v>1420</v>
      </c>
      <c r="D156" s="2">
        <f t="shared" si="2"/>
        <v>5</v>
      </c>
      <c r="F156" s="2" t="s">
        <v>1411</v>
      </c>
      <c r="G156" s="2" t="s">
        <v>53</v>
      </c>
      <c r="H156" s="4">
        <v>1</v>
      </c>
      <c r="I156" s="4">
        <v>1</v>
      </c>
      <c r="J156" s="4">
        <v>0</v>
      </c>
      <c r="L156" s="4">
        <v>0</v>
      </c>
      <c r="M156" s="2" t="s">
        <v>55</v>
      </c>
      <c r="N156" s="2" t="s">
        <v>56</v>
      </c>
      <c r="O156" s="2" t="s">
        <v>57</v>
      </c>
      <c r="P156" s="2" t="s">
        <v>106</v>
      </c>
      <c r="Q156" s="2" t="s">
        <v>107</v>
      </c>
      <c r="R156" s="2" t="s">
        <v>1421</v>
      </c>
      <c r="S156" s="2" t="s">
        <v>1422</v>
      </c>
      <c r="V156" s="2" t="s">
        <v>1423</v>
      </c>
      <c r="W156" s="2" t="s">
        <v>1424</v>
      </c>
      <c r="Y156" s="2" t="s">
        <v>64</v>
      </c>
      <c r="Z156" s="2" t="s">
        <v>65</v>
      </c>
      <c r="AA156" s="2" t="s">
        <v>66</v>
      </c>
      <c r="AC156" s="2" t="s">
        <v>67</v>
      </c>
      <c r="AD156" s="2" t="s">
        <v>68</v>
      </c>
      <c r="AE156" s="2" t="s">
        <v>69</v>
      </c>
      <c r="AF156" s="2" t="s">
        <v>70</v>
      </c>
      <c r="AG156" s="2" t="s">
        <v>106</v>
      </c>
      <c r="AK156" s="2" t="s">
        <v>1425</v>
      </c>
      <c r="AM156" s="2" t="s">
        <v>72</v>
      </c>
      <c r="AN156" s="2" t="s">
        <v>249</v>
      </c>
      <c r="AP156" s="2" t="s">
        <v>113</v>
      </c>
      <c r="AT156" s="2" t="s">
        <v>114</v>
      </c>
      <c r="AU156" s="2" t="s">
        <v>75</v>
      </c>
      <c r="AW156" s="2" t="s">
        <v>1426</v>
      </c>
      <c r="AZ156" s="2" t="s">
        <v>116</v>
      </c>
    </row>
    <row r="157" spans="1:52" s="3" customFormat="1" x14ac:dyDescent="0.35">
      <c r="A157" s="2" t="s">
        <v>1427</v>
      </c>
      <c r="B157" s="4">
        <v>249368</v>
      </c>
      <c r="C157" s="2" t="s">
        <v>1428</v>
      </c>
      <c r="D157" s="2">
        <f t="shared" si="2"/>
        <v>5</v>
      </c>
      <c r="F157" s="2" t="s">
        <v>1411</v>
      </c>
      <c r="G157" s="2" t="s">
        <v>53</v>
      </c>
      <c r="H157" s="4">
        <v>1</v>
      </c>
      <c r="I157" s="4">
        <v>1</v>
      </c>
      <c r="J157" s="4">
        <v>0</v>
      </c>
      <c r="L157" s="4">
        <v>0</v>
      </c>
      <c r="M157" s="2" t="s">
        <v>55</v>
      </c>
      <c r="N157" s="2" t="s">
        <v>56</v>
      </c>
      <c r="O157" s="2" t="s">
        <v>57</v>
      </c>
      <c r="P157" s="2" t="s">
        <v>509</v>
      </c>
      <c r="Q157" s="2" t="s">
        <v>510</v>
      </c>
      <c r="R157" s="2" t="s">
        <v>1429</v>
      </c>
      <c r="S157" s="2" t="s">
        <v>1430</v>
      </c>
      <c r="V157" s="2" t="s">
        <v>1431</v>
      </c>
      <c r="W157" s="2" t="s">
        <v>1432</v>
      </c>
      <c r="Y157" s="2" t="s">
        <v>64</v>
      </c>
      <c r="Z157" s="2" t="s">
        <v>65</v>
      </c>
      <c r="AA157" s="2" t="s">
        <v>66</v>
      </c>
      <c r="AC157" s="2" t="s">
        <v>67</v>
      </c>
      <c r="AD157" s="2" t="s">
        <v>68</v>
      </c>
      <c r="AE157" s="2" t="s">
        <v>69</v>
      </c>
      <c r="AF157" s="2" t="s">
        <v>70</v>
      </c>
      <c r="AG157" s="2" t="s">
        <v>509</v>
      </c>
      <c r="AK157" s="2" t="s">
        <v>1433</v>
      </c>
      <c r="AM157" s="2" t="s">
        <v>72</v>
      </c>
      <c r="AN157" s="2" t="s">
        <v>73</v>
      </c>
      <c r="AP157" s="2" t="s">
        <v>74</v>
      </c>
      <c r="AU157" s="2" t="s">
        <v>75</v>
      </c>
      <c r="AV157" s="2" t="s">
        <v>1434</v>
      </c>
      <c r="AW157" s="2" t="s">
        <v>1435</v>
      </c>
      <c r="AZ157" s="2" t="s">
        <v>116</v>
      </c>
    </row>
    <row r="158" spans="1:52" s="3" customFormat="1" x14ac:dyDescent="0.35">
      <c r="A158" s="2" t="s">
        <v>1436</v>
      </c>
      <c r="B158" s="4">
        <v>249367</v>
      </c>
      <c r="C158" s="2" t="s">
        <v>1437</v>
      </c>
      <c r="D158" s="2">
        <f t="shared" si="2"/>
        <v>5</v>
      </c>
      <c r="F158" s="2" t="s">
        <v>1411</v>
      </c>
      <c r="G158" s="2" t="s">
        <v>53</v>
      </c>
      <c r="H158" s="4">
        <v>1</v>
      </c>
      <c r="I158" s="4">
        <v>1</v>
      </c>
      <c r="J158" s="4">
        <v>0</v>
      </c>
      <c r="L158" s="4">
        <v>0</v>
      </c>
      <c r="M158" s="2" t="s">
        <v>55</v>
      </c>
      <c r="N158" s="2" t="s">
        <v>56</v>
      </c>
      <c r="O158" s="2" t="s">
        <v>57</v>
      </c>
      <c r="P158" s="2" t="s">
        <v>106</v>
      </c>
      <c r="Q158" s="2" t="s">
        <v>107</v>
      </c>
      <c r="R158" s="2" t="s">
        <v>1438</v>
      </c>
      <c r="S158" s="2" t="s">
        <v>1439</v>
      </c>
      <c r="V158" s="2" t="s">
        <v>1440</v>
      </c>
      <c r="W158" s="2" t="s">
        <v>1441</v>
      </c>
      <c r="Y158" s="2" t="s">
        <v>64</v>
      </c>
      <c r="Z158" s="2" t="s">
        <v>65</v>
      </c>
      <c r="AA158" s="2" t="s">
        <v>66</v>
      </c>
      <c r="AC158" s="2" t="s">
        <v>67</v>
      </c>
      <c r="AD158" s="2" t="s">
        <v>68</v>
      </c>
      <c r="AE158" s="2" t="s">
        <v>69</v>
      </c>
      <c r="AF158" s="2" t="s">
        <v>70</v>
      </c>
      <c r="AG158" s="2" t="s">
        <v>106</v>
      </c>
      <c r="AK158" s="2" t="s">
        <v>1442</v>
      </c>
      <c r="AM158" s="2" t="s">
        <v>72</v>
      </c>
      <c r="AN158" s="2" t="s">
        <v>1443</v>
      </c>
      <c r="AP158" s="2" t="s">
        <v>113</v>
      </c>
      <c r="AT158" s="2" t="s">
        <v>114</v>
      </c>
      <c r="AW158" s="2" t="s">
        <v>1444</v>
      </c>
      <c r="AZ158" s="2" t="s">
        <v>116</v>
      </c>
    </row>
    <row r="159" spans="1:52" s="3" customFormat="1" x14ac:dyDescent="0.35">
      <c r="A159" s="2" t="s">
        <v>1445</v>
      </c>
      <c r="B159" s="4">
        <v>249366</v>
      </c>
      <c r="C159" s="2" t="s">
        <v>1446</v>
      </c>
      <c r="D159" s="2">
        <f t="shared" si="2"/>
        <v>5</v>
      </c>
      <c r="F159" s="2" t="s">
        <v>1411</v>
      </c>
      <c r="G159" s="2" t="s">
        <v>53</v>
      </c>
      <c r="H159" s="4">
        <v>1</v>
      </c>
      <c r="I159" s="4">
        <v>1</v>
      </c>
      <c r="J159" s="4">
        <v>0</v>
      </c>
      <c r="L159" s="4">
        <v>0</v>
      </c>
      <c r="M159" s="2" t="s">
        <v>55</v>
      </c>
      <c r="N159" s="2" t="s">
        <v>56</v>
      </c>
      <c r="O159" s="2" t="s">
        <v>57</v>
      </c>
      <c r="P159" s="2" t="s">
        <v>509</v>
      </c>
      <c r="Q159" s="2" t="s">
        <v>510</v>
      </c>
      <c r="R159" s="2" t="s">
        <v>1447</v>
      </c>
      <c r="S159" s="2" t="s">
        <v>1448</v>
      </c>
      <c r="V159" s="2" t="s">
        <v>1449</v>
      </c>
      <c r="W159" s="2" t="s">
        <v>1450</v>
      </c>
      <c r="Y159" s="2" t="s">
        <v>64</v>
      </c>
      <c r="Z159" s="2" t="s">
        <v>65</v>
      </c>
      <c r="AA159" s="2" t="s">
        <v>66</v>
      </c>
      <c r="AC159" s="2" t="s">
        <v>67</v>
      </c>
      <c r="AD159" s="2" t="s">
        <v>68</v>
      </c>
      <c r="AE159" s="2" t="s">
        <v>69</v>
      </c>
      <c r="AF159" s="2" t="s">
        <v>70</v>
      </c>
      <c r="AG159" s="2" t="s">
        <v>509</v>
      </c>
      <c r="AK159" s="2" t="s">
        <v>1451</v>
      </c>
      <c r="AM159" s="2" t="s">
        <v>72</v>
      </c>
      <c r="AN159" s="2" t="s">
        <v>473</v>
      </c>
      <c r="AP159" s="2" t="s">
        <v>74</v>
      </c>
      <c r="AU159" s="2" t="s">
        <v>75</v>
      </c>
      <c r="AW159" s="2" t="s">
        <v>1452</v>
      </c>
      <c r="AZ159" s="2" t="s">
        <v>116</v>
      </c>
    </row>
    <row r="160" spans="1:52" s="3" customFormat="1" x14ac:dyDescent="0.35">
      <c r="A160" s="2" t="s">
        <v>1453</v>
      </c>
      <c r="B160" s="4">
        <v>249365</v>
      </c>
      <c r="C160" s="2" t="s">
        <v>1454</v>
      </c>
      <c r="D160" s="2">
        <f t="shared" si="2"/>
        <v>5</v>
      </c>
      <c r="F160" s="2" t="s">
        <v>1411</v>
      </c>
      <c r="G160" s="2" t="s">
        <v>53</v>
      </c>
      <c r="H160" s="4">
        <v>1</v>
      </c>
      <c r="I160" s="4">
        <v>1</v>
      </c>
      <c r="J160" s="4">
        <v>0</v>
      </c>
      <c r="L160" s="4">
        <v>0</v>
      </c>
      <c r="M160" s="2" t="s">
        <v>55</v>
      </c>
      <c r="N160" s="2" t="s">
        <v>56</v>
      </c>
      <c r="O160" s="2" t="s">
        <v>57</v>
      </c>
      <c r="P160" s="2" t="s">
        <v>509</v>
      </c>
      <c r="Q160" s="2" t="s">
        <v>510</v>
      </c>
      <c r="R160" s="2" t="s">
        <v>1455</v>
      </c>
      <c r="S160" s="2" t="s">
        <v>1456</v>
      </c>
      <c r="V160" s="2" t="s">
        <v>1457</v>
      </c>
      <c r="W160" s="2" t="s">
        <v>1458</v>
      </c>
      <c r="Y160" s="2" t="s">
        <v>64</v>
      </c>
      <c r="Z160" s="2" t="s">
        <v>65</v>
      </c>
      <c r="AA160" s="2" t="s">
        <v>66</v>
      </c>
      <c r="AC160" s="2" t="s">
        <v>67</v>
      </c>
      <c r="AD160" s="2" t="s">
        <v>68</v>
      </c>
      <c r="AE160" s="2" t="s">
        <v>69</v>
      </c>
      <c r="AF160" s="2" t="s">
        <v>70</v>
      </c>
      <c r="AG160" s="2" t="s">
        <v>509</v>
      </c>
      <c r="AK160" s="2" t="s">
        <v>1459</v>
      </c>
      <c r="AM160" s="2" t="s">
        <v>72</v>
      </c>
      <c r="AN160" s="2" t="s">
        <v>1383</v>
      </c>
      <c r="AP160" s="2" t="s">
        <v>74</v>
      </c>
      <c r="AU160" s="2" t="s">
        <v>75</v>
      </c>
      <c r="AW160" s="2" t="s">
        <v>1460</v>
      </c>
      <c r="AZ160" s="2" t="s">
        <v>116</v>
      </c>
    </row>
    <row r="161" spans="1:52" s="3" customFormat="1" x14ac:dyDescent="0.35">
      <c r="A161" s="2" t="s">
        <v>1461</v>
      </c>
      <c r="B161" s="4">
        <v>249363</v>
      </c>
      <c r="C161" s="2" t="s">
        <v>1462</v>
      </c>
      <c r="D161" s="2">
        <f t="shared" si="2"/>
        <v>5</v>
      </c>
      <c r="F161" s="2" t="s">
        <v>1411</v>
      </c>
      <c r="G161" s="2" t="s">
        <v>53</v>
      </c>
      <c r="H161" s="4">
        <v>1</v>
      </c>
      <c r="I161" s="4">
        <v>1</v>
      </c>
      <c r="J161" s="4">
        <v>0</v>
      </c>
      <c r="L161" s="4">
        <v>0</v>
      </c>
      <c r="M161" s="2" t="s">
        <v>55</v>
      </c>
      <c r="N161" s="2" t="s">
        <v>56</v>
      </c>
      <c r="O161" s="2" t="s">
        <v>57</v>
      </c>
      <c r="P161" s="2" t="s">
        <v>106</v>
      </c>
      <c r="Q161" s="2" t="s">
        <v>107</v>
      </c>
      <c r="R161" s="2" t="s">
        <v>1463</v>
      </c>
      <c r="S161" s="2" t="s">
        <v>1464</v>
      </c>
      <c r="V161" s="2" t="s">
        <v>1465</v>
      </c>
      <c r="W161" s="2" t="s">
        <v>1466</v>
      </c>
      <c r="Y161" s="2" t="s">
        <v>64</v>
      </c>
      <c r="Z161" s="2" t="s">
        <v>65</v>
      </c>
      <c r="AA161" s="2" t="s">
        <v>66</v>
      </c>
      <c r="AC161" s="2" t="s">
        <v>67</v>
      </c>
      <c r="AD161" s="2" t="s">
        <v>68</v>
      </c>
      <c r="AE161" s="2" t="s">
        <v>69</v>
      </c>
      <c r="AF161" s="2" t="s">
        <v>70</v>
      </c>
      <c r="AG161" s="2" t="s">
        <v>106</v>
      </c>
      <c r="AK161" s="2" t="s">
        <v>1467</v>
      </c>
      <c r="AM161" s="2" t="s">
        <v>72</v>
      </c>
      <c r="AN161" s="2" t="s">
        <v>249</v>
      </c>
      <c r="AP161" s="2" t="s">
        <v>113</v>
      </c>
      <c r="AT161" s="2" t="s">
        <v>114</v>
      </c>
      <c r="AU161" s="2" t="s">
        <v>75</v>
      </c>
      <c r="AV161" s="2" t="s">
        <v>1468</v>
      </c>
      <c r="AW161" s="2" t="s">
        <v>1469</v>
      </c>
      <c r="AZ161" s="2" t="s">
        <v>116</v>
      </c>
    </row>
    <row r="162" spans="1:52" s="3" customFormat="1" x14ac:dyDescent="0.35">
      <c r="A162" s="2" t="s">
        <v>1470</v>
      </c>
      <c r="B162" s="4">
        <v>249362</v>
      </c>
      <c r="C162" s="2" t="s">
        <v>1471</v>
      </c>
      <c r="D162" s="2">
        <f t="shared" si="2"/>
        <v>5</v>
      </c>
      <c r="F162" s="2" t="s">
        <v>1411</v>
      </c>
      <c r="G162" s="2" t="s">
        <v>53</v>
      </c>
      <c r="H162" s="4">
        <v>1</v>
      </c>
      <c r="I162" s="4">
        <v>1</v>
      </c>
      <c r="J162" s="4">
        <v>0</v>
      </c>
      <c r="L162" s="4">
        <v>0</v>
      </c>
      <c r="M162" s="2" t="s">
        <v>55</v>
      </c>
      <c r="N162" s="2" t="s">
        <v>56</v>
      </c>
      <c r="O162" s="2" t="s">
        <v>57</v>
      </c>
      <c r="P162" s="2" t="s">
        <v>106</v>
      </c>
      <c r="Q162" s="2" t="s">
        <v>107</v>
      </c>
      <c r="R162" s="2" t="s">
        <v>1472</v>
      </c>
      <c r="S162" s="2" t="s">
        <v>1473</v>
      </c>
      <c r="V162" s="2" t="s">
        <v>1474</v>
      </c>
      <c r="W162" s="2" t="s">
        <v>1475</v>
      </c>
      <c r="Y162" s="2" t="s">
        <v>64</v>
      </c>
      <c r="Z162" s="2" t="s">
        <v>205</v>
      </c>
      <c r="AA162" s="2" t="s">
        <v>66</v>
      </c>
      <c r="AC162" s="2" t="s">
        <v>67</v>
      </c>
      <c r="AD162" s="2" t="s">
        <v>68</v>
      </c>
      <c r="AE162" s="2" t="s">
        <v>69</v>
      </c>
      <c r="AF162" s="2" t="s">
        <v>70</v>
      </c>
      <c r="AG162" s="2" t="s">
        <v>106</v>
      </c>
      <c r="AK162" s="2" t="s">
        <v>1476</v>
      </c>
      <c r="AM162" s="2" t="s">
        <v>72</v>
      </c>
      <c r="AN162" s="2" t="s">
        <v>249</v>
      </c>
      <c r="AP162" s="2" t="s">
        <v>113</v>
      </c>
      <c r="AT162" s="2" t="s">
        <v>114</v>
      </c>
      <c r="AU162" s="2" t="s">
        <v>75</v>
      </c>
      <c r="AW162" s="2" t="s">
        <v>1477</v>
      </c>
      <c r="AZ162" s="2" t="s">
        <v>116</v>
      </c>
    </row>
    <row r="163" spans="1:52" s="3" customFormat="1" x14ac:dyDescent="0.35">
      <c r="A163" s="2" t="s">
        <v>1478</v>
      </c>
      <c r="B163" s="4">
        <v>249361</v>
      </c>
      <c r="C163" s="2" t="s">
        <v>1479</v>
      </c>
      <c r="D163" s="2">
        <f t="shared" si="2"/>
        <v>5</v>
      </c>
      <c r="F163" s="2" t="s">
        <v>1411</v>
      </c>
      <c r="G163" s="2" t="s">
        <v>53</v>
      </c>
      <c r="H163" s="4">
        <v>1</v>
      </c>
      <c r="I163" s="4">
        <v>1</v>
      </c>
      <c r="J163" s="4">
        <v>0</v>
      </c>
      <c r="L163" s="4">
        <v>0</v>
      </c>
      <c r="M163" s="2" t="s">
        <v>55</v>
      </c>
      <c r="N163" s="2" t="s">
        <v>56</v>
      </c>
      <c r="O163" s="2" t="s">
        <v>57</v>
      </c>
      <c r="P163" s="2" t="s">
        <v>509</v>
      </c>
      <c r="Q163" s="2" t="s">
        <v>510</v>
      </c>
      <c r="R163" s="2" t="s">
        <v>1480</v>
      </c>
      <c r="S163" s="2" t="s">
        <v>1481</v>
      </c>
      <c r="V163" s="2" t="s">
        <v>1482</v>
      </c>
      <c r="W163" s="2" t="s">
        <v>1483</v>
      </c>
      <c r="Y163" s="2" t="s">
        <v>64</v>
      </c>
      <c r="Z163" s="2" t="s">
        <v>65</v>
      </c>
      <c r="AA163" s="2" t="s">
        <v>66</v>
      </c>
      <c r="AC163" s="2" t="s">
        <v>67</v>
      </c>
      <c r="AD163" s="2" t="s">
        <v>68</v>
      </c>
      <c r="AE163" s="2" t="s">
        <v>69</v>
      </c>
      <c r="AF163" s="2" t="s">
        <v>70</v>
      </c>
      <c r="AG163" s="2" t="s">
        <v>509</v>
      </c>
      <c r="AK163" s="2" t="s">
        <v>1484</v>
      </c>
      <c r="AM163" s="2" t="s">
        <v>72</v>
      </c>
      <c r="AN163" s="2" t="s">
        <v>73</v>
      </c>
      <c r="AP163" s="2" t="s">
        <v>74</v>
      </c>
      <c r="AU163" s="2" t="s">
        <v>75</v>
      </c>
      <c r="AV163" s="2" t="s">
        <v>1485</v>
      </c>
      <c r="AW163" s="2" t="s">
        <v>1486</v>
      </c>
      <c r="AZ163" s="2" t="s">
        <v>116</v>
      </c>
    </row>
    <row r="164" spans="1:52" s="3" customFormat="1" x14ac:dyDescent="0.35">
      <c r="A164" s="2" t="s">
        <v>1487</v>
      </c>
      <c r="B164" s="4">
        <v>249360</v>
      </c>
      <c r="C164" s="2" t="s">
        <v>1488</v>
      </c>
      <c r="D164" s="2">
        <f t="shared" si="2"/>
        <v>5</v>
      </c>
      <c r="F164" s="2" t="s">
        <v>1411</v>
      </c>
      <c r="G164" s="2" t="s">
        <v>53</v>
      </c>
      <c r="H164" s="4">
        <v>1</v>
      </c>
      <c r="I164" s="4">
        <v>1</v>
      </c>
      <c r="J164" s="4">
        <v>0</v>
      </c>
      <c r="L164" s="4">
        <v>0</v>
      </c>
      <c r="M164" s="2" t="s">
        <v>55</v>
      </c>
      <c r="N164" s="2" t="s">
        <v>56</v>
      </c>
      <c r="O164" s="2" t="s">
        <v>57</v>
      </c>
      <c r="P164" s="2" t="s">
        <v>509</v>
      </c>
      <c r="Q164" s="2" t="s">
        <v>510</v>
      </c>
      <c r="R164" s="2" t="s">
        <v>1489</v>
      </c>
      <c r="S164" s="2" t="s">
        <v>1490</v>
      </c>
      <c r="V164" s="2" t="s">
        <v>1491</v>
      </c>
      <c r="W164" s="2" t="s">
        <v>1492</v>
      </c>
      <c r="Y164" s="2" t="s">
        <v>64</v>
      </c>
      <c r="Z164" s="2" t="s">
        <v>65</v>
      </c>
      <c r="AA164" s="2" t="s">
        <v>66</v>
      </c>
      <c r="AC164" s="2" t="s">
        <v>67</v>
      </c>
      <c r="AD164" s="2" t="s">
        <v>68</v>
      </c>
      <c r="AE164" s="2" t="s">
        <v>69</v>
      </c>
      <c r="AF164" s="2" t="s">
        <v>70</v>
      </c>
      <c r="AG164" s="2" t="s">
        <v>509</v>
      </c>
      <c r="AK164" s="2" t="s">
        <v>1493</v>
      </c>
      <c r="AM164" s="2" t="s">
        <v>72</v>
      </c>
      <c r="AN164" s="2" t="s">
        <v>100</v>
      </c>
      <c r="AP164" s="2" t="s">
        <v>74</v>
      </c>
      <c r="AU164" s="2" t="s">
        <v>75</v>
      </c>
      <c r="AW164" s="2" t="s">
        <v>1494</v>
      </c>
      <c r="AZ164" s="2" t="s">
        <v>116</v>
      </c>
    </row>
    <row r="165" spans="1:52" s="3" customFormat="1" x14ac:dyDescent="0.35">
      <c r="A165" s="2" t="s">
        <v>1495</v>
      </c>
      <c r="B165" s="4">
        <v>249359</v>
      </c>
      <c r="C165" s="2" t="s">
        <v>1496</v>
      </c>
      <c r="D165" s="2">
        <f t="shared" si="2"/>
        <v>5</v>
      </c>
      <c r="F165" s="2" t="s">
        <v>1411</v>
      </c>
      <c r="G165" s="2" t="s">
        <v>53</v>
      </c>
      <c r="H165" s="4">
        <v>1</v>
      </c>
      <c r="I165" s="4">
        <v>1</v>
      </c>
      <c r="J165" s="4">
        <v>0</v>
      </c>
      <c r="L165" s="4">
        <v>0</v>
      </c>
      <c r="M165" s="2" t="s">
        <v>55</v>
      </c>
      <c r="N165" s="2" t="s">
        <v>56</v>
      </c>
      <c r="O165" s="2" t="s">
        <v>57</v>
      </c>
      <c r="P165" s="2" t="s">
        <v>509</v>
      </c>
      <c r="Q165" s="2" t="s">
        <v>510</v>
      </c>
      <c r="R165" s="2" t="s">
        <v>1497</v>
      </c>
      <c r="S165" s="2" t="s">
        <v>1498</v>
      </c>
      <c r="V165" s="2" t="s">
        <v>1499</v>
      </c>
      <c r="W165" s="2" t="s">
        <v>1500</v>
      </c>
      <c r="Y165" s="2" t="s">
        <v>64</v>
      </c>
      <c r="Z165" s="2" t="s">
        <v>65</v>
      </c>
      <c r="AA165" s="2" t="s">
        <v>66</v>
      </c>
      <c r="AC165" s="2" t="s">
        <v>67</v>
      </c>
      <c r="AD165" s="2" t="s">
        <v>68</v>
      </c>
      <c r="AE165" s="2" t="s">
        <v>69</v>
      </c>
      <c r="AF165" s="2" t="s">
        <v>70</v>
      </c>
      <c r="AG165" s="2" t="s">
        <v>509</v>
      </c>
      <c r="AK165" s="2" t="s">
        <v>1501</v>
      </c>
      <c r="AM165" s="2" t="s">
        <v>72</v>
      </c>
      <c r="AN165" s="2" t="s">
        <v>1383</v>
      </c>
      <c r="AP165" s="2" t="s">
        <v>74</v>
      </c>
      <c r="AU165" s="2" t="s">
        <v>75</v>
      </c>
      <c r="AW165" s="2" t="s">
        <v>1502</v>
      </c>
      <c r="AZ165" s="2" t="s">
        <v>116</v>
      </c>
    </row>
    <row r="166" spans="1:52" s="3" customFormat="1" x14ac:dyDescent="0.35">
      <c r="A166" s="2" t="s">
        <v>1503</v>
      </c>
      <c r="B166" s="4">
        <v>249356</v>
      </c>
      <c r="C166" s="2" t="s">
        <v>1504</v>
      </c>
      <c r="D166" s="2">
        <f t="shared" si="2"/>
        <v>5</v>
      </c>
      <c r="F166" s="2" t="s">
        <v>1411</v>
      </c>
      <c r="G166" s="2" t="s">
        <v>53</v>
      </c>
      <c r="H166" s="4">
        <v>1</v>
      </c>
      <c r="I166" s="4">
        <v>1</v>
      </c>
      <c r="J166" s="4">
        <v>0</v>
      </c>
      <c r="L166" s="4">
        <v>0</v>
      </c>
      <c r="M166" s="2" t="s">
        <v>55</v>
      </c>
      <c r="N166" s="2" t="s">
        <v>56</v>
      </c>
      <c r="O166" s="2" t="s">
        <v>57</v>
      </c>
      <c r="P166" s="2" t="s">
        <v>106</v>
      </c>
      <c r="Q166" s="2" t="s">
        <v>107</v>
      </c>
      <c r="R166" s="2" t="s">
        <v>1505</v>
      </c>
      <c r="S166" s="2" t="s">
        <v>1506</v>
      </c>
      <c r="V166" s="2" t="s">
        <v>1507</v>
      </c>
      <c r="W166" s="2" t="s">
        <v>1508</v>
      </c>
      <c r="Y166" s="2" t="s">
        <v>64</v>
      </c>
      <c r="Z166" s="2" t="s">
        <v>65</v>
      </c>
      <c r="AA166" s="2" t="s">
        <v>66</v>
      </c>
      <c r="AC166" s="2" t="s">
        <v>67</v>
      </c>
      <c r="AD166" s="2" t="s">
        <v>68</v>
      </c>
      <c r="AE166" s="2" t="s">
        <v>69</v>
      </c>
      <c r="AF166" s="2" t="s">
        <v>70</v>
      </c>
      <c r="AG166" s="2" t="s">
        <v>106</v>
      </c>
      <c r="AK166" s="2" t="s">
        <v>1509</v>
      </c>
      <c r="AM166" s="2" t="s">
        <v>72</v>
      </c>
      <c r="AN166" s="2" t="s">
        <v>100</v>
      </c>
      <c r="AP166" s="2" t="s">
        <v>113</v>
      </c>
      <c r="AT166" s="2" t="s">
        <v>114</v>
      </c>
      <c r="AU166" s="2" t="s">
        <v>75</v>
      </c>
      <c r="AV166" s="2" t="s">
        <v>1510</v>
      </c>
      <c r="AW166" s="2" t="s">
        <v>1511</v>
      </c>
      <c r="AZ166" s="2" t="s">
        <v>116</v>
      </c>
    </row>
    <row r="167" spans="1:52" s="3" customFormat="1" x14ac:dyDescent="0.35">
      <c r="A167" s="2" t="s">
        <v>1512</v>
      </c>
      <c r="B167" s="4">
        <v>249355</v>
      </c>
      <c r="C167" s="2" t="s">
        <v>1513</v>
      </c>
      <c r="D167" s="2">
        <f t="shared" si="2"/>
        <v>5</v>
      </c>
      <c r="F167" s="2" t="s">
        <v>1411</v>
      </c>
      <c r="G167" s="2" t="s">
        <v>53</v>
      </c>
      <c r="H167" s="4">
        <v>1</v>
      </c>
      <c r="I167" s="4">
        <v>1</v>
      </c>
      <c r="J167" s="4">
        <v>0</v>
      </c>
      <c r="L167" s="4">
        <v>0</v>
      </c>
      <c r="M167" s="2" t="s">
        <v>55</v>
      </c>
      <c r="N167" s="2" t="s">
        <v>56</v>
      </c>
      <c r="O167" s="2" t="s">
        <v>57</v>
      </c>
      <c r="P167" s="2" t="s">
        <v>106</v>
      </c>
      <c r="Q167" s="2" t="s">
        <v>107</v>
      </c>
      <c r="R167" s="2" t="s">
        <v>1514</v>
      </c>
      <c r="S167" s="2" t="s">
        <v>1515</v>
      </c>
      <c r="V167" s="2" t="s">
        <v>1516</v>
      </c>
      <c r="W167" s="2" t="s">
        <v>1517</v>
      </c>
      <c r="Y167" s="2" t="s">
        <v>64</v>
      </c>
      <c r="Z167" s="2" t="s">
        <v>65</v>
      </c>
      <c r="AA167" s="2" t="s">
        <v>66</v>
      </c>
      <c r="AC167" s="2" t="s">
        <v>67</v>
      </c>
      <c r="AD167" s="2" t="s">
        <v>68</v>
      </c>
      <c r="AE167" s="2" t="s">
        <v>69</v>
      </c>
      <c r="AF167" s="2" t="s">
        <v>70</v>
      </c>
      <c r="AG167" s="2" t="s">
        <v>106</v>
      </c>
      <c r="AK167" s="2" t="s">
        <v>1518</v>
      </c>
      <c r="AM167" s="2" t="s">
        <v>72</v>
      </c>
      <c r="AN167" s="2" t="s">
        <v>403</v>
      </c>
      <c r="AP167" s="2" t="s">
        <v>113</v>
      </c>
      <c r="AT167" s="2" t="s">
        <v>114</v>
      </c>
      <c r="AU167" s="2" t="s">
        <v>75</v>
      </c>
      <c r="AW167" s="2" t="s">
        <v>1519</v>
      </c>
      <c r="AZ167" s="2" t="s">
        <v>116</v>
      </c>
    </row>
    <row r="168" spans="1:52" s="3" customFormat="1" x14ac:dyDescent="0.35">
      <c r="A168" s="2" t="s">
        <v>1520</v>
      </c>
      <c r="B168" s="4">
        <v>249354</v>
      </c>
      <c r="C168" s="2" t="s">
        <v>1521</v>
      </c>
      <c r="D168" s="2">
        <f t="shared" si="2"/>
        <v>5</v>
      </c>
      <c r="F168" s="2" t="s">
        <v>1411</v>
      </c>
      <c r="G168" s="2" t="s">
        <v>53</v>
      </c>
      <c r="H168" s="4">
        <v>1</v>
      </c>
      <c r="I168" s="4">
        <v>1</v>
      </c>
      <c r="J168" s="4">
        <v>0</v>
      </c>
      <c r="L168" s="4">
        <v>0</v>
      </c>
      <c r="M168" s="2" t="s">
        <v>55</v>
      </c>
      <c r="N168" s="2" t="s">
        <v>56</v>
      </c>
      <c r="O168" s="2" t="s">
        <v>57</v>
      </c>
      <c r="P168" s="2" t="s">
        <v>106</v>
      </c>
      <c r="Q168" s="2" t="s">
        <v>107</v>
      </c>
      <c r="R168" s="2" t="s">
        <v>1522</v>
      </c>
      <c r="S168" s="2" t="s">
        <v>1523</v>
      </c>
      <c r="V168" s="2" t="s">
        <v>1524</v>
      </c>
      <c r="W168" s="2" t="s">
        <v>1525</v>
      </c>
      <c r="Y168" s="2" t="s">
        <v>64</v>
      </c>
      <c r="Z168" s="2" t="s">
        <v>65</v>
      </c>
      <c r="AA168" s="2" t="s">
        <v>66</v>
      </c>
      <c r="AC168" s="2" t="s">
        <v>67</v>
      </c>
      <c r="AD168" s="2" t="s">
        <v>68</v>
      </c>
      <c r="AE168" s="2" t="s">
        <v>69</v>
      </c>
      <c r="AF168" s="2" t="s">
        <v>70</v>
      </c>
      <c r="AG168" s="2" t="s">
        <v>106</v>
      </c>
      <c r="AK168" s="2" t="s">
        <v>1526</v>
      </c>
      <c r="AM168" s="2" t="s">
        <v>72</v>
      </c>
      <c r="AN168" s="2" t="s">
        <v>232</v>
      </c>
      <c r="AP168" s="2" t="s">
        <v>113</v>
      </c>
      <c r="AT168" s="2" t="s">
        <v>114</v>
      </c>
      <c r="AU168" s="2" t="s">
        <v>75</v>
      </c>
      <c r="AV168" s="2" t="s">
        <v>1527</v>
      </c>
      <c r="AW168" s="2" t="s">
        <v>1528</v>
      </c>
      <c r="AZ168" s="2" t="s">
        <v>116</v>
      </c>
    </row>
    <row r="169" spans="1:52" s="3" customFormat="1" x14ac:dyDescent="0.35">
      <c r="A169" s="2" t="s">
        <v>1529</v>
      </c>
      <c r="B169" s="4">
        <v>249353</v>
      </c>
      <c r="C169" s="2" t="s">
        <v>1530</v>
      </c>
      <c r="D169" s="2">
        <f t="shared" si="2"/>
        <v>5</v>
      </c>
      <c r="F169" s="2" t="s">
        <v>1411</v>
      </c>
      <c r="G169" s="2" t="s">
        <v>53</v>
      </c>
      <c r="H169" s="4">
        <v>1</v>
      </c>
      <c r="I169" s="4">
        <v>1</v>
      </c>
      <c r="J169" s="4">
        <v>0</v>
      </c>
      <c r="L169" s="4">
        <v>0</v>
      </c>
      <c r="M169" s="2" t="s">
        <v>55</v>
      </c>
      <c r="N169" s="2" t="s">
        <v>56</v>
      </c>
      <c r="O169" s="2" t="s">
        <v>57</v>
      </c>
      <c r="P169" s="2" t="s">
        <v>106</v>
      </c>
      <c r="Q169" s="2" t="s">
        <v>107</v>
      </c>
      <c r="R169" s="2" t="s">
        <v>1531</v>
      </c>
      <c r="S169" s="2" t="s">
        <v>1532</v>
      </c>
      <c r="V169" s="2" t="s">
        <v>1533</v>
      </c>
      <c r="W169" s="2" t="s">
        <v>1166</v>
      </c>
      <c r="Y169" s="2" t="s">
        <v>64</v>
      </c>
      <c r="Z169" s="2" t="s">
        <v>65</v>
      </c>
      <c r="AA169" s="2" t="s">
        <v>66</v>
      </c>
      <c r="AC169" s="2" t="s">
        <v>67</v>
      </c>
      <c r="AD169" s="2" t="s">
        <v>68</v>
      </c>
      <c r="AE169" s="2" t="s">
        <v>69</v>
      </c>
      <c r="AF169" s="2" t="s">
        <v>70</v>
      </c>
      <c r="AG169" s="2" t="s">
        <v>106</v>
      </c>
      <c r="AK169" s="2" t="s">
        <v>1534</v>
      </c>
      <c r="AM169" s="2" t="s">
        <v>72</v>
      </c>
      <c r="AN169" s="2" t="s">
        <v>100</v>
      </c>
      <c r="AP169" s="2" t="s">
        <v>113</v>
      </c>
      <c r="AT169" s="2" t="s">
        <v>114</v>
      </c>
      <c r="AU169" s="2" t="s">
        <v>75</v>
      </c>
      <c r="AW169" s="2" t="s">
        <v>1535</v>
      </c>
      <c r="AZ169" s="2" t="s">
        <v>116</v>
      </c>
    </row>
    <row r="170" spans="1:52" s="3" customFormat="1" x14ac:dyDescent="0.35">
      <c r="A170" s="2" t="s">
        <v>1536</v>
      </c>
      <c r="B170" s="4">
        <v>249352</v>
      </c>
      <c r="C170" s="2" t="s">
        <v>1537</v>
      </c>
      <c r="D170" s="2">
        <f t="shared" si="2"/>
        <v>5</v>
      </c>
      <c r="F170" s="2" t="s">
        <v>1411</v>
      </c>
      <c r="G170" s="2" t="s">
        <v>53</v>
      </c>
      <c r="H170" s="4">
        <v>1</v>
      </c>
      <c r="I170" s="4">
        <v>1</v>
      </c>
      <c r="J170" s="4">
        <v>0</v>
      </c>
      <c r="L170" s="4">
        <v>0</v>
      </c>
      <c r="M170" s="2" t="s">
        <v>55</v>
      </c>
      <c r="N170" s="2" t="s">
        <v>56</v>
      </c>
      <c r="O170" s="2" t="s">
        <v>57</v>
      </c>
      <c r="P170" s="2" t="s">
        <v>509</v>
      </c>
      <c r="Q170" s="2" t="s">
        <v>510</v>
      </c>
      <c r="R170" s="2" t="s">
        <v>1538</v>
      </c>
      <c r="S170" s="2" t="s">
        <v>1539</v>
      </c>
      <c r="V170" s="2" t="s">
        <v>1540</v>
      </c>
      <c r="W170" s="2" t="s">
        <v>1541</v>
      </c>
      <c r="Y170" s="2" t="s">
        <v>64</v>
      </c>
      <c r="Z170" s="2" t="s">
        <v>65</v>
      </c>
      <c r="AA170" s="2" t="s">
        <v>66</v>
      </c>
      <c r="AC170" s="2" t="s">
        <v>67</v>
      </c>
      <c r="AD170" s="2" t="s">
        <v>68</v>
      </c>
      <c r="AE170" s="2" t="s">
        <v>69</v>
      </c>
      <c r="AF170" s="2" t="s">
        <v>70</v>
      </c>
      <c r="AG170" s="2" t="s">
        <v>509</v>
      </c>
      <c r="AK170" s="2" t="s">
        <v>1542</v>
      </c>
      <c r="AM170" s="2" t="s">
        <v>72</v>
      </c>
      <c r="AN170" s="2" t="s">
        <v>100</v>
      </c>
      <c r="AP170" s="2" t="s">
        <v>74</v>
      </c>
      <c r="AU170" s="2" t="s">
        <v>75</v>
      </c>
      <c r="AW170" s="2" t="s">
        <v>1543</v>
      </c>
      <c r="AZ170" s="2" t="s">
        <v>116</v>
      </c>
    </row>
    <row r="171" spans="1:52" s="3" customFormat="1" x14ac:dyDescent="0.35">
      <c r="A171" s="2" t="s">
        <v>1544</v>
      </c>
      <c r="B171" s="4">
        <v>249351</v>
      </c>
      <c r="C171" s="2" t="s">
        <v>1545</v>
      </c>
      <c r="D171" s="2">
        <f t="shared" si="2"/>
        <v>5</v>
      </c>
      <c r="F171" s="2" t="s">
        <v>1411</v>
      </c>
      <c r="G171" s="2" t="s">
        <v>53</v>
      </c>
      <c r="H171" s="4">
        <v>1</v>
      </c>
      <c r="I171" s="4">
        <v>1</v>
      </c>
      <c r="J171" s="4">
        <v>0</v>
      </c>
      <c r="L171" s="4">
        <v>0</v>
      </c>
      <c r="M171" s="2" t="s">
        <v>55</v>
      </c>
      <c r="N171" s="2" t="s">
        <v>56</v>
      </c>
      <c r="O171" s="2" t="s">
        <v>57</v>
      </c>
      <c r="P171" s="2" t="s">
        <v>106</v>
      </c>
      <c r="Q171" s="2" t="s">
        <v>107</v>
      </c>
      <c r="R171" s="2" t="s">
        <v>1546</v>
      </c>
      <c r="S171" s="2" t="s">
        <v>1547</v>
      </c>
      <c r="V171" s="2" t="s">
        <v>1548</v>
      </c>
      <c r="W171" s="2" t="s">
        <v>1549</v>
      </c>
      <c r="Y171" s="2" t="s">
        <v>64</v>
      </c>
      <c r="Z171" s="2" t="s">
        <v>65</v>
      </c>
      <c r="AA171" s="2" t="s">
        <v>66</v>
      </c>
      <c r="AC171" s="2" t="s">
        <v>67</v>
      </c>
      <c r="AD171" s="2" t="s">
        <v>68</v>
      </c>
      <c r="AE171" s="2" t="s">
        <v>69</v>
      </c>
      <c r="AF171" s="2" t="s">
        <v>70</v>
      </c>
      <c r="AG171" s="2" t="s">
        <v>106</v>
      </c>
      <c r="AK171" s="2" t="s">
        <v>1550</v>
      </c>
      <c r="AM171" s="2" t="s">
        <v>72</v>
      </c>
      <c r="AN171" s="2" t="s">
        <v>100</v>
      </c>
      <c r="AP171" s="2" t="s">
        <v>113</v>
      </c>
      <c r="AT171" s="2" t="s">
        <v>114</v>
      </c>
      <c r="AU171" s="2" t="s">
        <v>75</v>
      </c>
      <c r="AW171" s="2" t="s">
        <v>1551</v>
      </c>
      <c r="AZ171" s="2" t="s">
        <v>116</v>
      </c>
    </row>
    <row r="172" spans="1:52" s="3" customFormat="1" x14ac:dyDescent="0.35">
      <c r="A172" s="2" t="s">
        <v>1552</v>
      </c>
      <c r="B172" s="4">
        <v>249350</v>
      </c>
      <c r="C172" s="2" t="s">
        <v>1553</v>
      </c>
      <c r="D172" s="2">
        <f t="shared" si="2"/>
        <v>5</v>
      </c>
      <c r="F172" s="2" t="s">
        <v>1411</v>
      </c>
      <c r="G172" s="2" t="s">
        <v>53</v>
      </c>
      <c r="H172" s="4">
        <v>1</v>
      </c>
      <c r="I172" s="4">
        <v>1</v>
      </c>
      <c r="J172" s="4">
        <v>0</v>
      </c>
      <c r="L172" s="4">
        <v>0</v>
      </c>
      <c r="M172" s="2" t="s">
        <v>55</v>
      </c>
      <c r="N172" s="2" t="s">
        <v>56</v>
      </c>
      <c r="O172" s="2" t="s">
        <v>57</v>
      </c>
      <c r="P172" s="2" t="s">
        <v>509</v>
      </c>
      <c r="Q172" s="2" t="s">
        <v>510</v>
      </c>
      <c r="R172" s="2" t="s">
        <v>1554</v>
      </c>
      <c r="S172" s="2" t="s">
        <v>1555</v>
      </c>
      <c r="V172" s="2" t="s">
        <v>1556</v>
      </c>
      <c r="W172" s="2" t="s">
        <v>1557</v>
      </c>
      <c r="Y172" s="2" t="s">
        <v>64</v>
      </c>
      <c r="Z172" s="2" t="s">
        <v>65</v>
      </c>
      <c r="AA172" s="2" t="s">
        <v>66</v>
      </c>
      <c r="AC172" s="2" t="s">
        <v>67</v>
      </c>
      <c r="AD172" s="2" t="s">
        <v>68</v>
      </c>
      <c r="AE172" s="2" t="s">
        <v>69</v>
      </c>
      <c r="AF172" s="2" t="s">
        <v>70</v>
      </c>
      <c r="AG172" s="2" t="s">
        <v>509</v>
      </c>
      <c r="AK172" s="2" t="s">
        <v>1558</v>
      </c>
      <c r="AM172" s="2" t="s">
        <v>72</v>
      </c>
      <c r="AN172" s="2" t="s">
        <v>73</v>
      </c>
      <c r="AP172" s="2" t="s">
        <v>74</v>
      </c>
      <c r="AU172" s="2" t="s">
        <v>75</v>
      </c>
      <c r="AW172" s="2" t="s">
        <v>1559</v>
      </c>
      <c r="AZ172" s="2" t="s">
        <v>116</v>
      </c>
    </row>
    <row r="173" spans="1:52" s="3" customFormat="1" x14ac:dyDescent="0.35">
      <c r="A173" s="2" t="s">
        <v>1560</v>
      </c>
      <c r="B173" s="4">
        <v>249349</v>
      </c>
      <c r="C173" s="2" t="s">
        <v>1561</v>
      </c>
      <c r="D173" s="2">
        <f t="shared" si="2"/>
        <v>5</v>
      </c>
      <c r="F173" s="2" t="s">
        <v>1411</v>
      </c>
      <c r="G173" s="2" t="s">
        <v>53</v>
      </c>
      <c r="H173" s="4">
        <v>1</v>
      </c>
      <c r="I173" s="4">
        <v>1</v>
      </c>
      <c r="J173" s="4">
        <v>0</v>
      </c>
      <c r="L173" s="4">
        <v>0</v>
      </c>
      <c r="M173" s="2" t="s">
        <v>55</v>
      </c>
      <c r="N173" s="2" t="s">
        <v>56</v>
      </c>
      <c r="O173" s="2" t="s">
        <v>57</v>
      </c>
      <c r="P173" s="2" t="s">
        <v>509</v>
      </c>
      <c r="Q173" s="2" t="s">
        <v>510</v>
      </c>
      <c r="R173" s="2" t="s">
        <v>1562</v>
      </c>
      <c r="S173" s="2" t="s">
        <v>1563</v>
      </c>
      <c r="V173" s="2" t="s">
        <v>1564</v>
      </c>
      <c r="W173" s="2" t="s">
        <v>1565</v>
      </c>
      <c r="Y173" s="2" t="s">
        <v>64</v>
      </c>
      <c r="Z173" s="2" t="s">
        <v>65</v>
      </c>
      <c r="AA173" s="2" t="s">
        <v>66</v>
      </c>
      <c r="AC173" s="2" t="s">
        <v>67</v>
      </c>
      <c r="AD173" s="2" t="s">
        <v>68</v>
      </c>
      <c r="AE173" s="2" t="s">
        <v>69</v>
      </c>
      <c r="AF173" s="2" t="s">
        <v>70</v>
      </c>
      <c r="AG173" s="2" t="s">
        <v>509</v>
      </c>
      <c r="AK173" s="2" t="s">
        <v>1566</v>
      </c>
      <c r="AM173" s="2" t="s">
        <v>72</v>
      </c>
      <c r="AN173" s="2" t="s">
        <v>73</v>
      </c>
      <c r="AP173" s="2" t="s">
        <v>74</v>
      </c>
      <c r="AU173" s="2" t="s">
        <v>75</v>
      </c>
      <c r="AW173" s="2" t="s">
        <v>1567</v>
      </c>
      <c r="AZ173" s="2" t="s">
        <v>116</v>
      </c>
    </row>
    <row r="174" spans="1:52" s="3" customFormat="1" x14ac:dyDescent="0.35">
      <c r="A174" s="2" t="s">
        <v>1568</v>
      </c>
      <c r="B174" s="4">
        <v>249348</v>
      </c>
      <c r="C174" s="2" t="s">
        <v>1569</v>
      </c>
      <c r="D174" s="2">
        <f t="shared" si="2"/>
        <v>5</v>
      </c>
      <c r="F174" s="2" t="s">
        <v>1411</v>
      </c>
      <c r="G174" s="2" t="s">
        <v>53</v>
      </c>
      <c r="H174" s="4">
        <v>1</v>
      </c>
      <c r="I174" s="4">
        <v>1</v>
      </c>
      <c r="J174" s="4">
        <v>0</v>
      </c>
      <c r="L174" s="4">
        <v>0</v>
      </c>
      <c r="M174" s="2" t="s">
        <v>55</v>
      </c>
      <c r="N174" s="2" t="s">
        <v>56</v>
      </c>
      <c r="O174" s="2" t="s">
        <v>57</v>
      </c>
      <c r="P174" s="2" t="s">
        <v>509</v>
      </c>
      <c r="Q174" s="2" t="s">
        <v>510</v>
      </c>
      <c r="R174" s="2" t="s">
        <v>1570</v>
      </c>
      <c r="S174" s="2" t="s">
        <v>1571</v>
      </c>
      <c r="V174" s="2" t="s">
        <v>1572</v>
      </c>
      <c r="W174" s="2" t="s">
        <v>1573</v>
      </c>
      <c r="Y174" s="2" t="s">
        <v>64</v>
      </c>
      <c r="Z174" s="2" t="s">
        <v>65</v>
      </c>
      <c r="AA174" s="2" t="s">
        <v>66</v>
      </c>
      <c r="AC174" s="2" t="s">
        <v>67</v>
      </c>
      <c r="AD174" s="2" t="s">
        <v>68</v>
      </c>
      <c r="AE174" s="2" t="s">
        <v>69</v>
      </c>
      <c r="AF174" s="2" t="s">
        <v>70</v>
      </c>
      <c r="AG174" s="2" t="s">
        <v>509</v>
      </c>
      <c r="AK174" s="2" t="s">
        <v>1574</v>
      </c>
      <c r="AM174" s="2" t="s">
        <v>72</v>
      </c>
      <c r="AN174" s="2" t="s">
        <v>232</v>
      </c>
      <c r="AP174" s="2" t="s">
        <v>74</v>
      </c>
      <c r="AU174" s="2" t="s">
        <v>75</v>
      </c>
      <c r="AW174" s="2" t="s">
        <v>1575</v>
      </c>
      <c r="AZ174" s="2" t="s">
        <v>116</v>
      </c>
    </row>
    <row r="175" spans="1:52" s="3" customFormat="1" x14ac:dyDescent="0.35">
      <c r="A175" s="2" t="s">
        <v>1576</v>
      </c>
      <c r="B175" s="4">
        <v>249347</v>
      </c>
      <c r="C175" s="2" t="s">
        <v>1577</v>
      </c>
      <c r="D175" s="2">
        <f t="shared" si="2"/>
        <v>5</v>
      </c>
      <c r="G175" s="2" t="s">
        <v>53</v>
      </c>
      <c r="H175" s="4">
        <v>1</v>
      </c>
      <c r="I175" s="4">
        <v>1</v>
      </c>
      <c r="J175" s="4">
        <v>0</v>
      </c>
      <c r="L175" s="4">
        <v>0</v>
      </c>
      <c r="M175" s="2" t="s">
        <v>55</v>
      </c>
      <c r="N175" s="2" t="s">
        <v>56</v>
      </c>
      <c r="O175" s="2" t="s">
        <v>57</v>
      </c>
      <c r="P175" s="2" t="s">
        <v>499</v>
      </c>
      <c r="Q175" s="2" t="s">
        <v>500</v>
      </c>
      <c r="R175" s="2" t="s">
        <v>1578</v>
      </c>
      <c r="S175" s="2" t="s">
        <v>1579</v>
      </c>
      <c r="V175" s="2" t="s">
        <v>1580</v>
      </c>
      <c r="W175" s="2" t="s">
        <v>1581</v>
      </c>
      <c r="Y175" s="2" t="s">
        <v>64</v>
      </c>
      <c r="Z175" s="2" t="s">
        <v>65</v>
      </c>
      <c r="AA175" s="2" t="s">
        <v>66</v>
      </c>
      <c r="AC175" s="2" t="s">
        <v>67</v>
      </c>
      <c r="AD175" s="2" t="s">
        <v>68</v>
      </c>
      <c r="AE175" s="2" t="s">
        <v>69</v>
      </c>
      <c r="AF175" s="2" t="s">
        <v>70</v>
      </c>
      <c r="AG175" s="2" t="s">
        <v>499</v>
      </c>
      <c r="AK175" s="2" t="s">
        <v>1582</v>
      </c>
      <c r="AM175" s="2" t="s">
        <v>72</v>
      </c>
      <c r="AN175" s="2" t="s">
        <v>100</v>
      </c>
      <c r="AP175" s="2" t="s">
        <v>74</v>
      </c>
      <c r="AU175" s="2" t="s">
        <v>75</v>
      </c>
      <c r="AV175" s="2" t="s">
        <v>1583</v>
      </c>
      <c r="AW175" s="2" t="s">
        <v>1584</v>
      </c>
      <c r="AZ175" s="2" t="s">
        <v>116</v>
      </c>
    </row>
    <row r="176" spans="1:52" s="3" customFormat="1" x14ac:dyDescent="0.35">
      <c r="A176" s="2" t="s">
        <v>1585</v>
      </c>
      <c r="B176" s="4">
        <v>249346</v>
      </c>
      <c r="C176" s="2" t="s">
        <v>1586</v>
      </c>
      <c r="D176" s="2">
        <f t="shared" si="2"/>
        <v>5</v>
      </c>
      <c r="G176" s="2" t="s">
        <v>53</v>
      </c>
      <c r="H176" s="4">
        <v>1</v>
      </c>
      <c r="I176" s="4">
        <v>1</v>
      </c>
      <c r="J176" s="4">
        <v>0</v>
      </c>
      <c r="L176" s="4">
        <v>0</v>
      </c>
      <c r="M176" s="2" t="s">
        <v>55</v>
      </c>
      <c r="N176" s="2" t="s">
        <v>56</v>
      </c>
      <c r="O176" s="2" t="s">
        <v>57</v>
      </c>
      <c r="P176" s="2" t="s">
        <v>499</v>
      </c>
      <c r="Q176" s="2" t="s">
        <v>500</v>
      </c>
      <c r="R176" s="2" t="s">
        <v>1587</v>
      </c>
      <c r="S176" s="2" t="s">
        <v>1588</v>
      </c>
      <c r="V176" s="2" t="s">
        <v>1589</v>
      </c>
      <c r="W176" s="2" t="s">
        <v>1590</v>
      </c>
      <c r="Y176" s="2" t="s">
        <v>64</v>
      </c>
      <c r="Z176" s="2" t="s">
        <v>65</v>
      </c>
      <c r="AA176" s="2" t="s">
        <v>66</v>
      </c>
      <c r="AC176" s="2" t="s">
        <v>67</v>
      </c>
      <c r="AD176" s="2" t="s">
        <v>68</v>
      </c>
      <c r="AE176" s="2" t="s">
        <v>69</v>
      </c>
      <c r="AF176" s="2" t="s">
        <v>70</v>
      </c>
      <c r="AG176" s="2" t="s">
        <v>499</v>
      </c>
      <c r="AK176" s="2" t="s">
        <v>1591</v>
      </c>
      <c r="AM176" s="2" t="s">
        <v>72</v>
      </c>
      <c r="AN176" s="2" t="s">
        <v>100</v>
      </c>
      <c r="AP176" s="2" t="s">
        <v>74</v>
      </c>
      <c r="AU176" s="2" t="s">
        <v>75</v>
      </c>
      <c r="AW176" s="2" t="s">
        <v>1592</v>
      </c>
      <c r="AZ176" s="2" t="s">
        <v>116</v>
      </c>
    </row>
    <row r="177" spans="1:52" s="3" customFormat="1" x14ac:dyDescent="0.35">
      <c r="A177" s="2" t="s">
        <v>1593</v>
      </c>
      <c r="B177" s="4">
        <v>249345</v>
      </c>
      <c r="C177" s="2" t="s">
        <v>1594</v>
      </c>
      <c r="D177" s="2">
        <f t="shared" si="2"/>
        <v>5</v>
      </c>
      <c r="G177" s="2" t="s">
        <v>53</v>
      </c>
      <c r="H177" s="4">
        <v>1</v>
      </c>
      <c r="I177" s="4">
        <v>1</v>
      </c>
      <c r="J177" s="4">
        <v>0</v>
      </c>
      <c r="L177" s="4">
        <v>0</v>
      </c>
      <c r="M177" s="2" t="s">
        <v>55</v>
      </c>
      <c r="N177" s="2" t="s">
        <v>56</v>
      </c>
      <c r="O177" s="2" t="s">
        <v>57</v>
      </c>
      <c r="P177" s="2" t="s">
        <v>499</v>
      </c>
      <c r="Q177" s="2" t="s">
        <v>500</v>
      </c>
      <c r="R177" s="2" t="s">
        <v>1595</v>
      </c>
      <c r="S177" s="2" t="s">
        <v>1596</v>
      </c>
      <c r="V177" s="2" t="s">
        <v>1597</v>
      </c>
      <c r="W177" s="2" t="s">
        <v>1174</v>
      </c>
      <c r="Y177" s="2" t="s">
        <v>64</v>
      </c>
      <c r="Z177" s="2" t="s">
        <v>65</v>
      </c>
      <c r="AA177" s="2" t="s">
        <v>66</v>
      </c>
      <c r="AC177" s="2" t="s">
        <v>67</v>
      </c>
      <c r="AD177" s="2" t="s">
        <v>68</v>
      </c>
      <c r="AE177" s="2" t="s">
        <v>69</v>
      </c>
      <c r="AF177" s="2" t="s">
        <v>70</v>
      </c>
      <c r="AG177" s="2" t="s">
        <v>499</v>
      </c>
      <c r="AK177" s="2" t="s">
        <v>1598</v>
      </c>
      <c r="AM177" s="2" t="s">
        <v>72</v>
      </c>
      <c r="AN177" s="2" t="s">
        <v>100</v>
      </c>
      <c r="AP177" s="2" t="s">
        <v>74</v>
      </c>
      <c r="AU177" s="2" t="s">
        <v>75</v>
      </c>
      <c r="AW177" s="2" t="s">
        <v>1599</v>
      </c>
      <c r="AZ177" s="2" t="s">
        <v>116</v>
      </c>
    </row>
    <row r="178" spans="1:52" s="3" customFormat="1" x14ac:dyDescent="0.35">
      <c r="A178" s="2" t="s">
        <v>1600</v>
      </c>
      <c r="B178" s="4">
        <v>249343</v>
      </c>
      <c r="C178" s="2" t="s">
        <v>1601</v>
      </c>
      <c r="D178" s="2">
        <f t="shared" si="2"/>
        <v>5</v>
      </c>
      <c r="G178" s="2" t="s">
        <v>53</v>
      </c>
      <c r="H178" s="4">
        <v>1</v>
      </c>
      <c r="I178" s="4">
        <v>1</v>
      </c>
      <c r="J178" s="4">
        <v>0</v>
      </c>
      <c r="L178" s="4">
        <v>0</v>
      </c>
      <c r="M178" s="2" t="s">
        <v>55</v>
      </c>
      <c r="N178" s="2" t="s">
        <v>56</v>
      </c>
      <c r="O178" s="2" t="s">
        <v>57</v>
      </c>
      <c r="P178" s="2" t="s">
        <v>499</v>
      </c>
      <c r="Q178" s="2" t="s">
        <v>500</v>
      </c>
      <c r="R178" s="2" t="s">
        <v>1602</v>
      </c>
      <c r="S178" s="2" t="s">
        <v>1603</v>
      </c>
      <c r="V178" s="2" t="s">
        <v>1604</v>
      </c>
      <c r="W178" s="2" t="s">
        <v>1605</v>
      </c>
      <c r="Y178" s="2" t="s">
        <v>64</v>
      </c>
      <c r="Z178" s="2" t="s">
        <v>65</v>
      </c>
      <c r="AA178" s="2" t="s">
        <v>66</v>
      </c>
      <c r="AC178" s="2" t="s">
        <v>67</v>
      </c>
      <c r="AD178" s="2" t="s">
        <v>68</v>
      </c>
      <c r="AE178" s="2" t="s">
        <v>69</v>
      </c>
      <c r="AF178" s="2" t="s">
        <v>70</v>
      </c>
      <c r="AG178" s="2" t="s">
        <v>499</v>
      </c>
      <c r="AK178" s="2" t="s">
        <v>1606</v>
      </c>
      <c r="AM178" s="2" t="s">
        <v>72</v>
      </c>
      <c r="AN178" s="2" t="s">
        <v>100</v>
      </c>
      <c r="AP178" s="2" t="s">
        <v>74</v>
      </c>
      <c r="AU178" s="2" t="s">
        <v>75</v>
      </c>
      <c r="AW178" s="2" t="s">
        <v>1607</v>
      </c>
      <c r="AZ178" s="2" t="s">
        <v>116</v>
      </c>
    </row>
    <row r="179" spans="1:52" s="3" customFormat="1" x14ac:dyDescent="0.35">
      <c r="A179" s="2" t="s">
        <v>1608</v>
      </c>
      <c r="B179" s="4">
        <v>249342</v>
      </c>
      <c r="C179" s="2" t="s">
        <v>1609</v>
      </c>
      <c r="D179" s="2">
        <f t="shared" si="2"/>
        <v>5</v>
      </c>
      <c r="G179" s="2" t="s">
        <v>53</v>
      </c>
      <c r="H179" s="4">
        <v>1</v>
      </c>
      <c r="I179" s="4">
        <v>1</v>
      </c>
      <c r="J179" s="4">
        <v>0</v>
      </c>
      <c r="L179" s="4">
        <v>0</v>
      </c>
      <c r="M179" s="2" t="s">
        <v>55</v>
      </c>
      <c r="N179" s="2" t="s">
        <v>56</v>
      </c>
      <c r="O179" s="2" t="s">
        <v>57</v>
      </c>
      <c r="P179" s="2" t="s">
        <v>499</v>
      </c>
      <c r="Q179" s="2" t="s">
        <v>500</v>
      </c>
      <c r="R179" s="2" t="s">
        <v>1610</v>
      </c>
      <c r="S179" s="2" t="s">
        <v>1611</v>
      </c>
      <c r="V179" s="2" t="s">
        <v>1612</v>
      </c>
      <c r="W179" s="2" t="s">
        <v>1613</v>
      </c>
      <c r="Y179" s="2" t="s">
        <v>64</v>
      </c>
      <c r="Z179" s="2" t="s">
        <v>65</v>
      </c>
      <c r="AA179" s="2" t="s">
        <v>66</v>
      </c>
      <c r="AC179" s="2" t="s">
        <v>67</v>
      </c>
      <c r="AD179" s="2" t="s">
        <v>68</v>
      </c>
      <c r="AE179" s="2" t="s">
        <v>69</v>
      </c>
      <c r="AF179" s="2" t="s">
        <v>70</v>
      </c>
      <c r="AG179" s="2" t="s">
        <v>499</v>
      </c>
      <c r="AK179" s="2" t="s">
        <v>1614</v>
      </c>
      <c r="AM179" s="2" t="s">
        <v>72</v>
      </c>
      <c r="AN179" s="2" t="s">
        <v>100</v>
      </c>
      <c r="AP179" s="2" t="s">
        <v>74</v>
      </c>
      <c r="AU179" s="2" t="s">
        <v>75</v>
      </c>
      <c r="AW179" s="2" t="s">
        <v>1615</v>
      </c>
      <c r="AZ179" s="2" t="s">
        <v>116</v>
      </c>
    </row>
    <row r="180" spans="1:52" s="3" customFormat="1" x14ac:dyDescent="0.35">
      <c r="A180" s="2" t="s">
        <v>1616</v>
      </c>
      <c r="B180" s="4">
        <v>249341</v>
      </c>
      <c r="C180" s="2" t="s">
        <v>1617</v>
      </c>
      <c r="D180" s="2">
        <f t="shared" si="2"/>
        <v>5</v>
      </c>
      <c r="G180" s="2" t="s">
        <v>53</v>
      </c>
      <c r="H180" s="4">
        <v>4</v>
      </c>
      <c r="I180" s="4">
        <v>1</v>
      </c>
      <c r="J180" s="4">
        <v>0</v>
      </c>
      <c r="L180" s="4">
        <v>0</v>
      </c>
      <c r="M180" s="2" t="s">
        <v>55</v>
      </c>
      <c r="N180" s="2" t="s">
        <v>56</v>
      </c>
      <c r="O180" s="2" t="s">
        <v>57</v>
      </c>
      <c r="P180" s="2" t="s">
        <v>499</v>
      </c>
      <c r="Q180" s="2" t="s">
        <v>500</v>
      </c>
      <c r="R180" s="2" t="s">
        <v>1618</v>
      </c>
      <c r="T180" s="2" t="s">
        <v>1619</v>
      </c>
      <c r="U180" s="2" t="s">
        <v>1353</v>
      </c>
      <c r="V180" s="2" t="s">
        <v>1620</v>
      </c>
      <c r="W180" s="2" t="s">
        <v>1621</v>
      </c>
      <c r="X180" s="2" t="s">
        <v>1356</v>
      </c>
      <c r="Y180" s="2" t="s">
        <v>1622</v>
      </c>
      <c r="Z180" s="2" t="s">
        <v>1623</v>
      </c>
      <c r="AA180" s="2" t="s">
        <v>1624</v>
      </c>
      <c r="AB180" s="2" t="s">
        <v>1625</v>
      </c>
      <c r="AC180" s="2" t="s">
        <v>1626</v>
      </c>
      <c r="AD180" s="2" t="s">
        <v>1627</v>
      </c>
      <c r="AE180" s="2" t="s">
        <v>69</v>
      </c>
      <c r="AF180" s="2" t="s">
        <v>70</v>
      </c>
      <c r="AG180" s="2" t="s">
        <v>499</v>
      </c>
      <c r="AK180" s="2" t="s">
        <v>1628</v>
      </c>
      <c r="AM180" s="2" t="s">
        <v>72</v>
      </c>
      <c r="AN180" s="2" t="s">
        <v>100</v>
      </c>
      <c r="AP180" s="2" t="s">
        <v>74</v>
      </c>
      <c r="AU180" s="2" t="s">
        <v>75</v>
      </c>
      <c r="AV180" s="2" t="s">
        <v>1629</v>
      </c>
      <c r="AW180" s="2" t="s">
        <v>1630</v>
      </c>
      <c r="AZ180" s="2" t="s">
        <v>116</v>
      </c>
    </row>
    <row r="181" spans="1:52" s="3" customFormat="1" x14ac:dyDescent="0.35">
      <c r="A181" s="2" t="s">
        <v>1631</v>
      </c>
      <c r="B181" s="4">
        <v>249340</v>
      </c>
      <c r="C181" s="2" t="s">
        <v>1632</v>
      </c>
      <c r="D181" s="2">
        <f t="shared" si="2"/>
        <v>5</v>
      </c>
      <c r="G181" s="2" t="s">
        <v>53</v>
      </c>
      <c r="H181" s="4">
        <v>1</v>
      </c>
      <c r="I181" s="4">
        <v>1</v>
      </c>
      <c r="J181" s="4">
        <v>0</v>
      </c>
      <c r="L181" s="4">
        <v>0</v>
      </c>
      <c r="M181" s="2" t="s">
        <v>55</v>
      </c>
      <c r="N181" s="2" t="s">
        <v>56</v>
      </c>
      <c r="O181" s="2" t="s">
        <v>57</v>
      </c>
      <c r="P181" s="2" t="s">
        <v>499</v>
      </c>
      <c r="Q181" s="2" t="s">
        <v>500</v>
      </c>
      <c r="R181" s="2" t="s">
        <v>1633</v>
      </c>
      <c r="S181" s="2" t="s">
        <v>1634</v>
      </c>
      <c r="V181" s="2" t="s">
        <v>1635</v>
      </c>
      <c r="W181" s="2" t="s">
        <v>1636</v>
      </c>
      <c r="Y181" s="2" t="s">
        <v>64</v>
      </c>
      <c r="Z181" s="2" t="s">
        <v>65</v>
      </c>
      <c r="AA181" s="2" t="s">
        <v>66</v>
      </c>
      <c r="AC181" s="2" t="s">
        <v>67</v>
      </c>
      <c r="AD181" s="2" t="s">
        <v>68</v>
      </c>
      <c r="AE181" s="2" t="s">
        <v>69</v>
      </c>
      <c r="AF181" s="2" t="s">
        <v>70</v>
      </c>
      <c r="AG181" s="2" t="s">
        <v>499</v>
      </c>
      <c r="AK181" s="2" t="s">
        <v>1637</v>
      </c>
      <c r="AM181" s="2" t="s">
        <v>72</v>
      </c>
      <c r="AN181" s="2" t="s">
        <v>100</v>
      </c>
      <c r="AP181" s="2" t="s">
        <v>74</v>
      </c>
      <c r="AU181" s="2" t="s">
        <v>75</v>
      </c>
      <c r="AW181" s="2" t="s">
        <v>1638</v>
      </c>
      <c r="AZ181" s="2" t="s">
        <v>116</v>
      </c>
    </row>
    <row r="182" spans="1:52" s="3" customFormat="1" x14ac:dyDescent="0.35">
      <c r="A182" s="2" t="s">
        <v>1639</v>
      </c>
      <c r="B182" s="4">
        <v>249338</v>
      </c>
      <c r="C182" s="2" t="s">
        <v>1640</v>
      </c>
      <c r="D182" s="2">
        <f t="shared" si="2"/>
        <v>5</v>
      </c>
      <c r="G182" s="2" t="s">
        <v>53</v>
      </c>
      <c r="H182" s="4">
        <v>1</v>
      </c>
      <c r="I182" s="4">
        <v>1</v>
      </c>
      <c r="J182" s="4">
        <v>0</v>
      </c>
      <c r="L182" s="4">
        <v>0</v>
      </c>
      <c r="M182" s="2" t="s">
        <v>55</v>
      </c>
      <c r="N182" s="2" t="s">
        <v>56</v>
      </c>
      <c r="O182" s="2" t="s">
        <v>57</v>
      </c>
      <c r="P182" s="2" t="s">
        <v>499</v>
      </c>
      <c r="Q182" s="2" t="s">
        <v>500</v>
      </c>
      <c r="R182" s="2" t="s">
        <v>1641</v>
      </c>
      <c r="S182" s="2" t="s">
        <v>1642</v>
      </c>
      <c r="V182" s="2" t="s">
        <v>1643</v>
      </c>
      <c r="W182" s="2" t="s">
        <v>1644</v>
      </c>
      <c r="Y182" s="2" t="s">
        <v>64</v>
      </c>
      <c r="Z182" s="2" t="s">
        <v>65</v>
      </c>
      <c r="AA182" s="2" t="s">
        <v>66</v>
      </c>
      <c r="AC182" s="2" t="s">
        <v>67</v>
      </c>
      <c r="AD182" s="2" t="s">
        <v>68</v>
      </c>
      <c r="AE182" s="2" t="s">
        <v>69</v>
      </c>
      <c r="AF182" s="2" t="s">
        <v>70</v>
      </c>
      <c r="AG182" s="2" t="s">
        <v>499</v>
      </c>
      <c r="AK182" s="2" t="s">
        <v>1645</v>
      </c>
      <c r="AM182" s="2" t="s">
        <v>72</v>
      </c>
      <c r="AN182" s="2" t="s">
        <v>100</v>
      </c>
      <c r="AP182" s="2" t="s">
        <v>74</v>
      </c>
      <c r="AU182" s="2" t="s">
        <v>75</v>
      </c>
      <c r="AW182" s="2" t="s">
        <v>1646</v>
      </c>
      <c r="AZ182" s="2" t="s">
        <v>116</v>
      </c>
    </row>
    <row r="183" spans="1:52" s="3" customFormat="1" x14ac:dyDescent="0.35">
      <c r="A183" s="2" t="s">
        <v>1647</v>
      </c>
      <c r="B183" s="4">
        <v>249337</v>
      </c>
      <c r="C183" s="2" t="s">
        <v>1648</v>
      </c>
      <c r="D183" s="2">
        <f t="shared" si="2"/>
        <v>5</v>
      </c>
      <c r="G183" s="2" t="s">
        <v>53</v>
      </c>
      <c r="H183" s="4">
        <v>1</v>
      </c>
      <c r="I183" s="4">
        <v>1</v>
      </c>
      <c r="J183" s="4">
        <v>0</v>
      </c>
      <c r="L183" s="4">
        <v>0</v>
      </c>
      <c r="M183" s="2" t="s">
        <v>55</v>
      </c>
      <c r="N183" s="2" t="s">
        <v>56</v>
      </c>
      <c r="O183" s="2" t="s">
        <v>57</v>
      </c>
      <c r="P183" s="2" t="s">
        <v>499</v>
      </c>
      <c r="Q183" s="2" t="s">
        <v>500</v>
      </c>
      <c r="R183" s="2" t="s">
        <v>1649</v>
      </c>
      <c r="S183" s="2" t="s">
        <v>1650</v>
      </c>
      <c r="V183" s="2" t="s">
        <v>1651</v>
      </c>
      <c r="W183" s="2" t="s">
        <v>1652</v>
      </c>
      <c r="Y183" s="2" t="s">
        <v>64</v>
      </c>
      <c r="Z183" s="2" t="s">
        <v>205</v>
      </c>
      <c r="AA183" s="2" t="s">
        <v>66</v>
      </c>
      <c r="AC183" s="2" t="s">
        <v>67</v>
      </c>
      <c r="AD183" s="2" t="s">
        <v>68</v>
      </c>
      <c r="AE183" s="2" t="s">
        <v>69</v>
      </c>
      <c r="AF183" s="2" t="s">
        <v>70</v>
      </c>
      <c r="AG183" s="2" t="s">
        <v>499</v>
      </c>
      <c r="AK183" s="2" t="s">
        <v>1653</v>
      </c>
      <c r="AM183" s="2" t="s">
        <v>72</v>
      </c>
      <c r="AN183" s="2" t="s">
        <v>100</v>
      </c>
      <c r="AP183" s="2" t="s">
        <v>74</v>
      </c>
      <c r="AU183" s="2" t="s">
        <v>75</v>
      </c>
      <c r="AW183" s="2" t="s">
        <v>1654</v>
      </c>
      <c r="AZ183" s="2" t="s">
        <v>116</v>
      </c>
    </row>
    <row r="184" spans="1:52" s="3" customFormat="1" x14ac:dyDescent="0.35">
      <c r="A184" s="2" t="s">
        <v>1655</v>
      </c>
      <c r="B184" s="4">
        <v>249331</v>
      </c>
      <c r="C184" s="2" t="s">
        <v>1656</v>
      </c>
      <c r="D184" s="2">
        <f t="shared" si="2"/>
        <v>5</v>
      </c>
      <c r="F184" s="2" t="s">
        <v>1411</v>
      </c>
      <c r="G184" s="2" t="s">
        <v>53</v>
      </c>
      <c r="H184" s="4">
        <v>1</v>
      </c>
      <c r="I184" s="4">
        <v>1</v>
      </c>
      <c r="J184" s="5">
        <v>2465</v>
      </c>
      <c r="K184" s="2" t="s">
        <v>80</v>
      </c>
      <c r="L184" s="5">
        <v>2465</v>
      </c>
      <c r="M184" s="2" t="s">
        <v>1657</v>
      </c>
      <c r="N184" s="2" t="s">
        <v>1658</v>
      </c>
      <c r="O184" s="2" t="s">
        <v>484</v>
      </c>
      <c r="P184" s="2" t="s">
        <v>509</v>
      </c>
      <c r="Q184" s="2" t="s">
        <v>510</v>
      </c>
      <c r="R184" s="2" t="s">
        <v>1659</v>
      </c>
      <c r="S184" s="2" t="s">
        <v>1660</v>
      </c>
      <c r="V184" s="2" t="s">
        <v>1661</v>
      </c>
      <c r="W184" s="2" t="s">
        <v>1662</v>
      </c>
      <c r="Y184" s="2" t="s">
        <v>1663</v>
      </c>
      <c r="Z184" s="2" t="s">
        <v>1664</v>
      </c>
      <c r="AA184" s="2" t="s">
        <v>1665</v>
      </c>
      <c r="AC184" s="2" t="s">
        <v>1666</v>
      </c>
      <c r="AD184" s="2" t="s">
        <v>68</v>
      </c>
      <c r="AE184" s="2" t="s">
        <v>69</v>
      </c>
      <c r="AF184" s="2" t="s">
        <v>70</v>
      </c>
      <c r="AK184" s="2" t="s">
        <v>1667</v>
      </c>
      <c r="AL184" s="2" t="s">
        <v>1668</v>
      </c>
      <c r="AM184" s="2" t="s">
        <v>72</v>
      </c>
      <c r="AN184" s="2" t="s">
        <v>73</v>
      </c>
      <c r="AP184" s="2" t="s">
        <v>74</v>
      </c>
      <c r="AU184" s="2" t="s">
        <v>75</v>
      </c>
      <c r="AV184" s="2" t="s">
        <v>1411</v>
      </c>
      <c r="AW184" s="2" t="s">
        <v>1669</v>
      </c>
      <c r="AZ184" s="2" t="s">
        <v>77</v>
      </c>
    </row>
    <row r="185" spans="1:52" s="3" customFormat="1" x14ac:dyDescent="0.35">
      <c r="A185" s="2" t="s">
        <v>1670</v>
      </c>
      <c r="B185" s="4">
        <v>249295</v>
      </c>
      <c r="C185" s="2" t="s">
        <v>1671</v>
      </c>
      <c r="D185" s="2">
        <f t="shared" si="2"/>
        <v>5</v>
      </c>
      <c r="G185" s="2" t="s">
        <v>53</v>
      </c>
      <c r="H185" s="4">
        <v>1</v>
      </c>
      <c r="I185" s="4">
        <v>1</v>
      </c>
      <c r="J185" s="4">
        <v>0</v>
      </c>
      <c r="L185" s="4">
        <v>0</v>
      </c>
      <c r="M185" s="2" t="s">
        <v>55</v>
      </c>
      <c r="N185" s="2" t="s">
        <v>56</v>
      </c>
      <c r="O185" s="2" t="s">
        <v>57</v>
      </c>
      <c r="P185" s="2" t="s">
        <v>499</v>
      </c>
      <c r="Q185" s="2" t="s">
        <v>500</v>
      </c>
      <c r="R185" s="2" t="s">
        <v>1672</v>
      </c>
      <c r="S185" s="2" t="s">
        <v>1673</v>
      </c>
      <c r="V185" s="2" t="s">
        <v>1674</v>
      </c>
      <c r="W185" s="2" t="s">
        <v>1675</v>
      </c>
      <c r="Y185" s="2" t="s">
        <v>64</v>
      </c>
      <c r="Z185" s="2" t="s">
        <v>65</v>
      </c>
      <c r="AA185" s="2" t="s">
        <v>66</v>
      </c>
      <c r="AC185" s="2" t="s">
        <v>67</v>
      </c>
      <c r="AD185" s="2" t="s">
        <v>68</v>
      </c>
      <c r="AE185" s="2" t="s">
        <v>69</v>
      </c>
      <c r="AF185" s="2" t="s">
        <v>70</v>
      </c>
      <c r="AG185" s="2" t="s">
        <v>499</v>
      </c>
      <c r="AK185" s="2" t="s">
        <v>1676</v>
      </c>
      <c r="AM185" s="2" t="s">
        <v>72</v>
      </c>
      <c r="AN185" s="2" t="s">
        <v>100</v>
      </c>
      <c r="AP185" s="2" t="s">
        <v>74</v>
      </c>
      <c r="AU185" s="2" t="s">
        <v>75</v>
      </c>
      <c r="AV185" s="2" t="s">
        <v>1677</v>
      </c>
      <c r="AW185" s="2" t="s">
        <v>1678</v>
      </c>
      <c r="AZ185" s="2" t="s">
        <v>116</v>
      </c>
    </row>
    <row r="186" spans="1:52" s="3" customFormat="1" x14ac:dyDescent="0.35">
      <c r="A186" s="2" t="s">
        <v>1679</v>
      </c>
      <c r="B186" s="4">
        <v>249294</v>
      </c>
      <c r="C186" s="2" t="s">
        <v>1680</v>
      </c>
      <c r="D186" s="2">
        <f t="shared" si="2"/>
        <v>5</v>
      </c>
      <c r="F186" s="2" t="s">
        <v>1681</v>
      </c>
      <c r="G186" s="2" t="s">
        <v>53</v>
      </c>
      <c r="H186" s="4">
        <v>1</v>
      </c>
      <c r="I186" s="4">
        <v>1</v>
      </c>
      <c r="J186" s="4">
        <v>0</v>
      </c>
      <c r="L186" s="4">
        <v>0</v>
      </c>
      <c r="M186" s="2" t="s">
        <v>55</v>
      </c>
      <c r="N186" s="2" t="s">
        <v>56</v>
      </c>
      <c r="O186" s="2" t="s">
        <v>57</v>
      </c>
      <c r="P186" s="2" t="s">
        <v>509</v>
      </c>
      <c r="Q186" s="2" t="s">
        <v>510</v>
      </c>
      <c r="R186" s="2" t="s">
        <v>1682</v>
      </c>
      <c r="S186" s="2" t="s">
        <v>1683</v>
      </c>
      <c r="V186" s="2" t="s">
        <v>1684</v>
      </c>
      <c r="W186" s="2" t="s">
        <v>1685</v>
      </c>
      <c r="Y186" s="2" t="s">
        <v>64</v>
      </c>
      <c r="Z186" s="2" t="s">
        <v>65</v>
      </c>
      <c r="AA186" s="2" t="s">
        <v>66</v>
      </c>
      <c r="AC186" s="2" t="s">
        <v>67</v>
      </c>
      <c r="AD186" s="2" t="s">
        <v>68</v>
      </c>
      <c r="AE186" s="2" t="s">
        <v>69</v>
      </c>
      <c r="AF186" s="2" t="s">
        <v>70</v>
      </c>
      <c r="AG186" s="2" t="s">
        <v>509</v>
      </c>
      <c r="AK186" s="2" t="s">
        <v>1686</v>
      </c>
      <c r="AM186" s="2" t="s">
        <v>72</v>
      </c>
      <c r="AN186" s="2" t="s">
        <v>232</v>
      </c>
      <c r="AP186" s="2" t="s">
        <v>74</v>
      </c>
      <c r="AU186" s="2" t="s">
        <v>75</v>
      </c>
      <c r="AW186" s="2" t="s">
        <v>1687</v>
      </c>
      <c r="AZ186" s="2" t="s">
        <v>116</v>
      </c>
    </row>
    <row r="187" spans="1:52" s="3" customFormat="1" x14ac:dyDescent="0.35">
      <c r="A187" s="2" t="s">
        <v>1688</v>
      </c>
      <c r="B187" s="4">
        <v>249293</v>
      </c>
      <c r="C187" s="2" t="s">
        <v>1689</v>
      </c>
      <c r="D187" s="2">
        <f t="shared" si="2"/>
        <v>5</v>
      </c>
      <c r="G187" s="2" t="s">
        <v>53</v>
      </c>
      <c r="H187" s="4">
        <v>1</v>
      </c>
      <c r="I187" s="4">
        <v>1</v>
      </c>
      <c r="J187" s="4">
        <v>0</v>
      </c>
      <c r="L187" s="4">
        <v>0</v>
      </c>
      <c r="M187" s="2" t="s">
        <v>55</v>
      </c>
      <c r="N187" s="2" t="s">
        <v>56</v>
      </c>
      <c r="O187" s="2" t="s">
        <v>57</v>
      </c>
      <c r="P187" s="2" t="s">
        <v>499</v>
      </c>
      <c r="Q187" s="2" t="s">
        <v>500</v>
      </c>
      <c r="R187" s="2" t="s">
        <v>1690</v>
      </c>
      <c r="S187" s="2" t="s">
        <v>1691</v>
      </c>
      <c r="V187" s="2" t="s">
        <v>1692</v>
      </c>
      <c r="W187" s="2" t="s">
        <v>1693</v>
      </c>
      <c r="Y187" s="2" t="s">
        <v>64</v>
      </c>
      <c r="Z187" s="2" t="s">
        <v>205</v>
      </c>
      <c r="AA187" s="2" t="s">
        <v>66</v>
      </c>
      <c r="AC187" s="2" t="s">
        <v>67</v>
      </c>
      <c r="AD187" s="2" t="s">
        <v>68</v>
      </c>
      <c r="AE187" s="2" t="s">
        <v>69</v>
      </c>
      <c r="AF187" s="2" t="s">
        <v>70</v>
      </c>
      <c r="AG187" s="2" t="s">
        <v>499</v>
      </c>
      <c r="AK187" s="2" t="s">
        <v>1694</v>
      </c>
      <c r="AM187" s="2" t="s">
        <v>72</v>
      </c>
      <c r="AN187" s="2" t="s">
        <v>100</v>
      </c>
      <c r="AP187" s="2" t="s">
        <v>74</v>
      </c>
      <c r="AU187" s="2" t="s">
        <v>75</v>
      </c>
      <c r="AW187" s="2" t="s">
        <v>1695</v>
      </c>
      <c r="AZ187" s="2" t="s">
        <v>116</v>
      </c>
    </row>
    <row r="188" spans="1:52" s="3" customFormat="1" x14ac:dyDescent="0.35">
      <c r="A188" s="2" t="s">
        <v>1696</v>
      </c>
      <c r="B188" s="4">
        <v>249292</v>
      </c>
      <c r="C188" s="2" t="s">
        <v>1697</v>
      </c>
      <c r="D188" s="2">
        <f t="shared" si="2"/>
        <v>5</v>
      </c>
      <c r="G188" s="2" t="s">
        <v>53</v>
      </c>
      <c r="H188" s="4">
        <v>1</v>
      </c>
      <c r="I188" s="4">
        <v>1</v>
      </c>
      <c r="J188" s="4">
        <v>0</v>
      </c>
      <c r="L188" s="4">
        <v>0</v>
      </c>
      <c r="M188" s="2" t="s">
        <v>55</v>
      </c>
      <c r="N188" s="2" t="s">
        <v>56</v>
      </c>
      <c r="O188" s="2" t="s">
        <v>57</v>
      </c>
      <c r="P188" s="2" t="s">
        <v>499</v>
      </c>
      <c r="Q188" s="2" t="s">
        <v>500</v>
      </c>
      <c r="R188" s="2" t="s">
        <v>1698</v>
      </c>
      <c r="S188" s="2" t="s">
        <v>1650</v>
      </c>
      <c r="V188" s="2" t="s">
        <v>1699</v>
      </c>
      <c r="W188" s="2" t="s">
        <v>1700</v>
      </c>
      <c r="Y188" s="2" t="s">
        <v>64</v>
      </c>
      <c r="Z188" s="2" t="s">
        <v>65</v>
      </c>
      <c r="AA188" s="2" t="s">
        <v>66</v>
      </c>
      <c r="AC188" s="2" t="s">
        <v>67</v>
      </c>
      <c r="AD188" s="2" t="s">
        <v>68</v>
      </c>
      <c r="AE188" s="2" t="s">
        <v>69</v>
      </c>
      <c r="AF188" s="2" t="s">
        <v>70</v>
      </c>
      <c r="AG188" s="2" t="s">
        <v>499</v>
      </c>
      <c r="AK188" s="2" t="s">
        <v>1701</v>
      </c>
      <c r="AM188" s="2" t="s">
        <v>72</v>
      </c>
      <c r="AN188" s="2" t="s">
        <v>100</v>
      </c>
      <c r="AP188" s="2" t="s">
        <v>74</v>
      </c>
      <c r="AU188" s="2" t="s">
        <v>75</v>
      </c>
      <c r="AW188" s="2" t="s">
        <v>1654</v>
      </c>
      <c r="AZ188" s="2" t="s">
        <v>116</v>
      </c>
    </row>
    <row r="189" spans="1:52" s="3" customFormat="1" x14ac:dyDescent="0.35">
      <c r="A189" s="2" t="s">
        <v>1702</v>
      </c>
      <c r="B189" s="4">
        <v>249278</v>
      </c>
      <c r="C189" s="2" t="s">
        <v>1703</v>
      </c>
      <c r="D189" s="2">
        <f t="shared" si="2"/>
        <v>5</v>
      </c>
      <c r="G189" s="2" t="s">
        <v>53</v>
      </c>
      <c r="H189" s="4">
        <v>1</v>
      </c>
      <c r="I189" s="4">
        <v>1</v>
      </c>
      <c r="J189" s="4">
        <v>0</v>
      </c>
      <c r="L189" s="4">
        <v>0</v>
      </c>
      <c r="M189" s="2" t="s">
        <v>55</v>
      </c>
      <c r="N189" s="2" t="s">
        <v>56</v>
      </c>
      <c r="O189" s="2" t="s">
        <v>57</v>
      </c>
      <c r="P189" s="2" t="s">
        <v>499</v>
      </c>
      <c r="Q189" s="2" t="s">
        <v>500</v>
      </c>
      <c r="R189" s="2" t="s">
        <v>1704</v>
      </c>
      <c r="S189" s="2" t="s">
        <v>1705</v>
      </c>
      <c r="V189" s="2" t="s">
        <v>1706</v>
      </c>
      <c r="W189" s="2" t="s">
        <v>1707</v>
      </c>
      <c r="Y189" s="2" t="s">
        <v>64</v>
      </c>
      <c r="Z189" s="2" t="s">
        <v>65</v>
      </c>
      <c r="AA189" s="2" t="s">
        <v>66</v>
      </c>
      <c r="AC189" s="2" t="s">
        <v>67</v>
      </c>
      <c r="AD189" s="2" t="s">
        <v>68</v>
      </c>
      <c r="AE189" s="2" t="s">
        <v>69</v>
      </c>
      <c r="AF189" s="2" t="s">
        <v>70</v>
      </c>
      <c r="AG189" s="2" t="s">
        <v>499</v>
      </c>
      <c r="AK189" s="2" t="s">
        <v>1708</v>
      </c>
      <c r="AM189" s="2" t="s">
        <v>72</v>
      </c>
      <c r="AN189" s="2" t="s">
        <v>100</v>
      </c>
      <c r="AP189" s="2" t="s">
        <v>74</v>
      </c>
      <c r="AU189" s="2" t="s">
        <v>75</v>
      </c>
      <c r="AW189" s="2" t="s">
        <v>1709</v>
      </c>
      <c r="AZ189" s="2" t="s">
        <v>116</v>
      </c>
    </row>
    <row r="190" spans="1:52" s="3" customFormat="1" x14ac:dyDescent="0.35">
      <c r="A190" s="2" t="s">
        <v>1710</v>
      </c>
      <c r="B190" s="4">
        <v>249275</v>
      </c>
      <c r="C190" s="2" t="s">
        <v>1711</v>
      </c>
      <c r="D190" s="2">
        <f t="shared" si="2"/>
        <v>5</v>
      </c>
      <c r="F190" s="2" t="s">
        <v>1681</v>
      </c>
      <c r="G190" s="2" t="s">
        <v>53</v>
      </c>
      <c r="H190" s="4">
        <v>1</v>
      </c>
      <c r="I190" s="4">
        <v>1</v>
      </c>
      <c r="J190" s="4">
        <v>0</v>
      </c>
      <c r="L190" s="4">
        <v>0</v>
      </c>
      <c r="M190" s="2" t="s">
        <v>55</v>
      </c>
      <c r="N190" s="2" t="s">
        <v>56</v>
      </c>
      <c r="O190" s="2" t="s">
        <v>57</v>
      </c>
      <c r="P190" s="2" t="s">
        <v>509</v>
      </c>
      <c r="Q190" s="2" t="s">
        <v>510</v>
      </c>
      <c r="R190" s="2" t="s">
        <v>1712</v>
      </c>
      <c r="S190" s="2" t="s">
        <v>1713</v>
      </c>
      <c r="V190" s="2" t="s">
        <v>1714</v>
      </c>
      <c r="W190" s="2" t="s">
        <v>1715</v>
      </c>
      <c r="Y190" s="2" t="s">
        <v>64</v>
      </c>
      <c r="Z190" s="2" t="s">
        <v>65</v>
      </c>
      <c r="AA190" s="2" t="s">
        <v>66</v>
      </c>
      <c r="AC190" s="2" t="s">
        <v>67</v>
      </c>
      <c r="AD190" s="2" t="s">
        <v>68</v>
      </c>
      <c r="AE190" s="2" t="s">
        <v>69</v>
      </c>
      <c r="AF190" s="2" t="s">
        <v>70</v>
      </c>
      <c r="AG190" s="2" t="s">
        <v>509</v>
      </c>
      <c r="AK190" s="2" t="s">
        <v>1716</v>
      </c>
      <c r="AM190" s="2" t="s">
        <v>72</v>
      </c>
      <c r="AN190" s="2" t="s">
        <v>232</v>
      </c>
      <c r="AP190" s="2" t="s">
        <v>74</v>
      </c>
      <c r="AU190" s="2" t="s">
        <v>75</v>
      </c>
      <c r="AW190" s="2" t="s">
        <v>1717</v>
      </c>
      <c r="AZ190" s="2" t="s">
        <v>116</v>
      </c>
    </row>
    <row r="191" spans="1:52" s="3" customFormat="1" x14ac:dyDescent="0.35">
      <c r="A191" s="2" t="s">
        <v>1718</v>
      </c>
      <c r="B191" s="4">
        <v>249272</v>
      </c>
      <c r="C191" s="2" t="s">
        <v>1719</v>
      </c>
      <c r="D191" s="2">
        <f t="shared" si="2"/>
        <v>5</v>
      </c>
      <c r="G191" s="2" t="s">
        <v>53</v>
      </c>
      <c r="H191" s="4">
        <v>1</v>
      </c>
      <c r="I191" s="4">
        <v>1</v>
      </c>
      <c r="J191" s="4">
        <v>0</v>
      </c>
      <c r="L191" s="4">
        <v>0</v>
      </c>
      <c r="M191" s="2" t="s">
        <v>55</v>
      </c>
      <c r="N191" s="2" t="s">
        <v>56</v>
      </c>
      <c r="O191" s="2" t="s">
        <v>57</v>
      </c>
      <c r="P191" s="2" t="s">
        <v>499</v>
      </c>
      <c r="Q191" s="2" t="s">
        <v>500</v>
      </c>
      <c r="R191" s="2" t="s">
        <v>1720</v>
      </c>
      <c r="S191" s="2" t="s">
        <v>1721</v>
      </c>
      <c r="V191" s="2" t="s">
        <v>1722</v>
      </c>
      <c r="W191" s="2" t="s">
        <v>1723</v>
      </c>
      <c r="Y191" s="2" t="s">
        <v>64</v>
      </c>
      <c r="Z191" s="2" t="s">
        <v>65</v>
      </c>
      <c r="AA191" s="2" t="s">
        <v>66</v>
      </c>
      <c r="AC191" s="2" t="s">
        <v>67</v>
      </c>
      <c r="AD191" s="2" t="s">
        <v>68</v>
      </c>
      <c r="AE191" s="2" t="s">
        <v>69</v>
      </c>
      <c r="AF191" s="2" t="s">
        <v>70</v>
      </c>
      <c r="AG191" s="2" t="s">
        <v>499</v>
      </c>
      <c r="AK191" s="2" t="s">
        <v>1724</v>
      </c>
      <c r="AM191" s="2" t="s">
        <v>72</v>
      </c>
      <c r="AN191" s="2" t="s">
        <v>100</v>
      </c>
      <c r="AP191" s="2" t="s">
        <v>74</v>
      </c>
      <c r="AU191" s="2" t="s">
        <v>75</v>
      </c>
      <c r="AW191" s="2" t="s">
        <v>1725</v>
      </c>
      <c r="AZ191" s="2" t="s">
        <v>116</v>
      </c>
    </row>
    <row r="192" spans="1:52" s="3" customFormat="1" x14ac:dyDescent="0.35">
      <c r="A192" s="2" t="s">
        <v>1726</v>
      </c>
      <c r="B192" s="4">
        <v>249270</v>
      </c>
      <c r="C192" s="2" t="s">
        <v>1727</v>
      </c>
      <c r="D192" s="2">
        <f t="shared" si="2"/>
        <v>5</v>
      </c>
      <c r="G192" s="2" t="s">
        <v>53</v>
      </c>
      <c r="H192" s="4">
        <v>1</v>
      </c>
      <c r="I192" s="4">
        <v>1</v>
      </c>
      <c r="J192" s="4">
        <v>0</v>
      </c>
      <c r="L192" s="4">
        <v>0</v>
      </c>
      <c r="M192" s="2" t="s">
        <v>55</v>
      </c>
      <c r="N192" s="2" t="s">
        <v>56</v>
      </c>
      <c r="O192" s="2" t="s">
        <v>57</v>
      </c>
      <c r="P192" s="2" t="s">
        <v>499</v>
      </c>
      <c r="Q192" s="2" t="s">
        <v>500</v>
      </c>
      <c r="R192" s="2" t="s">
        <v>1728</v>
      </c>
      <c r="S192" s="2" t="s">
        <v>1729</v>
      </c>
      <c r="V192" s="2" t="s">
        <v>1730</v>
      </c>
      <c r="W192" s="2" t="s">
        <v>1731</v>
      </c>
      <c r="Y192" s="2" t="s">
        <v>64</v>
      </c>
      <c r="Z192" s="2" t="s">
        <v>65</v>
      </c>
      <c r="AA192" s="2" t="s">
        <v>66</v>
      </c>
      <c r="AC192" s="2" t="s">
        <v>67</v>
      </c>
      <c r="AD192" s="2" t="s">
        <v>68</v>
      </c>
      <c r="AE192" s="2" t="s">
        <v>69</v>
      </c>
      <c r="AF192" s="2" t="s">
        <v>70</v>
      </c>
      <c r="AG192" s="2" t="s">
        <v>499</v>
      </c>
      <c r="AK192" s="2" t="s">
        <v>1732</v>
      </c>
      <c r="AM192" s="2" t="s">
        <v>72</v>
      </c>
      <c r="AN192" s="2" t="s">
        <v>100</v>
      </c>
      <c r="AP192" s="2" t="s">
        <v>74</v>
      </c>
      <c r="AU192" s="2" t="s">
        <v>75</v>
      </c>
      <c r="AW192" s="2" t="s">
        <v>1733</v>
      </c>
      <c r="AZ192" s="2" t="s">
        <v>116</v>
      </c>
    </row>
    <row r="193" spans="1:52" s="3" customFormat="1" x14ac:dyDescent="0.35">
      <c r="A193" s="2" t="s">
        <v>1734</v>
      </c>
      <c r="B193" s="4">
        <v>249268</v>
      </c>
      <c r="C193" s="2" t="s">
        <v>1735</v>
      </c>
      <c r="D193" s="2">
        <f t="shared" si="2"/>
        <v>5</v>
      </c>
      <c r="F193" s="2" t="s">
        <v>1681</v>
      </c>
      <c r="G193" s="2" t="s">
        <v>53</v>
      </c>
      <c r="H193" s="4">
        <v>1</v>
      </c>
      <c r="I193" s="4">
        <v>1</v>
      </c>
      <c r="J193" s="4">
        <v>0</v>
      </c>
      <c r="L193" s="4">
        <v>0</v>
      </c>
      <c r="M193" s="2" t="s">
        <v>55</v>
      </c>
      <c r="N193" s="2" t="s">
        <v>56</v>
      </c>
      <c r="O193" s="2" t="s">
        <v>57</v>
      </c>
      <c r="P193" s="2" t="s">
        <v>106</v>
      </c>
      <c r="Q193" s="2" t="s">
        <v>107</v>
      </c>
      <c r="R193" s="2" t="s">
        <v>1736</v>
      </c>
      <c r="S193" s="2" t="s">
        <v>1737</v>
      </c>
      <c r="V193" s="2" t="s">
        <v>1738</v>
      </c>
      <c r="W193" s="2" t="s">
        <v>1739</v>
      </c>
      <c r="Y193" s="2" t="s">
        <v>64</v>
      </c>
      <c r="Z193" s="2" t="s">
        <v>65</v>
      </c>
      <c r="AA193" s="2" t="s">
        <v>66</v>
      </c>
      <c r="AC193" s="2" t="s">
        <v>67</v>
      </c>
      <c r="AD193" s="2" t="s">
        <v>68</v>
      </c>
      <c r="AE193" s="2" t="s">
        <v>69</v>
      </c>
      <c r="AF193" s="2" t="s">
        <v>70</v>
      </c>
      <c r="AG193" s="2" t="s">
        <v>106</v>
      </c>
      <c r="AK193" s="2" t="s">
        <v>1740</v>
      </c>
      <c r="AM193" s="2" t="s">
        <v>72</v>
      </c>
      <c r="AN193" s="2" t="s">
        <v>100</v>
      </c>
      <c r="AP193" s="2" t="s">
        <v>113</v>
      </c>
      <c r="AT193" s="2" t="s">
        <v>114</v>
      </c>
      <c r="AU193" s="2" t="s">
        <v>75</v>
      </c>
      <c r="AW193" s="2" t="s">
        <v>1741</v>
      </c>
      <c r="AZ193" s="2" t="s">
        <v>116</v>
      </c>
    </row>
    <row r="194" spans="1:52" s="3" customFormat="1" x14ac:dyDescent="0.35">
      <c r="A194" s="2" t="s">
        <v>1742</v>
      </c>
      <c r="B194" s="4">
        <v>249267</v>
      </c>
      <c r="C194" s="2" t="s">
        <v>1743</v>
      </c>
      <c r="D194" s="2">
        <f t="shared" si="2"/>
        <v>5</v>
      </c>
      <c r="G194" s="2" t="s">
        <v>53</v>
      </c>
      <c r="H194" s="4">
        <v>1</v>
      </c>
      <c r="I194" s="4">
        <v>1</v>
      </c>
      <c r="J194" s="4">
        <v>0</v>
      </c>
      <c r="L194" s="4">
        <v>0</v>
      </c>
      <c r="M194" s="2" t="s">
        <v>55</v>
      </c>
      <c r="N194" s="2" t="s">
        <v>56</v>
      </c>
      <c r="O194" s="2" t="s">
        <v>57</v>
      </c>
      <c r="P194" s="2" t="s">
        <v>499</v>
      </c>
      <c r="Q194" s="2" t="s">
        <v>500</v>
      </c>
      <c r="R194" s="2" t="s">
        <v>1744</v>
      </c>
      <c r="S194" s="2" t="s">
        <v>1745</v>
      </c>
      <c r="V194" s="2" t="s">
        <v>1746</v>
      </c>
      <c r="W194" s="2" t="s">
        <v>1739</v>
      </c>
      <c r="Y194" s="2" t="s">
        <v>64</v>
      </c>
      <c r="Z194" s="2" t="s">
        <v>65</v>
      </c>
      <c r="AA194" s="2" t="s">
        <v>66</v>
      </c>
      <c r="AC194" s="2" t="s">
        <v>67</v>
      </c>
      <c r="AD194" s="2" t="s">
        <v>68</v>
      </c>
      <c r="AE194" s="2" t="s">
        <v>69</v>
      </c>
      <c r="AF194" s="2" t="s">
        <v>70</v>
      </c>
      <c r="AG194" s="2" t="s">
        <v>499</v>
      </c>
      <c r="AK194" s="2" t="s">
        <v>1747</v>
      </c>
      <c r="AM194" s="2" t="s">
        <v>72</v>
      </c>
      <c r="AN194" s="2" t="s">
        <v>100</v>
      </c>
      <c r="AP194" s="2" t="s">
        <v>74</v>
      </c>
      <c r="AU194" s="2" t="s">
        <v>75</v>
      </c>
      <c r="AW194" s="2" t="s">
        <v>1748</v>
      </c>
      <c r="AZ194" s="2" t="s">
        <v>116</v>
      </c>
    </row>
    <row r="195" spans="1:52" s="3" customFormat="1" x14ac:dyDescent="0.35">
      <c r="A195" s="2" t="s">
        <v>1749</v>
      </c>
      <c r="B195" s="4">
        <v>249266</v>
      </c>
      <c r="C195" s="2" t="s">
        <v>1750</v>
      </c>
      <c r="D195" s="2">
        <f t="shared" ref="D195:D258" si="3">MONTH(C195)</f>
        <v>5</v>
      </c>
      <c r="G195" s="2" t="s">
        <v>53</v>
      </c>
      <c r="H195" s="4">
        <v>1</v>
      </c>
      <c r="I195" s="4">
        <v>1</v>
      </c>
      <c r="J195" s="4">
        <v>0</v>
      </c>
      <c r="L195" s="4">
        <v>0</v>
      </c>
      <c r="M195" s="2" t="s">
        <v>55</v>
      </c>
      <c r="N195" s="2" t="s">
        <v>56</v>
      </c>
      <c r="O195" s="2" t="s">
        <v>57</v>
      </c>
      <c r="P195" s="2" t="s">
        <v>499</v>
      </c>
      <c r="Q195" s="2" t="s">
        <v>500</v>
      </c>
      <c r="R195" s="2" t="s">
        <v>1751</v>
      </c>
      <c r="S195" s="2" t="s">
        <v>1752</v>
      </c>
      <c r="V195" s="2" t="s">
        <v>1753</v>
      </c>
      <c r="W195" s="2" t="s">
        <v>1754</v>
      </c>
      <c r="Y195" s="2" t="s">
        <v>64</v>
      </c>
      <c r="Z195" s="2" t="s">
        <v>65</v>
      </c>
      <c r="AA195" s="2" t="s">
        <v>66</v>
      </c>
      <c r="AC195" s="2" t="s">
        <v>67</v>
      </c>
      <c r="AD195" s="2" t="s">
        <v>68</v>
      </c>
      <c r="AE195" s="2" t="s">
        <v>69</v>
      </c>
      <c r="AF195" s="2" t="s">
        <v>70</v>
      </c>
      <c r="AG195" s="2" t="s">
        <v>499</v>
      </c>
      <c r="AK195" s="2" t="s">
        <v>1755</v>
      </c>
      <c r="AM195" s="2" t="s">
        <v>72</v>
      </c>
      <c r="AN195" s="2" t="s">
        <v>100</v>
      </c>
      <c r="AP195" s="2" t="s">
        <v>74</v>
      </c>
      <c r="AU195" s="2" t="s">
        <v>75</v>
      </c>
      <c r="AW195" s="2" t="s">
        <v>1756</v>
      </c>
      <c r="AZ195" s="2" t="s">
        <v>116</v>
      </c>
    </row>
    <row r="196" spans="1:52" s="3" customFormat="1" x14ac:dyDescent="0.35">
      <c r="A196" s="2" t="s">
        <v>1757</v>
      </c>
      <c r="B196" s="4">
        <v>249265</v>
      </c>
      <c r="C196" s="2" t="s">
        <v>1758</v>
      </c>
      <c r="D196" s="2">
        <f t="shared" si="3"/>
        <v>5</v>
      </c>
      <c r="G196" s="2" t="s">
        <v>53</v>
      </c>
      <c r="H196" s="4">
        <v>1</v>
      </c>
      <c r="I196" s="4">
        <v>1</v>
      </c>
      <c r="J196" s="4">
        <v>0</v>
      </c>
      <c r="L196" s="4">
        <v>0</v>
      </c>
      <c r="M196" s="2" t="s">
        <v>55</v>
      </c>
      <c r="N196" s="2" t="s">
        <v>56</v>
      </c>
      <c r="O196" s="2" t="s">
        <v>57</v>
      </c>
      <c r="P196" s="2" t="s">
        <v>499</v>
      </c>
      <c r="Q196" s="2" t="s">
        <v>500</v>
      </c>
      <c r="R196" s="2" t="s">
        <v>1759</v>
      </c>
      <c r="S196" s="2" t="s">
        <v>1760</v>
      </c>
      <c r="V196" s="2" t="s">
        <v>1761</v>
      </c>
      <c r="W196" s="2" t="s">
        <v>1739</v>
      </c>
      <c r="Y196" s="2" t="s">
        <v>64</v>
      </c>
      <c r="Z196" s="2" t="s">
        <v>65</v>
      </c>
      <c r="AA196" s="2" t="s">
        <v>66</v>
      </c>
      <c r="AC196" s="2" t="s">
        <v>67</v>
      </c>
      <c r="AD196" s="2" t="s">
        <v>68</v>
      </c>
      <c r="AE196" s="2" t="s">
        <v>69</v>
      </c>
      <c r="AF196" s="2" t="s">
        <v>70</v>
      </c>
      <c r="AG196" s="2" t="s">
        <v>499</v>
      </c>
      <c r="AK196" s="2" t="s">
        <v>1762</v>
      </c>
      <c r="AM196" s="2" t="s">
        <v>72</v>
      </c>
      <c r="AN196" s="2" t="s">
        <v>100</v>
      </c>
      <c r="AP196" s="2" t="s">
        <v>74</v>
      </c>
      <c r="AU196" s="2" t="s">
        <v>75</v>
      </c>
      <c r="AV196" s="2" t="s">
        <v>1763</v>
      </c>
      <c r="AW196" s="2" t="s">
        <v>1764</v>
      </c>
      <c r="AZ196" s="2" t="s">
        <v>116</v>
      </c>
    </row>
    <row r="197" spans="1:52" s="3" customFormat="1" x14ac:dyDescent="0.35">
      <c r="A197" s="2" t="s">
        <v>1765</v>
      </c>
      <c r="B197" s="4">
        <v>249264</v>
      </c>
      <c r="C197" s="2" t="s">
        <v>1766</v>
      </c>
      <c r="D197" s="2">
        <f t="shared" si="3"/>
        <v>5</v>
      </c>
      <c r="G197" s="2" t="s">
        <v>53</v>
      </c>
      <c r="H197" s="4">
        <v>1</v>
      </c>
      <c r="I197" s="4">
        <v>1</v>
      </c>
      <c r="J197" s="4">
        <v>0</v>
      </c>
      <c r="L197" s="4">
        <v>0</v>
      </c>
      <c r="M197" s="2" t="s">
        <v>55</v>
      </c>
      <c r="N197" s="2" t="s">
        <v>56</v>
      </c>
      <c r="O197" s="2" t="s">
        <v>57</v>
      </c>
      <c r="P197" s="2" t="s">
        <v>499</v>
      </c>
      <c r="Q197" s="2" t="s">
        <v>500</v>
      </c>
      <c r="R197" s="2" t="s">
        <v>1767</v>
      </c>
      <c r="S197" s="2" t="s">
        <v>1768</v>
      </c>
      <c r="V197" s="2" t="s">
        <v>1769</v>
      </c>
      <c r="W197" s="2" t="s">
        <v>1739</v>
      </c>
      <c r="Y197" s="2" t="s">
        <v>64</v>
      </c>
      <c r="Z197" s="2" t="s">
        <v>205</v>
      </c>
      <c r="AA197" s="2" t="s">
        <v>66</v>
      </c>
      <c r="AC197" s="2" t="s">
        <v>67</v>
      </c>
      <c r="AD197" s="2" t="s">
        <v>68</v>
      </c>
      <c r="AE197" s="2" t="s">
        <v>69</v>
      </c>
      <c r="AF197" s="2" t="s">
        <v>70</v>
      </c>
      <c r="AG197" s="2" t="s">
        <v>499</v>
      </c>
      <c r="AK197" s="2" t="s">
        <v>1770</v>
      </c>
      <c r="AM197" s="2" t="s">
        <v>72</v>
      </c>
      <c r="AN197" s="2" t="s">
        <v>100</v>
      </c>
      <c r="AP197" s="2" t="s">
        <v>74</v>
      </c>
      <c r="AU197" s="2" t="s">
        <v>75</v>
      </c>
      <c r="AW197" s="2" t="s">
        <v>1771</v>
      </c>
      <c r="AZ197" s="2" t="s">
        <v>116</v>
      </c>
    </row>
    <row r="198" spans="1:52" s="3" customFormat="1" x14ac:dyDescent="0.35">
      <c r="A198" s="2" t="s">
        <v>1772</v>
      </c>
      <c r="B198" s="4">
        <v>249263</v>
      </c>
      <c r="C198" s="2" t="s">
        <v>1773</v>
      </c>
      <c r="D198" s="2">
        <f t="shared" si="3"/>
        <v>5</v>
      </c>
      <c r="G198" s="2" t="s">
        <v>53</v>
      </c>
      <c r="H198" s="4">
        <v>1</v>
      </c>
      <c r="I198" s="4">
        <v>1</v>
      </c>
      <c r="J198" s="4">
        <v>0</v>
      </c>
      <c r="L198" s="4">
        <v>0</v>
      </c>
      <c r="M198" s="2" t="s">
        <v>55</v>
      </c>
      <c r="N198" s="2" t="s">
        <v>56</v>
      </c>
      <c r="O198" s="2" t="s">
        <v>57</v>
      </c>
      <c r="P198" s="2" t="s">
        <v>499</v>
      </c>
      <c r="Q198" s="2" t="s">
        <v>500</v>
      </c>
      <c r="R198" s="2" t="s">
        <v>1774</v>
      </c>
      <c r="S198" s="2" t="s">
        <v>1775</v>
      </c>
      <c r="V198" s="2" t="s">
        <v>1776</v>
      </c>
      <c r="W198" s="2" t="s">
        <v>1739</v>
      </c>
      <c r="Y198" s="2" t="s">
        <v>64</v>
      </c>
      <c r="Z198" s="2" t="s">
        <v>65</v>
      </c>
      <c r="AA198" s="2" t="s">
        <v>66</v>
      </c>
      <c r="AC198" s="2" t="s">
        <v>67</v>
      </c>
      <c r="AD198" s="2" t="s">
        <v>68</v>
      </c>
      <c r="AE198" s="2" t="s">
        <v>69</v>
      </c>
      <c r="AF198" s="2" t="s">
        <v>70</v>
      </c>
      <c r="AG198" s="2" t="s">
        <v>499</v>
      </c>
      <c r="AK198" s="2" t="s">
        <v>1777</v>
      </c>
      <c r="AM198" s="2" t="s">
        <v>72</v>
      </c>
      <c r="AN198" s="2" t="s">
        <v>100</v>
      </c>
      <c r="AP198" s="2" t="s">
        <v>74</v>
      </c>
      <c r="AU198" s="2" t="s">
        <v>75</v>
      </c>
      <c r="AW198" s="2" t="s">
        <v>1778</v>
      </c>
      <c r="AZ198" s="2" t="s">
        <v>116</v>
      </c>
    </row>
    <row r="199" spans="1:52" s="3" customFormat="1" x14ac:dyDescent="0.35">
      <c r="A199" s="2" t="s">
        <v>1779</v>
      </c>
      <c r="B199" s="4">
        <v>249262</v>
      </c>
      <c r="C199" s="2" t="s">
        <v>1780</v>
      </c>
      <c r="D199" s="2">
        <f t="shared" si="3"/>
        <v>5</v>
      </c>
      <c r="G199" s="2" t="s">
        <v>53</v>
      </c>
      <c r="H199" s="4">
        <v>1</v>
      </c>
      <c r="I199" s="4">
        <v>1</v>
      </c>
      <c r="J199" s="4">
        <v>0</v>
      </c>
      <c r="L199" s="4">
        <v>0</v>
      </c>
      <c r="M199" s="2" t="s">
        <v>55</v>
      </c>
      <c r="N199" s="2" t="s">
        <v>56</v>
      </c>
      <c r="O199" s="2" t="s">
        <v>57</v>
      </c>
      <c r="P199" s="2" t="s">
        <v>499</v>
      </c>
      <c r="Q199" s="2" t="s">
        <v>500</v>
      </c>
      <c r="R199" s="2" t="s">
        <v>971</v>
      </c>
      <c r="S199" s="2" t="s">
        <v>1781</v>
      </c>
      <c r="V199" s="2" t="s">
        <v>973</v>
      </c>
      <c r="W199" s="2" t="s">
        <v>1739</v>
      </c>
      <c r="Y199" s="2" t="s">
        <v>64</v>
      </c>
      <c r="Z199" s="2" t="s">
        <v>65</v>
      </c>
      <c r="AA199" s="2" t="s">
        <v>66</v>
      </c>
      <c r="AC199" s="2" t="s">
        <v>67</v>
      </c>
      <c r="AD199" s="2" t="s">
        <v>68</v>
      </c>
      <c r="AE199" s="2" t="s">
        <v>69</v>
      </c>
      <c r="AF199" s="2" t="s">
        <v>70</v>
      </c>
      <c r="AG199" s="2" t="s">
        <v>499</v>
      </c>
      <c r="AK199" s="2" t="s">
        <v>1782</v>
      </c>
      <c r="AM199" s="2" t="s">
        <v>72</v>
      </c>
      <c r="AN199" s="2" t="s">
        <v>100</v>
      </c>
      <c r="AP199" s="2" t="s">
        <v>74</v>
      </c>
      <c r="AU199" s="2" t="s">
        <v>75</v>
      </c>
      <c r="AW199" s="2" t="s">
        <v>1783</v>
      </c>
      <c r="AZ199" s="2" t="s">
        <v>116</v>
      </c>
    </row>
    <row r="200" spans="1:52" s="3" customFormat="1" x14ac:dyDescent="0.35">
      <c r="A200" s="2" t="s">
        <v>1784</v>
      </c>
      <c r="B200" s="4">
        <v>249261</v>
      </c>
      <c r="C200" s="2" t="s">
        <v>1785</v>
      </c>
      <c r="D200" s="2">
        <f t="shared" si="3"/>
        <v>5</v>
      </c>
      <c r="G200" s="2" t="s">
        <v>53</v>
      </c>
      <c r="H200" s="4">
        <v>1</v>
      </c>
      <c r="I200" s="4">
        <v>1</v>
      </c>
      <c r="J200" s="4">
        <v>0</v>
      </c>
      <c r="L200" s="4">
        <v>0</v>
      </c>
      <c r="M200" s="2" t="s">
        <v>55</v>
      </c>
      <c r="N200" s="2" t="s">
        <v>56</v>
      </c>
      <c r="O200" s="2" t="s">
        <v>57</v>
      </c>
      <c r="P200" s="2" t="s">
        <v>499</v>
      </c>
      <c r="Q200" s="2" t="s">
        <v>500</v>
      </c>
      <c r="R200" s="2" t="s">
        <v>1786</v>
      </c>
      <c r="S200" s="2" t="s">
        <v>1787</v>
      </c>
      <c r="V200" s="2" t="s">
        <v>1788</v>
      </c>
      <c r="W200" s="2" t="s">
        <v>1739</v>
      </c>
      <c r="Y200" s="2" t="s">
        <v>64</v>
      </c>
      <c r="Z200" s="2" t="s">
        <v>65</v>
      </c>
      <c r="AA200" s="2" t="s">
        <v>66</v>
      </c>
      <c r="AC200" s="2" t="s">
        <v>67</v>
      </c>
      <c r="AD200" s="2" t="s">
        <v>68</v>
      </c>
      <c r="AE200" s="2" t="s">
        <v>69</v>
      </c>
      <c r="AF200" s="2" t="s">
        <v>70</v>
      </c>
      <c r="AG200" s="2" t="s">
        <v>499</v>
      </c>
      <c r="AK200" s="2" t="s">
        <v>1789</v>
      </c>
      <c r="AM200" s="2" t="s">
        <v>72</v>
      </c>
      <c r="AN200" s="2" t="s">
        <v>100</v>
      </c>
      <c r="AP200" s="2" t="s">
        <v>74</v>
      </c>
      <c r="AU200" s="2" t="s">
        <v>75</v>
      </c>
      <c r="AW200" s="2" t="s">
        <v>1790</v>
      </c>
      <c r="AZ200" s="2" t="s">
        <v>116</v>
      </c>
    </row>
    <row r="201" spans="1:52" s="3" customFormat="1" x14ac:dyDescent="0.35">
      <c r="A201" s="2" t="s">
        <v>1791</v>
      </c>
      <c r="B201" s="4">
        <v>249260</v>
      </c>
      <c r="C201" s="2" t="s">
        <v>1792</v>
      </c>
      <c r="D201" s="2">
        <f t="shared" si="3"/>
        <v>5</v>
      </c>
      <c r="G201" s="2" t="s">
        <v>53</v>
      </c>
      <c r="H201" s="4">
        <v>1</v>
      </c>
      <c r="I201" s="4">
        <v>1</v>
      </c>
      <c r="J201" s="4">
        <v>0</v>
      </c>
      <c r="L201" s="4">
        <v>0</v>
      </c>
      <c r="M201" s="2" t="s">
        <v>55</v>
      </c>
      <c r="N201" s="2" t="s">
        <v>56</v>
      </c>
      <c r="O201" s="2" t="s">
        <v>57</v>
      </c>
      <c r="P201" s="2" t="s">
        <v>499</v>
      </c>
      <c r="Q201" s="2" t="s">
        <v>500</v>
      </c>
      <c r="R201" s="2" t="s">
        <v>1793</v>
      </c>
      <c r="S201" s="2" t="s">
        <v>1794</v>
      </c>
      <c r="V201" s="2" t="s">
        <v>1795</v>
      </c>
      <c r="W201" s="2" t="s">
        <v>1739</v>
      </c>
      <c r="Y201" s="2" t="s">
        <v>64</v>
      </c>
      <c r="Z201" s="2" t="s">
        <v>65</v>
      </c>
      <c r="AA201" s="2" t="s">
        <v>66</v>
      </c>
      <c r="AC201" s="2" t="s">
        <v>67</v>
      </c>
      <c r="AD201" s="2" t="s">
        <v>68</v>
      </c>
      <c r="AE201" s="2" t="s">
        <v>69</v>
      </c>
      <c r="AF201" s="2" t="s">
        <v>70</v>
      </c>
      <c r="AG201" s="2" t="s">
        <v>499</v>
      </c>
      <c r="AK201" s="2" t="s">
        <v>1796</v>
      </c>
      <c r="AM201" s="2" t="s">
        <v>72</v>
      </c>
      <c r="AN201" s="2" t="s">
        <v>100</v>
      </c>
      <c r="AP201" s="2" t="s">
        <v>74</v>
      </c>
      <c r="AU201" s="2" t="s">
        <v>75</v>
      </c>
      <c r="AW201" s="2" t="s">
        <v>1797</v>
      </c>
      <c r="AZ201" s="2" t="s">
        <v>116</v>
      </c>
    </row>
    <row r="202" spans="1:52" s="3" customFormat="1" x14ac:dyDescent="0.35">
      <c r="A202" s="2" t="s">
        <v>1798</v>
      </c>
      <c r="B202" s="4">
        <v>249259</v>
      </c>
      <c r="C202" s="2" t="s">
        <v>1799</v>
      </c>
      <c r="D202" s="2">
        <f t="shared" si="3"/>
        <v>5</v>
      </c>
      <c r="G202" s="2" t="s">
        <v>53</v>
      </c>
      <c r="H202" s="4">
        <v>1</v>
      </c>
      <c r="I202" s="4">
        <v>1</v>
      </c>
      <c r="J202" s="4">
        <v>0</v>
      </c>
      <c r="L202" s="4">
        <v>0</v>
      </c>
      <c r="M202" s="2" t="s">
        <v>55</v>
      </c>
      <c r="N202" s="2" t="s">
        <v>56</v>
      </c>
      <c r="O202" s="2" t="s">
        <v>57</v>
      </c>
      <c r="P202" s="2" t="s">
        <v>499</v>
      </c>
      <c r="Q202" s="2" t="s">
        <v>500</v>
      </c>
      <c r="R202" s="2" t="s">
        <v>1800</v>
      </c>
      <c r="S202" s="2" t="s">
        <v>1801</v>
      </c>
      <c r="V202" s="2" t="s">
        <v>1802</v>
      </c>
      <c r="W202" s="2" t="s">
        <v>1803</v>
      </c>
      <c r="Y202" s="2" t="s">
        <v>64</v>
      </c>
      <c r="Z202" s="2" t="s">
        <v>205</v>
      </c>
      <c r="AA202" s="2" t="s">
        <v>66</v>
      </c>
      <c r="AC202" s="2" t="s">
        <v>67</v>
      </c>
      <c r="AD202" s="2" t="s">
        <v>68</v>
      </c>
      <c r="AE202" s="2" t="s">
        <v>69</v>
      </c>
      <c r="AF202" s="2" t="s">
        <v>70</v>
      </c>
      <c r="AG202" s="2" t="s">
        <v>499</v>
      </c>
      <c r="AK202" s="2" t="s">
        <v>1804</v>
      </c>
      <c r="AM202" s="2" t="s">
        <v>72</v>
      </c>
      <c r="AN202" s="2" t="s">
        <v>100</v>
      </c>
      <c r="AP202" s="2" t="s">
        <v>74</v>
      </c>
      <c r="AU202" s="2" t="s">
        <v>75</v>
      </c>
      <c r="AV202" s="2" t="s">
        <v>1805</v>
      </c>
      <c r="AW202" s="2" t="s">
        <v>1806</v>
      </c>
      <c r="AZ202" s="2" t="s">
        <v>116</v>
      </c>
    </row>
    <row r="203" spans="1:52" s="3" customFormat="1" x14ac:dyDescent="0.35">
      <c r="A203" s="2" t="s">
        <v>1807</v>
      </c>
      <c r="B203" s="4">
        <v>249239</v>
      </c>
      <c r="C203" s="2" t="s">
        <v>1808</v>
      </c>
      <c r="D203" s="2">
        <f t="shared" si="3"/>
        <v>5</v>
      </c>
      <c r="F203" s="2" t="s">
        <v>1033</v>
      </c>
      <c r="G203" s="2" t="s">
        <v>53</v>
      </c>
      <c r="H203" s="4">
        <v>1</v>
      </c>
      <c r="I203" s="4">
        <v>1</v>
      </c>
      <c r="J203" s="5">
        <v>3100</v>
      </c>
      <c r="L203" s="5">
        <v>3100</v>
      </c>
      <c r="M203" s="2" t="s">
        <v>55</v>
      </c>
      <c r="N203" s="2" t="s">
        <v>458</v>
      </c>
      <c r="O203" s="2" t="s">
        <v>459</v>
      </c>
      <c r="P203" s="2" t="s">
        <v>58</v>
      </c>
      <c r="Q203" s="2" t="s">
        <v>59</v>
      </c>
      <c r="R203" s="2" t="s">
        <v>462</v>
      </c>
      <c r="T203" s="2" t="s">
        <v>463</v>
      </c>
      <c r="U203" s="2" t="s">
        <v>464</v>
      </c>
      <c r="V203" s="2" t="s">
        <v>465</v>
      </c>
      <c r="W203" s="2" t="s">
        <v>466</v>
      </c>
      <c r="X203" s="2" t="s">
        <v>1809</v>
      </c>
      <c r="Y203" s="2" t="s">
        <v>467</v>
      </c>
      <c r="Z203" s="2" t="s">
        <v>468</v>
      </c>
      <c r="AA203" s="2" t="s">
        <v>469</v>
      </c>
      <c r="AC203" s="2" t="s">
        <v>470</v>
      </c>
      <c r="AD203" s="2" t="s">
        <v>68</v>
      </c>
      <c r="AE203" s="2" t="s">
        <v>69</v>
      </c>
      <c r="AF203" s="2" t="s">
        <v>70</v>
      </c>
      <c r="AG203" s="2" t="s">
        <v>1810</v>
      </c>
      <c r="AK203" s="2" t="s">
        <v>1811</v>
      </c>
      <c r="AM203" s="2" t="s">
        <v>72</v>
      </c>
      <c r="AN203" s="2" t="s">
        <v>473</v>
      </c>
      <c r="AP203" s="2" t="s">
        <v>74</v>
      </c>
      <c r="AU203" s="2" t="s">
        <v>75</v>
      </c>
      <c r="AV203" s="2" t="s">
        <v>475</v>
      </c>
      <c r="AW203" s="2" t="s">
        <v>476</v>
      </c>
      <c r="AX203" s="2" t="s">
        <v>477</v>
      </c>
      <c r="AZ203" s="2" t="s">
        <v>478</v>
      </c>
    </row>
    <row r="204" spans="1:52" s="3" customFormat="1" x14ac:dyDescent="0.35">
      <c r="A204" s="2" t="s">
        <v>1812</v>
      </c>
      <c r="B204" s="4">
        <v>249235</v>
      </c>
      <c r="C204" s="2" t="s">
        <v>1813</v>
      </c>
      <c r="D204" s="2">
        <f t="shared" si="3"/>
        <v>5</v>
      </c>
      <c r="F204" s="2" t="s">
        <v>1681</v>
      </c>
      <c r="G204" s="2" t="s">
        <v>53</v>
      </c>
      <c r="H204" s="4">
        <v>9</v>
      </c>
      <c r="I204" s="4">
        <v>1</v>
      </c>
      <c r="J204" s="5">
        <v>25200</v>
      </c>
      <c r="K204" s="2" t="s">
        <v>1814</v>
      </c>
      <c r="L204" s="5">
        <v>25200</v>
      </c>
      <c r="N204" s="2" t="s">
        <v>1814</v>
      </c>
      <c r="O204" s="2" t="s">
        <v>1815</v>
      </c>
      <c r="P204" s="2" t="s">
        <v>58</v>
      </c>
      <c r="Q204" s="2" t="s">
        <v>59</v>
      </c>
      <c r="R204" s="2" t="s">
        <v>1816</v>
      </c>
      <c r="S204" s="2" t="s">
        <v>1817</v>
      </c>
      <c r="V204" s="2" t="s">
        <v>1818</v>
      </c>
      <c r="W204" s="2" t="s">
        <v>1819</v>
      </c>
      <c r="Y204" s="2" t="s">
        <v>1820</v>
      </c>
      <c r="Z204" s="2" t="s">
        <v>1821</v>
      </c>
      <c r="AA204" s="2" t="s">
        <v>1822</v>
      </c>
      <c r="AC204" s="2" t="s">
        <v>1823</v>
      </c>
      <c r="AD204" s="2" t="s">
        <v>1824</v>
      </c>
      <c r="AE204" s="2" t="s">
        <v>1825</v>
      </c>
      <c r="AF204" s="2" t="s">
        <v>70</v>
      </c>
      <c r="AK204" s="2" t="s">
        <v>1826</v>
      </c>
      <c r="AL204" s="2" t="s">
        <v>1827</v>
      </c>
      <c r="AM204" s="2" t="s">
        <v>72</v>
      </c>
      <c r="AN204" s="2" t="s">
        <v>73</v>
      </c>
      <c r="AP204" s="2" t="s">
        <v>74</v>
      </c>
      <c r="AU204" s="2" t="s">
        <v>75</v>
      </c>
      <c r="AV204" s="2" t="s">
        <v>1828</v>
      </c>
      <c r="AW204" s="2" t="s">
        <v>1829</v>
      </c>
      <c r="AZ204" s="2" t="s">
        <v>77</v>
      </c>
    </row>
    <row r="205" spans="1:52" s="3" customFormat="1" x14ac:dyDescent="0.35">
      <c r="A205" s="2" t="s">
        <v>1830</v>
      </c>
      <c r="B205" s="4">
        <v>249202</v>
      </c>
      <c r="C205" s="2" t="s">
        <v>1831</v>
      </c>
      <c r="D205" s="2">
        <f t="shared" si="3"/>
        <v>5</v>
      </c>
      <c r="G205" s="2" t="s">
        <v>53</v>
      </c>
      <c r="H205" s="4">
        <v>1</v>
      </c>
      <c r="I205" s="4">
        <v>1</v>
      </c>
      <c r="J205" s="4">
        <v>0</v>
      </c>
      <c r="L205" s="4">
        <v>0</v>
      </c>
      <c r="M205" s="2" t="s">
        <v>55</v>
      </c>
      <c r="N205" s="2" t="s">
        <v>56</v>
      </c>
      <c r="O205" s="2" t="s">
        <v>57</v>
      </c>
      <c r="P205" s="2" t="s">
        <v>499</v>
      </c>
      <c r="Q205" s="2" t="s">
        <v>500</v>
      </c>
      <c r="R205" s="2" t="s">
        <v>1832</v>
      </c>
      <c r="S205" s="2" t="s">
        <v>1833</v>
      </c>
      <c r="V205" s="2" t="s">
        <v>1834</v>
      </c>
      <c r="W205" s="2" t="s">
        <v>1835</v>
      </c>
      <c r="Y205" s="2" t="s">
        <v>64</v>
      </c>
      <c r="Z205" s="2" t="s">
        <v>205</v>
      </c>
      <c r="AA205" s="2" t="s">
        <v>66</v>
      </c>
      <c r="AC205" s="2" t="s">
        <v>67</v>
      </c>
      <c r="AD205" s="2" t="s">
        <v>68</v>
      </c>
      <c r="AE205" s="2" t="s">
        <v>69</v>
      </c>
      <c r="AF205" s="2" t="s">
        <v>70</v>
      </c>
      <c r="AG205" s="2" t="s">
        <v>499</v>
      </c>
      <c r="AK205" s="2" t="s">
        <v>1836</v>
      </c>
      <c r="AM205" s="2" t="s">
        <v>72</v>
      </c>
      <c r="AN205" s="2" t="s">
        <v>100</v>
      </c>
      <c r="AP205" s="2" t="s">
        <v>74</v>
      </c>
      <c r="AU205" s="2" t="s">
        <v>75</v>
      </c>
      <c r="AW205" s="2" t="s">
        <v>1837</v>
      </c>
      <c r="AZ205" s="2" t="s">
        <v>116</v>
      </c>
    </row>
    <row r="206" spans="1:52" s="3" customFormat="1" x14ac:dyDescent="0.35">
      <c r="A206" s="2" t="s">
        <v>1838</v>
      </c>
      <c r="B206" s="4">
        <v>249143</v>
      </c>
      <c r="C206" s="2" t="s">
        <v>1839</v>
      </c>
      <c r="D206" s="2">
        <f t="shared" si="3"/>
        <v>5</v>
      </c>
      <c r="F206" s="2" t="s">
        <v>1033</v>
      </c>
      <c r="G206" s="2" t="s">
        <v>53</v>
      </c>
      <c r="H206" s="4">
        <v>1</v>
      </c>
      <c r="I206" s="4">
        <v>1</v>
      </c>
      <c r="J206" s="5">
        <v>3000</v>
      </c>
      <c r="K206" s="2" t="s">
        <v>1252</v>
      </c>
      <c r="L206" s="5">
        <v>2815.5</v>
      </c>
      <c r="M206" s="2" t="s">
        <v>55</v>
      </c>
      <c r="N206" s="2" t="s">
        <v>1253</v>
      </c>
      <c r="O206" s="2" t="s">
        <v>1254</v>
      </c>
      <c r="P206" s="2" t="s">
        <v>1840</v>
      </c>
      <c r="Q206" s="2" t="s">
        <v>1841</v>
      </c>
      <c r="R206" s="2" t="s">
        <v>1842</v>
      </c>
      <c r="T206" s="2" t="s">
        <v>1843</v>
      </c>
      <c r="U206" s="2" t="s">
        <v>1844</v>
      </c>
      <c r="V206" s="2" t="s">
        <v>1845</v>
      </c>
      <c r="W206" s="2" t="s">
        <v>1846</v>
      </c>
      <c r="X206" s="2" t="s">
        <v>1847</v>
      </c>
      <c r="Y206" s="2" t="s">
        <v>1848</v>
      </c>
      <c r="Z206" s="2" t="s">
        <v>1849</v>
      </c>
      <c r="AA206" s="2" t="s">
        <v>1850</v>
      </c>
      <c r="AB206" s="2" t="s">
        <v>1851</v>
      </c>
      <c r="AC206" s="2" t="s">
        <v>1852</v>
      </c>
      <c r="AD206" s="2" t="s">
        <v>1853</v>
      </c>
      <c r="AE206" s="2" t="s">
        <v>69</v>
      </c>
      <c r="AF206" s="2" t="s">
        <v>70</v>
      </c>
      <c r="AG206" s="2" t="s">
        <v>1854</v>
      </c>
      <c r="AK206" s="2" t="s">
        <v>1855</v>
      </c>
      <c r="AM206" s="2" t="s">
        <v>72</v>
      </c>
      <c r="AN206" s="2" t="s">
        <v>403</v>
      </c>
      <c r="AP206" s="2" t="s">
        <v>1856</v>
      </c>
      <c r="AU206" s="2" t="s">
        <v>75</v>
      </c>
      <c r="AV206" s="2" t="s">
        <v>1681</v>
      </c>
      <c r="AW206" s="2" t="s">
        <v>1857</v>
      </c>
      <c r="AX206" s="2" t="s">
        <v>477</v>
      </c>
      <c r="AZ206" s="2" t="s">
        <v>478</v>
      </c>
    </row>
    <row r="207" spans="1:52" s="3" customFormat="1" x14ac:dyDescent="0.35">
      <c r="A207" s="2" t="s">
        <v>1858</v>
      </c>
      <c r="B207" s="4">
        <v>249140</v>
      </c>
      <c r="C207" s="2" t="s">
        <v>1859</v>
      </c>
      <c r="D207" s="2">
        <f t="shared" si="3"/>
        <v>5</v>
      </c>
      <c r="F207" s="2" t="s">
        <v>1033</v>
      </c>
      <c r="G207" s="2" t="s">
        <v>53</v>
      </c>
      <c r="H207" s="4">
        <v>2</v>
      </c>
      <c r="I207" s="4">
        <v>1</v>
      </c>
      <c r="J207" s="5">
        <v>4000</v>
      </c>
      <c r="K207" s="2" t="s">
        <v>1252</v>
      </c>
      <c r="L207" s="5">
        <v>4000</v>
      </c>
      <c r="M207" s="2" t="s">
        <v>55</v>
      </c>
      <c r="N207" s="2" t="s">
        <v>1253</v>
      </c>
      <c r="O207" s="2" t="s">
        <v>1254</v>
      </c>
      <c r="P207" s="2" t="s">
        <v>509</v>
      </c>
      <c r="Q207" s="2" t="s">
        <v>510</v>
      </c>
      <c r="R207" s="2" t="s">
        <v>1860</v>
      </c>
      <c r="T207" s="2" t="s">
        <v>1861</v>
      </c>
      <c r="U207" s="2" t="s">
        <v>1862</v>
      </c>
      <c r="V207" s="2" t="s">
        <v>1863</v>
      </c>
      <c r="W207" s="2" t="s">
        <v>1864</v>
      </c>
      <c r="X207" s="2" t="s">
        <v>1865</v>
      </c>
      <c r="Y207" s="2" t="s">
        <v>1866</v>
      </c>
      <c r="Z207" s="2" t="s">
        <v>1867</v>
      </c>
      <c r="AA207" s="2" t="s">
        <v>1868</v>
      </c>
      <c r="AB207" s="2" t="s">
        <v>1869</v>
      </c>
      <c r="AC207" s="2" t="s">
        <v>1870</v>
      </c>
      <c r="AD207" s="2" t="s">
        <v>1402</v>
      </c>
      <c r="AE207" s="2" t="s">
        <v>1403</v>
      </c>
      <c r="AF207" s="2" t="s">
        <v>70</v>
      </c>
      <c r="AG207" s="2" t="s">
        <v>509</v>
      </c>
      <c r="AK207" s="2" t="s">
        <v>1871</v>
      </c>
      <c r="AM207" s="2" t="s">
        <v>72</v>
      </c>
      <c r="AN207" s="2" t="s">
        <v>403</v>
      </c>
      <c r="AP207" s="2" t="s">
        <v>74</v>
      </c>
      <c r="AU207" s="2" t="s">
        <v>75</v>
      </c>
      <c r="AV207" s="2" t="s">
        <v>1872</v>
      </c>
      <c r="AW207" s="2" t="s">
        <v>1873</v>
      </c>
      <c r="AX207" s="2" t="s">
        <v>477</v>
      </c>
      <c r="AZ207" s="2" t="s">
        <v>478</v>
      </c>
    </row>
    <row r="208" spans="1:52" s="3" customFormat="1" x14ac:dyDescent="0.35">
      <c r="A208" s="2" t="s">
        <v>1874</v>
      </c>
      <c r="B208" s="4">
        <v>249138</v>
      </c>
      <c r="C208" s="2" t="s">
        <v>1875</v>
      </c>
      <c r="D208" s="2">
        <f t="shared" si="3"/>
        <v>5</v>
      </c>
      <c r="F208" s="2" t="s">
        <v>1681</v>
      </c>
      <c r="G208" s="2" t="s">
        <v>53</v>
      </c>
      <c r="H208" s="4">
        <v>1</v>
      </c>
      <c r="I208" s="4">
        <v>1</v>
      </c>
      <c r="J208" s="4">
        <v>0</v>
      </c>
      <c r="L208" s="4">
        <v>0</v>
      </c>
      <c r="M208" s="2" t="s">
        <v>55</v>
      </c>
      <c r="N208" s="2" t="s">
        <v>56</v>
      </c>
      <c r="O208" s="2" t="s">
        <v>57</v>
      </c>
      <c r="P208" s="2" t="s">
        <v>106</v>
      </c>
      <c r="Q208" s="2" t="s">
        <v>107</v>
      </c>
      <c r="R208" s="2" t="s">
        <v>1876</v>
      </c>
      <c r="S208" s="2" t="s">
        <v>1877</v>
      </c>
      <c r="V208" s="2" t="s">
        <v>1878</v>
      </c>
      <c r="W208" s="2" t="s">
        <v>1879</v>
      </c>
      <c r="Y208" s="2" t="s">
        <v>64</v>
      </c>
      <c r="Z208" s="2" t="s">
        <v>205</v>
      </c>
      <c r="AA208" s="2" t="s">
        <v>66</v>
      </c>
      <c r="AC208" s="2" t="s">
        <v>67</v>
      </c>
      <c r="AD208" s="2" t="s">
        <v>68</v>
      </c>
      <c r="AE208" s="2" t="s">
        <v>69</v>
      </c>
      <c r="AF208" s="2" t="s">
        <v>70</v>
      </c>
      <c r="AG208" s="2" t="s">
        <v>106</v>
      </c>
      <c r="AK208" s="2" t="s">
        <v>1880</v>
      </c>
      <c r="AM208" s="2" t="s">
        <v>72</v>
      </c>
      <c r="AN208" s="2" t="s">
        <v>1046</v>
      </c>
      <c r="AP208" s="2" t="s">
        <v>113</v>
      </c>
      <c r="AT208" s="2" t="s">
        <v>114</v>
      </c>
      <c r="AU208" s="2" t="s">
        <v>75</v>
      </c>
      <c r="AW208" s="2" t="s">
        <v>1881</v>
      </c>
      <c r="AZ208" s="2" t="s">
        <v>116</v>
      </c>
    </row>
    <row r="209" spans="1:52" s="3" customFormat="1" x14ac:dyDescent="0.35">
      <c r="A209" s="2" t="s">
        <v>1882</v>
      </c>
      <c r="B209" s="4">
        <v>249113</v>
      </c>
      <c r="C209" s="2" t="s">
        <v>1883</v>
      </c>
      <c r="D209" s="2">
        <f t="shared" si="3"/>
        <v>5</v>
      </c>
      <c r="F209" s="2" t="s">
        <v>1884</v>
      </c>
      <c r="G209" s="2" t="s">
        <v>53</v>
      </c>
      <c r="H209" s="4">
        <v>1</v>
      </c>
      <c r="I209" s="4">
        <v>1</v>
      </c>
      <c r="J209" s="4">
        <v>0</v>
      </c>
      <c r="L209" s="4">
        <v>0</v>
      </c>
      <c r="M209" s="2" t="s">
        <v>55</v>
      </c>
      <c r="N209" s="2" t="s">
        <v>56</v>
      </c>
      <c r="O209" s="2" t="s">
        <v>57</v>
      </c>
      <c r="P209" s="2" t="s">
        <v>106</v>
      </c>
      <c r="Q209" s="2" t="s">
        <v>107</v>
      </c>
      <c r="R209" s="2" t="s">
        <v>1885</v>
      </c>
      <c r="S209" s="2" t="s">
        <v>1886</v>
      </c>
      <c r="V209" s="2" t="s">
        <v>1887</v>
      </c>
      <c r="W209" s="2" t="s">
        <v>1888</v>
      </c>
      <c r="Y209" s="2" t="s">
        <v>64</v>
      </c>
      <c r="Z209" s="2" t="s">
        <v>205</v>
      </c>
      <c r="AA209" s="2" t="s">
        <v>66</v>
      </c>
      <c r="AC209" s="2" t="s">
        <v>67</v>
      </c>
      <c r="AD209" s="2" t="s">
        <v>68</v>
      </c>
      <c r="AE209" s="2" t="s">
        <v>69</v>
      </c>
      <c r="AF209" s="2" t="s">
        <v>70</v>
      </c>
      <c r="AG209" s="2" t="s">
        <v>106</v>
      </c>
      <c r="AK209" s="2" t="s">
        <v>1889</v>
      </c>
      <c r="AM209" s="2" t="s">
        <v>72</v>
      </c>
      <c r="AN209" s="2" t="s">
        <v>73</v>
      </c>
      <c r="AP209" s="2" t="s">
        <v>113</v>
      </c>
      <c r="AT209" s="2" t="s">
        <v>114</v>
      </c>
      <c r="AU209" s="2" t="s">
        <v>75</v>
      </c>
      <c r="AW209" s="2" t="s">
        <v>1890</v>
      </c>
      <c r="AZ209" s="2" t="s">
        <v>116</v>
      </c>
    </row>
    <row r="210" spans="1:52" s="3" customFormat="1" x14ac:dyDescent="0.35">
      <c r="A210" s="2" t="s">
        <v>1891</v>
      </c>
      <c r="B210" s="4">
        <v>249107</v>
      </c>
      <c r="C210" s="2" t="s">
        <v>1892</v>
      </c>
      <c r="D210" s="2">
        <f t="shared" si="3"/>
        <v>5</v>
      </c>
      <c r="F210" s="2" t="s">
        <v>1884</v>
      </c>
      <c r="G210" s="2" t="s">
        <v>53</v>
      </c>
      <c r="H210" s="4">
        <v>2</v>
      </c>
      <c r="I210" s="4">
        <v>1</v>
      </c>
      <c r="J210" s="5">
        <v>6000</v>
      </c>
      <c r="K210" s="2" t="s">
        <v>1252</v>
      </c>
      <c r="L210" s="5">
        <v>6000</v>
      </c>
      <c r="M210" s="2" t="s">
        <v>55</v>
      </c>
      <c r="N210" s="2" t="s">
        <v>1253</v>
      </c>
      <c r="O210" s="2" t="s">
        <v>1254</v>
      </c>
      <c r="P210" s="2" t="s">
        <v>58</v>
      </c>
      <c r="Q210" s="2" t="s">
        <v>59</v>
      </c>
      <c r="R210" s="2" t="s">
        <v>1893</v>
      </c>
      <c r="T210" s="2" t="s">
        <v>1894</v>
      </c>
      <c r="U210" s="2" t="s">
        <v>1895</v>
      </c>
      <c r="V210" s="2" t="s">
        <v>1896</v>
      </c>
      <c r="W210" s="2" t="s">
        <v>1897</v>
      </c>
      <c r="X210" s="2" t="s">
        <v>1898</v>
      </c>
      <c r="Y210" s="2" t="s">
        <v>1899</v>
      </c>
      <c r="Z210" s="2" t="s">
        <v>1900</v>
      </c>
      <c r="AA210" s="2" t="s">
        <v>1901</v>
      </c>
      <c r="AC210" s="2" t="s">
        <v>1902</v>
      </c>
      <c r="AD210" s="2" t="s">
        <v>1903</v>
      </c>
      <c r="AE210" s="2" t="s">
        <v>69</v>
      </c>
      <c r="AF210" s="2" t="s">
        <v>70</v>
      </c>
      <c r="AG210" s="2" t="s">
        <v>58</v>
      </c>
      <c r="AK210" s="2" t="s">
        <v>1904</v>
      </c>
      <c r="AM210" s="2" t="s">
        <v>72</v>
      </c>
      <c r="AN210" s="2" t="s">
        <v>403</v>
      </c>
      <c r="AP210" s="2" t="s">
        <v>74</v>
      </c>
      <c r="AU210" s="2" t="s">
        <v>75</v>
      </c>
      <c r="AV210" s="2" t="s">
        <v>1905</v>
      </c>
      <c r="AW210" s="2" t="s">
        <v>1906</v>
      </c>
      <c r="AX210" s="2" t="s">
        <v>477</v>
      </c>
      <c r="AZ210" s="2" t="s">
        <v>478</v>
      </c>
    </row>
    <row r="211" spans="1:52" s="3" customFormat="1" x14ac:dyDescent="0.35">
      <c r="A211" s="2" t="s">
        <v>1907</v>
      </c>
      <c r="B211" s="4">
        <v>249106</v>
      </c>
      <c r="C211" s="2" t="s">
        <v>1908</v>
      </c>
      <c r="D211" s="2">
        <f t="shared" si="3"/>
        <v>5</v>
      </c>
      <c r="F211" s="2" t="s">
        <v>1884</v>
      </c>
      <c r="G211" s="2" t="s">
        <v>53</v>
      </c>
      <c r="H211" s="4">
        <v>2</v>
      </c>
      <c r="I211" s="4">
        <v>1</v>
      </c>
      <c r="J211" s="5">
        <v>6000</v>
      </c>
      <c r="K211" s="2" t="s">
        <v>1252</v>
      </c>
      <c r="L211" s="5">
        <v>6000</v>
      </c>
      <c r="M211" s="2" t="s">
        <v>55</v>
      </c>
      <c r="N211" s="2" t="s">
        <v>1253</v>
      </c>
      <c r="O211" s="2" t="s">
        <v>1254</v>
      </c>
      <c r="P211" s="2" t="s">
        <v>58</v>
      </c>
      <c r="Q211" s="2" t="s">
        <v>59</v>
      </c>
      <c r="R211" s="2" t="s">
        <v>1893</v>
      </c>
      <c r="T211" s="2" t="s">
        <v>1909</v>
      </c>
      <c r="U211" s="2" t="s">
        <v>1910</v>
      </c>
      <c r="V211" s="2" t="s">
        <v>1896</v>
      </c>
      <c r="W211" s="2" t="s">
        <v>1897</v>
      </c>
      <c r="X211" s="2" t="s">
        <v>1911</v>
      </c>
      <c r="Y211" s="2" t="s">
        <v>1912</v>
      </c>
      <c r="Z211" s="2" t="s">
        <v>1900</v>
      </c>
      <c r="AA211" s="2" t="s">
        <v>1901</v>
      </c>
      <c r="AC211" s="2" t="s">
        <v>1913</v>
      </c>
      <c r="AD211" s="2" t="s">
        <v>1903</v>
      </c>
      <c r="AE211" s="2" t="s">
        <v>69</v>
      </c>
      <c r="AF211" s="2" t="s">
        <v>70</v>
      </c>
      <c r="AG211" s="2" t="s">
        <v>58</v>
      </c>
      <c r="AK211" s="2" t="s">
        <v>1914</v>
      </c>
      <c r="AM211" s="2" t="s">
        <v>72</v>
      </c>
      <c r="AN211" s="2" t="s">
        <v>403</v>
      </c>
      <c r="AP211" s="2" t="s">
        <v>74</v>
      </c>
      <c r="AU211" s="2" t="s">
        <v>75</v>
      </c>
      <c r="AV211" s="2" t="s">
        <v>1915</v>
      </c>
      <c r="AW211" s="2" t="s">
        <v>1916</v>
      </c>
      <c r="AX211" s="2" t="s">
        <v>477</v>
      </c>
      <c r="AZ211" s="2" t="s">
        <v>478</v>
      </c>
    </row>
    <row r="212" spans="1:52" s="3" customFormat="1" x14ac:dyDescent="0.35">
      <c r="A212" s="2" t="s">
        <v>1917</v>
      </c>
      <c r="B212" s="4">
        <v>249100</v>
      </c>
      <c r="C212" s="2" t="s">
        <v>1918</v>
      </c>
      <c r="D212" s="2">
        <f t="shared" si="3"/>
        <v>5</v>
      </c>
      <c r="F212" s="2" t="s">
        <v>1884</v>
      </c>
      <c r="G212" s="2" t="s">
        <v>53</v>
      </c>
      <c r="H212" s="4">
        <v>1</v>
      </c>
      <c r="I212" s="4">
        <v>1</v>
      </c>
      <c r="J212" s="5">
        <v>1999</v>
      </c>
      <c r="K212" s="2" t="s">
        <v>1252</v>
      </c>
      <c r="L212" s="5">
        <v>1999</v>
      </c>
      <c r="M212" s="2" t="s">
        <v>55</v>
      </c>
      <c r="N212" s="2" t="s">
        <v>1253</v>
      </c>
      <c r="O212" s="2" t="s">
        <v>1254</v>
      </c>
      <c r="P212" s="2" t="s">
        <v>509</v>
      </c>
      <c r="Q212" s="2" t="s">
        <v>510</v>
      </c>
      <c r="R212" s="2" t="s">
        <v>1919</v>
      </c>
      <c r="T212" s="2" t="s">
        <v>1920</v>
      </c>
      <c r="U212" s="2" t="s">
        <v>1921</v>
      </c>
      <c r="V212" s="2" t="s">
        <v>1922</v>
      </c>
      <c r="W212" s="2" t="s">
        <v>1923</v>
      </c>
      <c r="X212" s="2" t="s">
        <v>1924</v>
      </c>
      <c r="Y212" s="2" t="s">
        <v>1925</v>
      </c>
      <c r="Z212" s="2" t="s">
        <v>1926</v>
      </c>
      <c r="AA212" s="2" t="s">
        <v>1927</v>
      </c>
      <c r="AB212" s="2" t="s">
        <v>1928</v>
      </c>
      <c r="AC212" s="2" t="s">
        <v>1929</v>
      </c>
      <c r="AD212" s="2" t="s">
        <v>68</v>
      </c>
      <c r="AE212" s="2" t="s">
        <v>69</v>
      </c>
      <c r="AF212" s="2" t="s">
        <v>70</v>
      </c>
      <c r="AG212" s="2" t="s">
        <v>509</v>
      </c>
      <c r="AK212" s="2" t="s">
        <v>1930</v>
      </c>
      <c r="AM212" s="2" t="s">
        <v>72</v>
      </c>
      <c r="AN212" s="2" t="s">
        <v>403</v>
      </c>
      <c r="AP212" s="2" t="s">
        <v>74</v>
      </c>
      <c r="AU212" s="2" t="s">
        <v>75</v>
      </c>
      <c r="AV212" s="2" t="s">
        <v>1931</v>
      </c>
      <c r="AW212" s="2" t="s">
        <v>1932</v>
      </c>
      <c r="AX212" s="2" t="s">
        <v>477</v>
      </c>
      <c r="AZ212" s="2" t="s">
        <v>478</v>
      </c>
    </row>
    <row r="213" spans="1:52" s="3" customFormat="1" x14ac:dyDescent="0.35">
      <c r="A213" s="2" t="s">
        <v>1933</v>
      </c>
      <c r="B213" s="4">
        <v>249084</v>
      </c>
      <c r="C213" s="2" t="s">
        <v>1934</v>
      </c>
      <c r="D213" s="2">
        <f t="shared" si="3"/>
        <v>5</v>
      </c>
      <c r="G213" s="2" t="s">
        <v>53</v>
      </c>
      <c r="H213" s="4">
        <v>1</v>
      </c>
      <c r="I213" s="4">
        <v>1</v>
      </c>
      <c r="J213" s="4">
        <v>0</v>
      </c>
      <c r="L213" s="4">
        <v>0</v>
      </c>
      <c r="M213" s="2" t="s">
        <v>55</v>
      </c>
      <c r="N213" s="2" t="s">
        <v>56</v>
      </c>
      <c r="O213" s="2" t="s">
        <v>57</v>
      </c>
      <c r="P213" s="2" t="s">
        <v>509</v>
      </c>
      <c r="Q213" s="2" t="s">
        <v>510</v>
      </c>
      <c r="R213" s="2" t="s">
        <v>1935</v>
      </c>
      <c r="S213" s="2" t="s">
        <v>1936</v>
      </c>
      <c r="V213" s="2" t="s">
        <v>1937</v>
      </c>
      <c r="W213" s="2" t="s">
        <v>1938</v>
      </c>
      <c r="Y213" s="2" t="s">
        <v>64</v>
      </c>
      <c r="Z213" s="2" t="s">
        <v>65</v>
      </c>
      <c r="AA213" s="2" t="s">
        <v>66</v>
      </c>
      <c r="AC213" s="2" t="s">
        <v>67</v>
      </c>
      <c r="AD213" s="2" t="s">
        <v>68</v>
      </c>
      <c r="AE213" s="2" t="s">
        <v>69</v>
      </c>
      <c r="AF213" s="2" t="s">
        <v>70</v>
      </c>
      <c r="AG213" s="2" t="s">
        <v>509</v>
      </c>
      <c r="AK213" s="2" t="s">
        <v>1939</v>
      </c>
      <c r="AM213" s="2" t="s">
        <v>72</v>
      </c>
      <c r="AN213" s="2" t="s">
        <v>73</v>
      </c>
      <c r="AP213" s="2" t="s">
        <v>74</v>
      </c>
      <c r="AU213" s="2" t="s">
        <v>75</v>
      </c>
      <c r="AW213" s="2" t="s">
        <v>1940</v>
      </c>
      <c r="AZ213" s="2" t="s">
        <v>116</v>
      </c>
    </row>
    <row r="214" spans="1:52" s="3" customFormat="1" x14ac:dyDescent="0.35">
      <c r="A214" s="2" t="s">
        <v>1941</v>
      </c>
      <c r="B214" s="4">
        <v>249083</v>
      </c>
      <c r="C214" s="2" t="s">
        <v>1942</v>
      </c>
      <c r="D214" s="2">
        <f t="shared" si="3"/>
        <v>5</v>
      </c>
      <c r="F214" s="2" t="s">
        <v>1884</v>
      </c>
      <c r="G214" s="2" t="s">
        <v>53</v>
      </c>
      <c r="H214" s="4">
        <v>1</v>
      </c>
      <c r="I214" s="4">
        <v>1</v>
      </c>
      <c r="J214" s="4">
        <v>0</v>
      </c>
      <c r="L214" s="4">
        <v>0</v>
      </c>
      <c r="M214" s="2" t="s">
        <v>55</v>
      </c>
      <c r="N214" s="2" t="s">
        <v>56</v>
      </c>
      <c r="O214" s="2" t="s">
        <v>57</v>
      </c>
      <c r="P214" s="2" t="s">
        <v>106</v>
      </c>
      <c r="Q214" s="2" t="s">
        <v>107</v>
      </c>
      <c r="R214" s="2" t="s">
        <v>1943</v>
      </c>
      <c r="S214" s="2" t="s">
        <v>1944</v>
      </c>
      <c r="V214" s="2" t="s">
        <v>1945</v>
      </c>
      <c r="W214" s="2" t="s">
        <v>1946</v>
      </c>
      <c r="Y214" s="2" t="s">
        <v>64</v>
      </c>
      <c r="Z214" s="2" t="s">
        <v>65</v>
      </c>
      <c r="AA214" s="2" t="s">
        <v>66</v>
      </c>
      <c r="AC214" s="2" t="s">
        <v>67</v>
      </c>
      <c r="AD214" s="2" t="s">
        <v>68</v>
      </c>
      <c r="AE214" s="2" t="s">
        <v>69</v>
      </c>
      <c r="AF214" s="2" t="s">
        <v>70</v>
      </c>
      <c r="AG214" s="2" t="s">
        <v>106</v>
      </c>
      <c r="AK214" s="2" t="s">
        <v>1947</v>
      </c>
      <c r="AM214" s="2" t="s">
        <v>72</v>
      </c>
      <c r="AN214" s="2" t="s">
        <v>344</v>
      </c>
      <c r="AP214" s="2" t="s">
        <v>113</v>
      </c>
      <c r="AT214" s="2" t="s">
        <v>114</v>
      </c>
      <c r="AU214" s="2" t="s">
        <v>75</v>
      </c>
      <c r="AW214" s="2" t="s">
        <v>1948</v>
      </c>
      <c r="AZ214" s="2" t="s">
        <v>116</v>
      </c>
    </row>
    <row r="215" spans="1:52" s="3" customFormat="1" x14ac:dyDescent="0.35">
      <c r="A215" s="2" t="s">
        <v>1949</v>
      </c>
      <c r="B215" s="4">
        <v>249079</v>
      </c>
      <c r="C215" s="2" t="s">
        <v>1950</v>
      </c>
      <c r="D215" s="2">
        <f t="shared" si="3"/>
        <v>5</v>
      </c>
      <c r="F215" s="2" t="s">
        <v>1884</v>
      </c>
      <c r="G215" s="2" t="s">
        <v>53</v>
      </c>
      <c r="H215" s="4">
        <v>1</v>
      </c>
      <c r="I215" s="4">
        <v>1</v>
      </c>
      <c r="J215" s="4">
        <v>0</v>
      </c>
      <c r="L215" s="4">
        <v>0</v>
      </c>
      <c r="M215" s="2" t="s">
        <v>55</v>
      </c>
      <c r="N215" s="2" t="s">
        <v>56</v>
      </c>
      <c r="O215" s="2" t="s">
        <v>57</v>
      </c>
      <c r="P215" s="2" t="s">
        <v>58</v>
      </c>
      <c r="Q215" s="2" t="s">
        <v>59</v>
      </c>
      <c r="R215" s="2" t="s">
        <v>1951</v>
      </c>
      <c r="S215" s="2" t="s">
        <v>1952</v>
      </c>
      <c r="V215" s="2" t="s">
        <v>1953</v>
      </c>
      <c r="W215" s="2" t="s">
        <v>1954</v>
      </c>
      <c r="Y215" s="2" t="s">
        <v>64</v>
      </c>
      <c r="Z215" s="2" t="s">
        <v>205</v>
      </c>
      <c r="AA215" s="2" t="s">
        <v>66</v>
      </c>
      <c r="AC215" s="2" t="s">
        <v>67</v>
      </c>
      <c r="AD215" s="2" t="s">
        <v>68</v>
      </c>
      <c r="AE215" s="2" t="s">
        <v>69</v>
      </c>
      <c r="AF215" s="2" t="s">
        <v>70</v>
      </c>
      <c r="AG215" s="2" t="s">
        <v>58</v>
      </c>
      <c r="AK215" s="2" t="s">
        <v>1955</v>
      </c>
      <c r="AM215" s="2" t="s">
        <v>72</v>
      </c>
      <c r="AN215" s="2" t="s">
        <v>232</v>
      </c>
      <c r="AP215" s="2" t="s">
        <v>74</v>
      </c>
      <c r="AU215" s="2" t="s">
        <v>75</v>
      </c>
      <c r="AW215" s="2" t="s">
        <v>1956</v>
      </c>
      <c r="AZ215" s="2" t="s">
        <v>116</v>
      </c>
    </row>
    <row r="216" spans="1:52" s="3" customFormat="1" x14ac:dyDescent="0.35">
      <c r="A216" s="2" t="s">
        <v>1957</v>
      </c>
      <c r="B216" s="4">
        <v>249063</v>
      </c>
      <c r="C216" s="2" t="s">
        <v>1958</v>
      </c>
      <c r="D216" s="2">
        <f t="shared" si="3"/>
        <v>5</v>
      </c>
      <c r="F216" s="2" t="s">
        <v>1884</v>
      </c>
      <c r="G216" s="2" t="s">
        <v>53</v>
      </c>
      <c r="H216" s="4">
        <v>1</v>
      </c>
      <c r="I216" s="4">
        <v>1</v>
      </c>
      <c r="J216" s="4">
        <v>0</v>
      </c>
      <c r="L216" s="4">
        <v>0</v>
      </c>
      <c r="M216" s="2" t="s">
        <v>55</v>
      </c>
      <c r="N216" s="2" t="s">
        <v>56</v>
      </c>
      <c r="O216" s="2" t="s">
        <v>57</v>
      </c>
      <c r="P216" s="2" t="s">
        <v>58</v>
      </c>
      <c r="Q216" s="2" t="s">
        <v>59</v>
      </c>
      <c r="R216" s="2" t="s">
        <v>1959</v>
      </c>
      <c r="S216" s="2" t="s">
        <v>1960</v>
      </c>
      <c r="V216" s="2" t="s">
        <v>1961</v>
      </c>
      <c r="W216" s="2" t="s">
        <v>1962</v>
      </c>
      <c r="Y216" s="2" t="s">
        <v>64</v>
      </c>
      <c r="Z216" s="2" t="s">
        <v>65</v>
      </c>
      <c r="AA216" s="2" t="s">
        <v>66</v>
      </c>
      <c r="AC216" s="2" t="s">
        <v>67</v>
      </c>
      <c r="AD216" s="2" t="s">
        <v>68</v>
      </c>
      <c r="AE216" s="2" t="s">
        <v>69</v>
      </c>
      <c r="AF216" s="2" t="s">
        <v>70</v>
      </c>
      <c r="AG216" s="2" t="s">
        <v>58</v>
      </c>
      <c r="AK216" s="2" t="s">
        <v>1963</v>
      </c>
      <c r="AM216" s="2" t="s">
        <v>72</v>
      </c>
      <c r="AN216" s="2" t="s">
        <v>403</v>
      </c>
      <c r="AP216" s="2" t="s">
        <v>74</v>
      </c>
      <c r="AU216" s="2" t="s">
        <v>75</v>
      </c>
      <c r="AW216" s="2" t="s">
        <v>1964</v>
      </c>
      <c r="AZ216" s="2" t="s">
        <v>116</v>
      </c>
    </row>
    <row r="217" spans="1:52" s="3" customFormat="1" x14ac:dyDescent="0.35">
      <c r="A217" s="2" t="s">
        <v>1965</v>
      </c>
      <c r="B217" s="4">
        <v>249062</v>
      </c>
      <c r="C217" s="2" t="s">
        <v>1966</v>
      </c>
      <c r="D217" s="2">
        <f t="shared" si="3"/>
        <v>5</v>
      </c>
      <c r="F217" s="2" t="s">
        <v>1884</v>
      </c>
      <c r="G217" s="2" t="s">
        <v>53</v>
      </c>
      <c r="H217" s="4">
        <v>1</v>
      </c>
      <c r="I217" s="4">
        <v>1</v>
      </c>
      <c r="J217" s="4">
        <v>0</v>
      </c>
      <c r="L217" s="4">
        <v>0</v>
      </c>
      <c r="M217" s="2" t="s">
        <v>55</v>
      </c>
      <c r="N217" s="2" t="s">
        <v>56</v>
      </c>
      <c r="O217" s="2" t="s">
        <v>57</v>
      </c>
      <c r="P217" s="2" t="s">
        <v>58</v>
      </c>
      <c r="Q217" s="2" t="s">
        <v>59</v>
      </c>
      <c r="R217" s="2" t="s">
        <v>1967</v>
      </c>
      <c r="S217" s="2" t="s">
        <v>1968</v>
      </c>
      <c r="V217" s="2" t="s">
        <v>1969</v>
      </c>
      <c r="W217" s="2" t="s">
        <v>1970</v>
      </c>
      <c r="Y217" s="2" t="s">
        <v>64</v>
      </c>
      <c r="Z217" s="2" t="s">
        <v>65</v>
      </c>
      <c r="AA217" s="2" t="s">
        <v>66</v>
      </c>
      <c r="AC217" s="2" t="s">
        <v>67</v>
      </c>
      <c r="AD217" s="2" t="s">
        <v>68</v>
      </c>
      <c r="AE217" s="2" t="s">
        <v>69</v>
      </c>
      <c r="AF217" s="2" t="s">
        <v>70</v>
      </c>
      <c r="AG217" s="2" t="s">
        <v>58</v>
      </c>
      <c r="AK217" s="2" t="s">
        <v>1971</v>
      </c>
      <c r="AM217" s="2" t="s">
        <v>72</v>
      </c>
      <c r="AN217" s="2" t="s">
        <v>403</v>
      </c>
      <c r="AP217" s="2" t="s">
        <v>74</v>
      </c>
      <c r="AU217" s="2" t="s">
        <v>75</v>
      </c>
      <c r="AW217" s="2" t="s">
        <v>1972</v>
      </c>
      <c r="AZ217" s="2" t="s">
        <v>116</v>
      </c>
    </row>
    <row r="218" spans="1:52" s="3" customFormat="1" x14ac:dyDescent="0.35">
      <c r="A218" s="2" t="s">
        <v>1973</v>
      </c>
      <c r="B218" s="4">
        <v>249060</v>
      </c>
      <c r="C218" s="2" t="s">
        <v>1974</v>
      </c>
      <c r="D218" s="2">
        <f t="shared" si="3"/>
        <v>5</v>
      </c>
      <c r="G218" s="2" t="s">
        <v>53</v>
      </c>
      <c r="H218" s="4">
        <v>1</v>
      </c>
      <c r="I218" s="4">
        <v>1</v>
      </c>
      <c r="J218" s="4">
        <v>0</v>
      </c>
      <c r="L218" s="4">
        <v>0</v>
      </c>
      <c r="M218" s="2" t="s">
        <v>55</v>
      </c>
      <c r="N218" s="2" t="s">
        <v>56</v>
      </c>
      <c r="O218" s="2" t="s">
        <v>57</v>
      </c>
      <c r="P218" s="2" t="s">
        <v>499</v>
      </c>
      <c r="Q218" s="2" t="s">
        <v>500</v>
      </c>
      <c r="R218" s="2" t="s">
        <v>1975</v>
      </c>
      <c r="S218" s="2" t="s">
        <v>1976</v>
      </c>
      <c r="V218" s="2" t="s">
        <v>1977</v>
      </c>
      <c r="W218" s="2" t="s">
        <v>1978</v>
      </c>
      <c r="Y218" s="2" t="s">
        <v>64</v>
      </c>
      <c r="Z218" s="2" t="s">
        <v>205</v>
      </c>
      <c r="AA218" s="2" t="s">
        <v>66</v>
      </c>
      <c r="AC218" s="2" t="s">
        <v>67</v>
      </c>
      <c r="AD218" s="2" t="s">
        <v>68</v>
      </c>
      <c r="AE218" s="2" t="s">
        <v>69</v>
      </c>
      <c r="AF218" s="2" t="s">
        <v>70</v>
      </c>
      <c r="AG218" s="2" t="s">
        <v>499</v>
      </c>
      <c r="AK218" s="2" t="s">
        <v>1979</v>
      </c>
      <c r="AM218" s="2" t="s">
        <v>72</v>
      </c>
      <c r="AN218" s="2" t="s">
        <v>73</v>
      </c>
      <c r="AP218" s="2" t="s">
        <v>74</v>
      </c>
      <c r="AU218" s="2" t="s">
        <v>75</v>
      </c>
      <c r="AW218" s="2" t="s">
        <v>1980</v>
      </c>
      <c r="AZ218" s="2" t="s">
        <v>116</v>
      </c>
    </row>
    <row r="219" spans="1:52" s="3" customFormat="1" x14ac:dyDescent="0.35">
      <c r="A219" s="2" t="s">
        <v>1981</v>
      </c>
      <c r="B219" s="4">
        <v>249059</v>
      </c>
      <c r="C219" s="2" t="s">
        <v>1982</v>
      </c>
      <c r="D219" s="2">
        <f t="shared" si="3"/>
        <v>5</v>
      </c>
      <c r="G219" s="2" t="s">
        <v>53</v>
      </c>
      <c r="H219" s="4">
        <v>1</v>
      </c>
      <c r="I219" s="4">
        <v>1</v>
      </c>
      <c r="J219" s="4">
        <v>0</v>
      </c>
      <c r="L219" s="4">
        <v>0</v>
      </c>
      <c r="M219" s="2" t="s">
        <v>55</v>
      </c>
      <c r="N219" s="2" t="s">
        <v>56</v>
      </c>
      <c r="O219" s="2" t="s">
        <v>57</v>
      </c>
      <c r="P219" s="2" t="s">
        <v>499</v>
      </c>
      <c r="Q219" s="2" t="s">
        <v>500</v>
      </c>
      <c r="R219" s="2" t="s">
        <v>1983</v>
      </c>
      <c r="S219" s="2" t="s">
        <v>1984</v>
      </c>
      <c r="V219" s="2" t="s">
        <v>1985</v>
      </c>
      <c r="W219" s="2" t="s">
        <v>1986</v>
      </c>
      <c r="Y219" s="2" t="s">
        <v>64</v>
      </c>
      <c r="Z219" s="2" t="s">
        <v>65</v>
      </c>
      <c r="AA219" s="2" t="s">
        <v>66</v>
      </c>
      <c r="AC219" s="2" t="s">
        <v>67</v>
      </c>
      <c r="AD219" s="2" t="s">
        <v>68</v>
      </c>
      <c r="AE219" s="2" t="s">
        <v>69</v>
      </c>
      <c r="AF219" s="2" t="s">
        <v>70</v>
      </c>
      <c r="AG219" s="2" t="s">
        <v>499</v>
      </c>
      <c r="AK219" s="2" t="s">
        <v>1987</v>
      </c>
      <c r="AM219" s="2" t="s">
        <v>72</v>
      </c>
      <c r="AN219" s="2" t="s">
        <v>100</v>
      </c>
      <c r="AP219" s="2" t="s">
        <v>74</v>
      </c>
      <c r="AU219" s="2" t="s">
        <v>75</v>
      </c>
      <c r="AV219" s="2" t="s">
        <v>1988</v>
      </c>
      <c r="AW219" s="2" t="s">
        <v>1989</v>
      </c>
      <c r="AZ219" s="2" t="s">
        <v>116</v>
      </c>
    </row>
    <row r="220" spans="1:52" s="3" customFormat="1" x14ac:dyDescent="0.35">
      <c r="A220" s="2" t="s">
        <v>1990</v>
      </c>
      <c r="B220" s="4">
        <v>249056</v>
      </c>
      <c r="C220" s="2" t="s">
        <v>1991</v>
      </c>
      <c r="D220" s="2">
        <f t="shared" si="3"/>
        <v>5</v>
      </c>
      <c r="G220" s="2" t="s">
        <v>53</v>
      </c>
      <c r="H220" s="4">
        <v>1</v>
      </c>
      <c r="I220" s="4">
        <v>1</v>
      </c>
      <c r="J220" s="4">
        <v>0</v>
      </c>
      <c r="L220" s="4">
        <v>0</v>
      </c>
      <c r="M220" s="2" t="s">
        <v>55</v>
      </c>
      <c r="N220" s="2" t="s">
        <v>56</v>
      </c>
      <c r="O220" s="2" t="s">
        <v>57</v>
      </c>
      <c r="P220" s="2" t="s">
        <v>509</v>
      </c>
      <c r="Q220" s="2" t="s">
        <v>510</v>
      </c>
      <c r="R220" s="2" t="s">
        <v>1992</v>
      </c>
      <c r="S220" s="2" t="s">
        <v>1993</v>
      </c>
      <c r="V220" s="2" t="s">
        <v>1994</v>
      </c>
      <c r="W220" s="2" t="s">
        <v>1995</v>
      </c>
      <c r="Y220" s="2" t="s">
        <v>64</v>
      </c>
      <c r="Z220" s="2" t="s">
        <v>65</v>
      </c>
      <c r="AA220" s="2" t="s">
        <v>66</v>
      </c>
      <c r="AC220" s="2" t="s">
        <v>67</v>
      </c>
      <c r="AD220" s="2" t="s">
        <v>68</v>
      </c>
      <c r="AE220" s="2" t="s">
        <v>69</v>
      </c>
      <c r="AF220" s="2" t="s">
        <v>70</v>
      </c>
      <c r="AG220" s="2" t="s">
        <v>509</v>
      </c>
      <c r="AK220" s="2" t="s">
        <v>1996</v>
      </c>
      <c r="AM220" s="2" t="s">
        <v>72</v>
      </c>
      <c r="AN220" s="2" t="s">
        <v>595</v>
      </c>
      <c r="AP220" s="2" t="s">
        <v>74</v>
      </c>
      <c r="AU220" s="2" t="s">
        <v>75</v>
      </c>
      <c r="AW220" s="2" t="s">
        <v>1997</v>
      </c>
      <c r="AZ220" s="2" t="s">
        <v>116</v>
      </c>
    </row>
    <row r="221" spans="1:52" s="3" customFormat="1" x14ac:dyDescent="0.35">
      <c r="A221" s="2" t="s">
        <v>1998</v>
      </c>
      <c r="B221" s="4">
        <v>249055</v>
      </c>
      <c r="C221" s="2" t="s">
        <v>1999</v>
      </c>
      <c r="D221" s="2">
        <f t="shared" si="3"/>
        <v>5</v>
      </c>
      <c r="G221" s="2" t="s">
        <v>53</v>
      </c>
      <c r="H221" s="4">
        <v>1</v>
      </c>
      <c r="I221" s="4">
        <v>1</v>
      </c>
      <c r="J221" s="4">
        <v>0</v>
      </c>
      <c r="L221" s="4">
        <v>0</v>
      </c>
      <c r="M221" s="2" t="s">
        <v>55</v>
      </c>
      <c r="N221" s="2" t="s">
        <v>56</v>
      </c>
      <c r="O221" s="2" t="s">
        <v>57</v>
      </c>
      <c r="P221" s="2" t="s">
        <v>509</v>
      </c>
      <c r="Q221" s="2" t="s">
        <v>510</v>
      </c>
      <c r="R221" s="2" t="s">
        <v>2000</v>
      </c>
      <c r="S221" s="2" t="s">
        <v>2001</v>
      </c>
      <c r="V221" s="2" t="s">
        <v>2002</v>
      </c>
      <c r="W221" s="2" t="s">
        <v>2003</v>
      </c>
      <c r="Y221" s="2" t="s">
        <v>64</v>
      </c>
      <c r="Z221" s="2" t="s">
        <v>65</v>
      </c>
      <c r="AA221" s="2" t="s">
        <v>66</v>
      </c>
      <c r="AC221" s="2" t="s">
        <v>67</v>
      </c>
      <c r="AD221" s="2" t="s">
        <v>68</v>
      </c>
      <c r="AE221" s="2" t="s">
        <v>69</v>
      </c>
      <c r="AF221" s="2" t="s">
        <v>70</v>
      </c>
      <c r="AG221" s="2" t="s">
        <v>509</v>
      </c>
      <c r="AK221" s="2" t="s">
        <v>2004</v>
      </c>
      <c r="AM221" s="2" t="s">
        <v>72</v>
      </c>
      <c r="AN221" s="2" t="s">
        <v>595</v>
      </c>
      <c r="AP221" s="2" t="s">
        <v>74</v>
      </c>
      <c r="AU221" s="2" t="s">
        <v>75</v>
      </c>
      <c r="AW221" s="2" t="s">
        <v>2005</v>
      </c>
      <c r="AZ221" s="2" t="s">
        <v>116</v>
      </c>
    </row>
    <row r="222" spans="1:52" s="3" customFormat="1" x14ac:dyDescent="0.35">
      <c r="A222" s="2" t="s">
        <v>2006</v>
      </c>
      <c r="B222" s="4">
        <v>249054</v>
      </c>
      <c r="C222" s="2" t="s">
        <v>2007</v>
      </c>
      <c r="D222" s="2">
        <f t="shared" si="3"/>
        <v>5</v>
      </c>
      <c r="G222" s="2" t="s">
        <v>53</v>
      </c>
      <c r="H222" s="4">
        <v>1</v>
      </c>
      <c r="I222" s="4">
        <v>1</v>
      </c>
      <c r="J222" s="4">
        <v>0</v>
      </c>
      <c r="L222" s="4">
        <v>0</v>
      </c>
      <c r="M222" s="2" t="s">
        <v>55</v>
      </c>
      <c r="N222" s="2" t="s">
        <v>56</v>
      </c>
      <c r="O222" s="2" t="s">
        <v>57</v>
      </c>
      <c r="P222" s="2" t="s">
        <v>509</v>
      </c>
      <c r="Q222" s="2" t="s">
        <v>510</v>
      </c>
      <c r="R222" s="2" t="s">
        <v>2008</v>
      </c>
      <c r="S222" s="2" t="s">
        <v>2009</v>
      </c>
      <c r="V222" s="2" t="s">
        <v>2010</v>
      </c>
      <c r="W222" s="2" t="s">
        <v>2011</v>
      </c>
      <c r="Y222" s="2" t="s">
        <v>64</v>
      </c>
      <c r="Z222" s="2" t="s">
        <v>65</v>
      </c>
      <c r="AA222" s="2" t="s">
        <v>66</v>
      </c>
      <c r="AC222" s="2" t="s">
        <v>67</v>
      </c>
      <c r="AD222" s="2" t="s">
        <v>68</v>
      </c>
      <c r="AE222" s="2" t="s">
        <v>69</v>
      </c>
      <c r="AF222" s="2" t="s">
        <v>70</v>
      </c>
      <c r="AG222" s="2" t="s">
        <v>509</v>
      </c>
      <c r="AK222" s="2" t="s">
        <v>2012</v>
      </c>
      <c r="AM222" s="2" t="s">
        <v>72</v>
      </c>
      <c r="AN222" s="2" t="s">
        <v>100</v>
      </c>
      <c r="AP222" s="2" t="s">
        <v>74</v>
      </c>
      <c r="AU222" s="2" t="s">
        <v>75</v>
      </c>
      <c r="AW222" s="2" t="s">
        <v>2013</v>
      </c>
      <c r="AZ222" s="2" t="s">
        <v>116</v>
      </c>
    </row>
    <row r="223" spans="1:52" s="3" customFormat="1" x14ac:dyDescent="0.35">
      <c r="A223" s="2" t="s">
        <v>2014</v>
      </c>
      <c r="B223" s="4">
        <v>249053</v>
      </c>
      <c r="C223" s="2" t="s">
        <v>2015</v>
      </c>
      <c r="D223" s="2">
        <f t="shared" si="3"/>
        <v>5</v>
      </c>
      <c r="G223" s="2" t="s">
        <v>53</v>
      </c>
      <c r="H223" s="4">
        <v>1</v>
      </c>
      <c r="I223" s="4">
        <v>1</v>
      </c>
      <c r="J223" s="4">
        <v>0</v>
      </c>
      <c r="L223" s="4">
        <v>0</v>
      </c>
      <c r="M223" s="2" t="s">
        <v>55</v>
      </c>
      <c r="N223" s="2" t="s">
        <v>56</v>
      </c>
      <c r="O223" s="2" t="s">
        <v>57</v>
      </c>
      <c r="P223" s="2" t="s">
        <v>509</v>
      </c>
      <c r="Q223" s="2" t="s">
        <v>510</v>
      </c>
      <c r="R223" s="2" t="s">
        <v>2016</v>
      </c>
      <c r="S223" s="2" t="s">
        <v>2017</v>
      </c>
      <c r="V223" s="2" t="s">
        <v>2018</v>
      </c>
      <c r="W223" s="2" t="s">
        <v>2019</v>
      </c>
      <c r="Y223" s="2" t="s">
        <v>64</v>
      </c>
      <c r="Z223" s="2" t="s">
        <v>65</v>
      </c>
      <c r="AA223" s="2" t="s">
        <v>66</v>
      </c>
      <c r="AC223" s="2" t="s">
        <v>67</v>
      </c>
      <c r="AD223" s="2" t="s">
        <v>68</v>
      </c>
      <c r="AE223" s="2" t="s">
        <v>69</v>
      </c>
      <c r="AF223" s="2" t="s">
        <v>70</v>
      </c>
      <c r="AG223" s="2" t="s">
        <v>509</v>
      </c>
      <c r="AK223" s="2" t="s">
        <v>2020</v>
      </c>
      <c r="AM223" s="2" t="s">
        <v>72</v>
      </c>
      <c r="AN223" s="2" t="s">
        <v>100</v>
      </c>
      <c r="AP223" s="2" t="s">
        <v>74</v>
      </c>
      <c r="AU223" s="2" t="s">
        <v>75</v>
      </c>
      <c r="AW223" s="2" t="s">
        <v>2021</v>
      </c>
      <c r="AZ223" s="2" t="s">
        <v>116</v>
      </c>
    </row>
    <row r="224" spans="1:52" s="3" customFormat="1" x14ac:dyDescent="0.35">
      <c r="A224" s="2" t="s">
        <v>2022</v>
      </c>
      <c r="B224" s="4">
        <v>249044</v>
      </c>
      <c r="C224" s="2" t="s">
        <v>2023</v>
      </c>
      <c r="D224" s="2">
        <f t="shared" si="3"/>
        <v>5</v>
      </c>
      <c r="F224" s="2" t="s">
        <v>1884</v>
      </c>
      <c r="G224" s="2" t="s">
        <v>53</v>
      </c>
      <c r="H224" s="4">
        <v>1</v>
      </c>
      <c r="I224" s="4">
        <v>1</v>
      </c>
      <c r="J224" s="4">
        <v>0</v>
      </c>
      <c r="L224" s="4">
        <v>0</v>
      </c>
      <c r="M224" s="2" t="s">
        <v>55</v>
      </c>
      <c r="N224" s="2" t="s">
        <v>56</v>
      </c>
      <c r="O224" s="2" t="s">
        <v>57</v>
      </c>
      <c r="P224" s="2" t="s">
        <v>106</v>
      </c>
      <c r="Q224" s="2" t="s">
        <v>107</v>
      </c>
      <c r="R224" s="2" t="s">
        <v>2024</v>
      </c>
      <c r="S224" s="2" t="s">
        <v>2025</v>
      </c>
      <c r="V224" s="2" t="s">
        <v>2026</v>
      </c>
      <c r="W224" s="2" t="s">
        <v>2027</v>
      </c>
      <c r="Y224" s="2" t="s">
        <v>64</v>
      </c>
      <c r="Z224" s="2" t="s">
        <v>65</v>
      </c>
      <c r="AA224" s="2" t="s">
        <v>66</v>
      </c>
      <c r="AC224" s="2" t="s">
        <v>67</v>
      </c>
      <c r="AD224" s="2" t="s">
        <v>68</v>
      </c>
      <c r="AE224" s="2" t="s">
        <v>69</v>
      </c>
      <c r="AF224" s="2" t="s">
        <v>70</v>
      </c>
      <c r="AG224" s="2" t="s">
        <v>106</v>
      </c>
      <c r="AK224" s="2" t="s">
        <v>2028</v>
      </c>
      <c r="AM224" s="2" t="s">
        <v>72</v>
      </c>
      <c r="AN224" s="2" t="s">
        <v>100</v>
      </c>
      <c r="AP224" s="2" t="s">
        <v>113</v>
      </c>
      <c r="AT224" s="2" t="s">
        <v>114</v>
      </c>
      <c r="AU224" s="2" t="s">
        <v>75</v>
      </c>
      <c r="AW224" s="2" t="s">
        <v>2029</v>
      </c>
      <c r="AZ224" s="2" t="s">
        <v>116</v>
      </c>
    </row>
    <row r="225" spans="1:52" s="3" customFormat="1" x14ac:dyDescent="0.35">
      <c r="A225" s="2" t="s">
        <v>2030</v>
      </c>
      <c r="B225" s="4">
        <v>249042</v>
      </c>
      <c r="C225" s="2" t="s">
        <v>2031</v>
      </c>
      <c r="D225" s="2">
        <f t="shared" si="3"/>
        <v>5</v>
      </c>
      <c r="F225" s="2" t="s">
        <v>1884</v>
      </c>
      <c r="G225" s="2" t="s">
        <v>53</v>
      </c>
      <c r="H225" s="4">
        <v>1</v>
      </c>
      <c r="I225" s="4">
        <v>1</v>
      </c>
      <c r="J225" s="4">
        <v>0</v>
      </c>
      <c r="L225" s="4">
        <v>0</v>
      </c>
      <c r="M225" s="2" t="s">
        <v>55</v>
      </c>
      <c r="N225" s="2" t="s">
        <v>56</v>
      </c>
      <c r="O225" s="2" t="s">
        <v>57</v>
      </c>
      <c r="P225" s="2" t="s">
        <v>106</v>
      </c>
      <c r="Q225" s="2" t="s">
        <v>107</v>
      </c>
      <c r="R225" s="2" t="s">
        <v>2032</v>
      </c>
      <c r="S225" s="2" t="s">
        <v>2033</v>
      </c>
      <c r="V225" s="2" t="s">
        <v>2034</v>
      </c>
      <c r="W225" s="2" t="s">
        <v>2035</v>
      </c>
      <c r="Y225" s="2" t="s">
        <v>64</v>
      </c>
      <c r="Z225" s="2" t="s">
        <v>65</v>
      </c>
      <c r="AA225" s="2" t="s">
        <v>66</v>
      </c>
      <c r="AC225" s="2" t="s">
        <v>67</v>
      </c>
      <c r="AD225" s="2" t="s">
        <v>68</v>
      </c>
      <c r="AE225" s="2" t="s">
        <v>69</v>
      </c>
      <c r="AF225" s="2" t="s">
        <v>70</v>
      </c>
      <c r="AG225" s="2" t="s">
        <v>106</v>
      </c>
      <c r="AK225" s="2" t="s">
        <v>2036</v>
      </c>
      <c r="AM225" s="2" t="s">
        <v>72</v>
      </c>
      <c r="AN225" s="2" t="s">
        <v>73</v>
      </c>
      <c r="AP225" s="2" t="s">
        <v>113</v>
      </c>
      <c r="AT225" s="2" t="s">
        <v>114</v>
      </c>
      <c r="AU225" s="2" t="s">
        <v>75</v>
      </c>
      <c r="AV225" s="2" t="s">
        <v>2037</v>
      </c>
      <c r="AW225" s="2" t="s">
        <v>2038</v>
      </c>
      <c r="AZ225" s="2" t="s">
        <v>116</v>
      </c>
    </row>
    <row r="226" spans="1:52" s="3" customFormat="1" x14ac:dyDescent="0.35">
      <c r="A226" s="2" t="s">
        <v>2039</v>
      </c>
      <c r="B226" s="4">
        <v>249041</v>
      </c>
      <c r="C226" s="2" t="s">
        <v>2040</v>
      </c>
      <c r="D226" s="2">
        <f t="shared" si="3"/>
        <v>5</v>
      </c>
      <c r="F226" s="2" t="s">
        <v>1884</v>
      </c>
      <c r="G226" s="2" t="s">
        <v>53</v>
      </c>
      <c r="H226" s="4">
        <v>1</v>
      </c>
      <c r="I226" s="4">
        <v>1</v>
      </c>
      <c r="J226" s="4">
        <v>0</v>
      </c>
      <c r="L226" s="4">
        <v>0</v>
      </c>
      <c r="M226" s="2" t="s">
        <v>55</v>
      </c>
      <c r="N226" s="2" t="s">
        <v>56</v>
      </c>
      <c r="O226" s="2" t="s">
        <v>57</v>
      </c>
      <c r="P226" s="2" t="s">
        <v>106</v>
      </c>
      <c r="Q226" s="2" t="s">
        <v>107</v>
      </c>
      <c r="R226" s="2" t="s">
        <v>2041</v>
      </c>
      <c r="S226" s="2" t="s">
        <v>2042</v>
      </c>
      <c r="V226" s="2" t="s">
        <v>2043</v>
      </c>
      <c r="W226" s="2" t="s">
        <v>2044</v>
      </c>
      <c r="Y226" s="2" t="s">
        <v>64</v>
      </c>
      <c r="Z226" s="2" t="s">
        <v>65</v>
      </c>
      <c r="AA226" s="2" t="s">
        <v>66</v>
      </c>
      <c r="AC226" s="2" t="s">
        <v>67</v>
      </c>
      <c r="AD226" s="2" t="s">
        <v>68</v>
      </c>
      <c r="AE226" s="2" t="s">
        <v>69</v>
      </c>
      <c r="AF226" s="2" t="s">
        <v>70</v>
      </c>
      <c r="AG226" s="2" t="s">
        <v>106</v>
      </c>
      <c r="AK226" s="2" t="s">
        <v>2045</v>
      </c>
      <c r="AM226" s="2" t="s">
        <v>72</v>
      </c>
      <c r="AN226" s="2" t="s">
        <v>73</v>
      </c>
      <c r="AP226" s="2" t="s">
        <v>113</v>
      </c>
      <c r="AT226" s="2" t="s">
        <v>114</v>
      </c>
      <c r="AU226" s="2" t="s">
        <v>75</v>
      </c>
      <c r="AW226" s="2" t="s">
        <v>2046</v>
      </c>
      <c r="AZ226" s="2" t="s">
        <v>116</v>
      </c>
    </row>
    <row r="227" spans="1:52" s="3" customFormat="1" x14ac:dyDescent="0.35">
      <c r="A227" s="2" t="s">
        <v>2047</v>
      </c>
      <c r="B227" s="4">
        <v>249039</v>
      </c>
      <c r="C227" s="2" t="s">
        <v>2048</v>
      </c>
      <c r="D227" s="2">
        <f t="shared" si="3"/>
        <v>5</v>
      </c>
      <c r="F227" s="2" t="s">
        <v>1884</v>
      </c>
      <c r="G227" s="2" t="s">
        <v>53</v>
      </c>
      <c r="H227" s="4">
        <v>1</v>
      </c>
      <c r="I227" s="4">
        <v>1</v>
      </c>
      <c r="J227" s="4">
        <v>0</v>
      </c>
      <c r="L227" s="4">
        <v>0</v>
      </c>
      <c r="M227" s="2" t="s">
        <v>55</v>
      </c>
      <c r="N227" s="2" t="s">
        <v>56</v>
      </c>
      <c r="O227" s="2" t="s">
        <v>57</v>
      </c>
      <c r="P227" s="2" t="s">
        <v>106</v>
      </c>
      <c r="Q227" s="2" t="s">
        <v>107</v>
      </c>
      <c r="R227" s="2" t="s">
        <v>2049</v>
      </c>
      <c r="S227" s="2" t="s">
        <v>2050</v>
      </c>
      <c r="V227" s="2" t="s">
        <v>2051</v>
      </c>
      <c r="W227" s="2" t="s">
        <v>2052</v>
      </c>
      <c r="Y227" s="2" t="s">
        <v>64</v>
      </c>
      <c r="Z227" s="2" t="s">
        <v>65</v>
      </c>
      <c r="AA227" s="2" t="s">
        <v>66</v>
      </c>
      <c r="AC227" s="2" t="s">
        <v>67</v>
      </c>
      <c r="AD227" s="2" t="s">
        <v>68</v>
      </c>
      <c r="AE227" s="2" t="s">
        <v>69</v>
      </c>
      <c r="AF227" s="2" t="s">
        <v>70</v>
      </c>
      <c r="AG227" s="2" t="s">
        <v>106</v>
      </c>
      <c r="AK227" s="2" t="s">
        <v>2053</v>
      </c>
      <c r="AM227" s="2" t="s">
        <v>72</v>
      </c>
      <c r="AN227" s="2" t="s">
        <v>100</v>
      </c>
      <c r="AP227" s="2" t="s">
        <v>113</v>
      </c>
      <c r="AT227" s="2" t="s">
        <v>114</v>
      </c>
      <c r="AU227" s="2" t="s">
        <v>75</v>
      </c>
      <c r="AW227" s="2" t="s">
        <v>2054</v>
      </c>
      <c r="AZ227" s="2" t="s">
        <v>116</v>
      </c>
    </row>
    <row r="228" spans="1:52" s="3" customFormat="1" x14ac:dyDescent="0.35">
      <c r="A228" s="2" t="s">
        <v>2055</v>
      </c>
      <c r="B228" s="4">
        <v>249038</v>
      </c>
      <c r="C228" s="2" t="s">
        <v>2056</v>
      </c>
      <c r="D228" s="2">
        <f t="shared" si="3"/>
        <v>5</v>
      </c>
      <c r="F228" s="2" t="s">
        <v>1884</v>
      </c>
      <c r="G228" s="2" t="s">
        <v>53</v>
      </c>
      <c r="H228" s="4">
        <v>1</v>
      </c>
      <c r="I228" s="4">
        <v>1</v>
      </c>
      <c r="J228" s="4">
        <v>0</v>
      </c>
      <c r="L228" s="4">
        <v>0</v>
      </c>
      <c r="M228" s="2" t="s">
        <v>55</v>
      </c>
      <c r="N228" s="2" t="s">
        <v>56</v>
      </c>
      <c r="O228" s="2" t="s">
        <v>57</v>
      </c>
      <c r="P228" s="2" t="s">
        <v>106</v>
      </c>
      <c r="Q228" s="2" t="s">
        <v>107</v>
      </c>
      <c r="R228" s="2" t="s">
        <v>1610</v>
      </c>
      <c r="S228" s="2" t="s">
        <v>1611</v>
      </c>
      <c r="V228" s="2" t="s">
        <v>1612</v>
      </c>
      <c r="W228" s="2" t="s">
        <v>2057</v>
      </c>
      <c r="Y228" s="2" t="s">
        <v>64</v>
      </c>
      <c r="Z228" s="2" t="s">
        <v>65</v>
      </c>
      <c r="AA228" s="2" t="s">
        <v>66</v>
      </c>
      <c r="AC228" s="2" t="s">
        <v>67</v>
      </c>
      <c r="AD228" s="2" t="s">
        <v>68</v>
      </c>
      <c r="AE228" s="2" t="s">
        <v>69</v>
      </c>
      <c r="AF228" s="2" t="s">
        <v>70</v>
      </c>
      <c r="AG228" s="2" t="s">
        <v>106</v>
      </c>
      <c r="AK228" s="2" t="s">
        <v>2058</v>
      </c>
      <c r="AM228" s="2" t="s">
        <v>72</v>
      </c>
      <c r="AN228" s="2" t="s">
        <v>100</v>
      </c>
      <c r="AP228" s="2" t="s">
        <v>113</v>
      </c>
      <c r="AT228" s="2" t="s">
        <v>114</v>
      </c>
      <c r="AU228" s="2" t="s">
        <v>75</v>
      </c>
      <c r="AW228" s="2" t="s">
        <v>1615</v>
      </c>
      <c r="AZ228" s="2" t="s">
        <v>116</v>
      </c>
    </row>
    <row r="229" spans="1:52" s="3" customFormat="1" x14ac:dyDescent="0.35">
      <c r="A229" s="2" t="s">
        <v>2059</v>
      </c>
      <c r="B229" s="4">
        <v>249036</v>
      </c>
      <c r="C229" s="2" t="s">
        <v>2060</v>
      </c>
      <c r="D229" s="2">
        <f t="shared" si="3"/>
        <v>5</v>
      </c>
      <c r="F229" s="2" t="s">
        <v>1884</v>
      </c>
      <c r="G229" s="2" t="s">
        <v>53</v>
      </c>
      <c r="H229" s="4">
        <v>1</v>
      </c>
      <c r="I229" s="4">
        <v>1</v>
      </c>
      <c r="J229" s="4">
        <v>0</v>
      </c>
      <c r="L229" s="4">
        <v>0</v>
      </c>
      <c r="M229" s="2" t="s">
        <v>55</v>
      </c>
      <c r="N229" s="2" t="s">
        <v>56</v>
      </c>
      <c r="O229" s="2" t="s">
        <v>57</v>
      </c>
      <c r="P229" s="2" t="s">
        <v>106</v>
      </c>
      <c r="Q229" s="2" t="s">
        <v>107</v>
      </c>
      <c r="R229" s="2" t="s">
        <v>2061</v>
      </c>
      <c r="S229" s="2" t="s">
        <v>2062</v>
      </c>
      <c r="V229" s="2" t="s">
        <v>2063</v>
      </c>
      <c r="W229" s="2" t="s">
        <v>2064</v>
      </c>
      <c r="Y229" s="2" t="s">
        <v>64</v>
      </c>
      <c r="Z229" s="2" t="s">
        <v>65</v>
      </c>
      <c r="AA229" s="2" t="s">
        <v>66</v>
      </c>
      <c r="AC229" s="2" t="s">
        <v>67</v>
      </c>
      <c r="AD229" s="2" t="s">
        <v>68</v>
      </c>
      <c r="AE229" s="2" t="s">
        <v>69</v>
      </c>
      <c r="AF229" s="2" t="s">
        <v>70</v>
      </c>
      <c r="AG229" s="2" t="s">
        <v>106</v>
      </c>
      <c r="AK229" s="2" t="s">
        <v>2065</v>
      </c>
      <c r="AM229" s="2" t="s">
        <v>72</v>
      </c>
      <c r="AN229" s="2" t="s">
        <v>232</v>
      </c>
      <c r="AP229" s="2" t="s">
        <v>113</v>
      </c>
      <c r="AT229" s="2" t="s">
        <v>114</v>
      </c>
      <c r="AU229" s="2" t="s">
        <v>75</v>
      </c>
      <c r="AW229" s="2" t="s">
        <v>2066</v>
      </c>
      <c r="AZ229" s="2" t="s">
        <v>116</v>
      </c>
    </row>
    <row r="230" spans="1:52" s="3" customFormat="1" x14ac:dyDescent="0.35">
      <c r="A230" s="2" t="s">
        <v>2067</v>
      </c>
      <c r="B230" s="4">
        <v>249035</v>
      </c>
      <c r="C230" s="2" t="s">
        <v>2068</v>
      </c>
      <c r="D230" s="2">
        <f t="shared" si="3"/>
        <v>5</v>
      </c>
      <c r="F230" s="2" t="s">
        <v>1884</v>
      </c>
      <c r="G230" s="2" t="s">
        <v>53</v>
      </c>
      <c r="H230" s="4">
        <v>1</v>
      </c>
      <c r="I230" s="4">
        <v>1</v>
      </c>
      <c r="J230" s="4">
        <v>0</v>
      </c>
      <c r="L230" s="4">
        <v>0</v>
      </c>
      <c r="M230" s="2" t="s">
        <v>55</v>
      </c>
      <c r="N230" s="2" t="s">
        <v>56</v>
      </c>
      <c r="O230" s="2" t="s">
        <v>57</v>
      </c>
      <c r="P230" s="2" t="s">
        <v>106</v>
      </c>
      <c r="Q230" s="2" t="s">
        <v>107</v>
      </c>
      <c r="R230" s="2" t="s">
        <v>2069</v>
      </c>
      <c r="S230" s="2" t="s">
        <v>2070</v>
      </c>
      <c r="V230" s="2" t="s">
        <v>2071</v>
      </c>
      <c r="W230" s="2" t="s">
        <v>2072</v>
      </c>
      <c r="Y230" s="2" t="s">
        <v>64</v>
      </c>
      <c r="Z230" s="2" t="s">
        <v>65</v>
      </c>
      <c r="AA230" s="2" t="s">
        <v>66</v>
      </c>
      <c r="AC230" s="2" t="s">
        <v>67</v>
      </c>
      <c r="AD230" s="2" t="s">
        <v>68</v>
      </c>
      <c r="AE230" s="2" t="s">
        <v>69</v>
      </c>
      <c r="AF230" s="2" t="s">
        <v>70</v>
      </c>
      <c r="AG230" s="2" t="s">
        <v>106</v>
      </c>
      <c r="AK230" s="2" t="s">
        <v>2073</v>
      </c>
      <c r="AM230" s="2" t="s">
        <v>72</v>
      </c>
      <c r="AN230" s="2" t="s">
        <v>232</v>
      </c>
      <c r="AP230" s="2" t="s">
        <v>113</v>
      </c>
      <c r="AT230" s="2" t="s">
        <v>114</v>
      </c>
      <c r="AU230" s="2" t="s">
        <v>75</v>
      </c>
      <c r="AW230" s="2" t="s">
        <v>2074</v>
      </c>
      <c r="AZ230" s="2" t="s">
        <v>116</v>
      </c>
    </row>
    <row r="231" spans="1:52" s="3" customFormat="1" x14ac:dyDescent="0.35">
      <c r="A231" s="2" t="s">
        <v>2075</v>
      </c>
      <c r="B231" s="4">
        <v>249032</v>
      </c>
      <c r="C231" s="2" t="s">
        <v>2076</v>
      </c>
      <c r="D231" s="2">
        <f t="shared" si="3"/>
        <v>5</v>
      </c>
      <c r="F231" s="2" t="s">
        <v>1884</v>
      </c>
      <c r="G231" s="2" t="s">
        <v>53</v>
      </c>
      <c r="H231" s="4">
        <v>1</v>
      </c>
      <c r="I231" s="4">
        <v>1</v>
      </c>
      <c r="J231" s="4">
        <v>0</v>
      </c>
      <c r="L231" s="4">
        <v>0</v>
      </c>
      <c r="M231" s="2" t="s">
        <v>55</v>
      </c>
      <c r="N231" s="2" t="s">
        <v>56</v>
      </c>
      <c r="O231" s="2" t="s">
        <v>57</v>
      </c>
      <c r="P231" s="2" t="s">
        <v>106</v>
      </c>
      <c r="Q231" s="2" t="s">
        <v>107</v>
      </c>
      <c r="R231" s="2" t="s">
        <v>2077</v>
      </c>
      <c r="S231" s="2" t="s">
        <v>2078</v>
      </c>
      <c r="V231" s="2" t="s">
        <v>2079</v>
      </c>
      <c r="W231" s="2" t="s">
        <v>2080</v>
      </c>
      <c r="Y231" s="2" t="s">
        <v>64</v>
      </c>
      <c r="Z231" s="2" t="s">
        <v>65</v>
      </c>
      <c r="AA231" s="2" t="s">
        <v>66</v>
      </c>
      <c r="AC231" s="2" t="s">
        <v>67</v>
      </c>
      <c r="AD231" s="2" t="s">
        <v>68</v>
      </c>
      <c r="AE231" s="2" t="s">
        <v>69</v>
      </c>
      <c r="AF231" s="2" t="s">
        <v>70</v>
      </c>
      <c r="AG231" s="2" t="s">
        <v>106</v>
      </c>
      <c r="AK231" s="2" t="s">
        <v>2081</v>
      </c>
      <c r="AM231" s="2" t="s">
        <v>72</v>
      </c>
      <c r="AN231" s="2" t="s">
        <v>232</v>
      </c>
      <c r="AP231" s="2" t="s">
        <v>113</v>
      </c>
      <c r="AT231" s="2" t="s">
        <v>114</v>
      </c>
      <c r="AU231" s="2" t="s">
        <v>75</v>
      </c>
      <c r="AW231" s="2" t="s">
        <v>2082</v>
      </c>
      <c r="AZ231" s="2" t="s">
        <v>116</v>
      </c>
    </row>
    <row r="232" spans="1:52" s="3" customFormat="1" x14ac:dyDescent="0.35">
      <c r="A232" s="2" t="s">
        <v>2083</v>
      </c>
      <c r="B232" s="4">
        <v>249024</v>
      </c>
      <c r="C232" s="2" t="s">
        <v>2084</v>
      </c>
      <c r="D232" s="2">
        <f t="shared" si="3"/>
        <v>5</v>
      </c>
      <c r="F232" s="2" t="s">
        <v>1884</v>
      </c>
      <c r="G232" s="2" t="s">
        <v>53</v>
      </c>
      <c r="H232" s="4">
        <v>1</v>
      </c>
      <c r="I232" s="4">
        <v>1</v>
      </c>
      <c r="J232" s="4">
        <v>0</v>
      </c>
      <c r="L232" s="4">
        <v>0</v>
      </c>
      <c r="M232" s="2" t="s">
        <v>55</v>
      </c>
      <c r="N232" s="2" t="s">
        <v>56</v>
      </c>
      <c r="O232" s="2" t="s">
        <v>57</v>
      </c>
      <c r="P232" s="2" t="s">
        <v>460</v>
      </c>
      <c r="Q232" s="2" t="s">
        <v>461</v>
      </c>
      <c r="R232" s="2" t="s">
        <v>2085</v>
      </c>
      <c r="S232" s="2" t="s">
        <v>2086</v>
      </c>
      <c r="V232" s="2" t="s">
        <v>2087</v>
      </c>
      <c r="W232" s="2" t="s">
        <v>2088</v>
      </c>
      <c r="Y232" s="2" t="s">
        <v>64</v>
      </c>
      <c r="Z232" s="2" t="s">
        <v>65</v>
      </c>
      <c r="AA232" s="2" t="s">
        <v>66</v>
      </c>
      <c r="AC232" s="2" t="s">
        <v>67</v>
      </c>
      <c r="AD232" s="2" t="s">
        <v>68</v>
      </c>
      <c r="AE232" s="2" t="s">
        <v>69</v>
      </c>
      <c r="AF232" s="2" t="s">
        <v>70</v>
      </c>
      <c r="AG232" s="2" t="s">
        <v>460</v>
      </c>
      <c r="AK232" s="2" t="s">
        <v>2089</v>
      </c>
      <c r="AM232" s="2" t="s">
        <v>72</v>
      </c>
      <c r="AN232" s="2" t="s">
        <v>403</v>
      </c>
      <c r="AP232" s="2" t="s">
        <v>474</v>
      </c>
      <c r="AU232" s="2" t="s">
        <v>75</v>
      </c>
      <c r="AW232" s="2" t="s">
        <v>2090</v>
      </c>
      <c r="AZ232" s="2" t="s">
        <v>116</v>
      </c>
    </row>
    <row r="233" spans="1:52" s="3" customFormat="1" x14ac:dyDescent="0.35">
      <c r="A233" s="2" t="s">
        <v>2091</v>
      </c>
      <c r="B233" s="4">
        <v>249018</v>
      </c>
      <c r="C233" s="2" t="s">
        <v>2092</v>
      </c>
      <c r="D233" s="2">
        <f t="shared" si="3"/>
        <v>5</v>
      </c>
      <c r="F233" s="2" t="s">
        <v>1884</v>
      </c>
      <c r="G233" s="2" t="s">
        <v>53</v>
      </c>
      <c r="H233" s="4">
        <v>1</v>
      </c>
      <c r="I233" s="4">
        <v>1</v>
      </c>
      <c r="J233" s="4">
        <v>0</v>
      </c>
      <c r="L233" s="4">
        <v>0</v>
      </c>
      <c r="M233" s="2" t="s">
        <v>55</v>
      </c>
      <c r="N233" s="2" t="s">
        <v>56</v>
      </c>
      <c r="O233" s="2" t="s">
        <v>57</v>
      </c>
      <c r="P233" s="2" t="s">
        <v>58</v>
      </c>
      <c r="Q233" s="2" t="s">
        <v>59</v>
      </c>
      <c r="R233" s="2" t="s">
        <v>2093</v>
      </c>
      <c r="S233" s="2" t="s">
        <v>2094</v>
      </c>
      <c r="V233" s="2" t="s">
        <v>2095</v>
      </c>
      <c r="W233" s="2" t="s">
        <v>2096</v>
      </c>
      <c r="Y233" s="2" t="s">
        <v>64</v>
      </c>
      <c r="Z233" s="2" t="s">
        <v>65</v>
      </c>
      <c r="AA233" s="2" t="s">
        <v>66</v>
      </c>
      <c r="AC233" s="2" t="s">
        <v>67</v>
      </c>
      <c r="AD233" s="2" t="s">
        <v>68</v>
      </c>
      <c r="AE233" s="2" t="s">
        <v>69</v>
      </c>
      <c r="AF233" s="2" t="s">
        <v>70</v>
      </c>
      <c r="AG233" s="2" t="s">
        <v>58</v>
      </c>
      <c r="AK233" s="2" t="s">
        <v>2097</v>
      </c>
      <c r="AM233" s="2" t="s">
        <v>72</v>
      </c>
      <c r="AN233" s="2" t="s">
        <v>232</v>
      </c>
      <c r="AP233" s="2" t="s">
        <v>74</v>
      </c>
      <c r="AU233" s="2" t="s">
        <v>75</v>
      </c>
      <c r="AW233" s="2" t="s">
        <v>2098</v>
      </c>
      <c r="AZ233" s="2" t="s">
        <v>116</v>
      </c>
    </row>
    <row r="234" spans="1:52" s="3" customFormat="1" x14ac:dyDescent="0.35">
      <c r="A234" s="2" t="s">
        <v>2099</v>
      </c>
      <c r="B234" s="4">
        <v>249014</v>
      </c>
      <c r="C234" s="2" t="s">
        <v>2100</v>
      </c>
      <c r="D234" s="2">
        <f t="shared" si="3"/>
        <v>5</v>
      </c>
      <c r="G234" s="2" t="s">
        <v>53</v>
      </c>
      <c r="H234" s="4">
        <v>1</v>
      </c>
      <c r="I234" s="4">
        <v>1</v>
      </c>
      <c r="J234" s="4">
        <v>0</v>
      </c>
      <c r="L234" s="4">
        <v>0</v>
      </c>
      <c r="M234" s="2" t="s">
        <v>55</v>
      </c>
      <c r="N234" s="2" t="s">
        <v>56</v>
      </c>
      <c r="O234" s="2" t="s">
        <v>57</v>
      </c>
      <c r="P234" s="2" t="s">
        <v>499</v>
      </c>
      <c r="Q234" s="2" t="s">
        <v>500</v>
      </c>
      <c r="R234" s="2" t="s">
        <v>2101</v>
      </c>
      <c r="S234" s="2" t="s">
        <v>2102</v>
      </c>
      <c r="V234" s="2" t="s">
        <v>2103</v>
      </c>
      <c r="W234" s="2" t="s">
        <v>2104</v>
      </c>
      <c r="Y234" s="2" t="s">
        <v>64</v>
      </c>
      <c r="Z234" s="2" t="s">
        <v>65</v>
      </c>
      <c r="AA234" s="2" t="s">
        <v>66</v>
      </c>
      <c r="AC234" s="2" t="s">
        <v>67</v>
      </c>
      <c r="AD234" s="2" t="s">
        <v>68</v>
      </c>
      <c r="AE234" s="2" t="s">
        <v>69</v>
      </c>
      <c r="AF234" s="2" t="s">
        <v>70</v>
      </c>
      <c r="AG234" s="2" t="s">
        <v>499</v>
      </c>
      <c r="AK234" s="2" t="s">
        <v>2105</v>
      </c>
      <c r="AM234" s="2" t="s">
        <v>72</v>
      </c>
      <c r="AN234" s="2" t="s">
        <v>232</v>
      </c>
      <c r="AP234" s="2" t="s">
        <v>74</v>
      </c>
      <c r="AU234" s="2" t="s">
        <v>75</v>
      </c>
      <c r="AW234" s="2" t="s">
        <v>2106</v>
      </c>
      <c r="AZ234" s="2" t="s">
        <v>116</v>
      </c>
    </row>
    <row r="235" spans="1:52" s="3" customFormat="1" x14ac:dyDescent="0.35">
      <c r="A235" s="2" t="s">
        <v>2107</v>
      </c>
      <c r="B235" s="4">
        <v>249013</v>
      </c>
      <c r="C235" s="2" t="s">
        <v>2108</v>
      </c>
      <c r="D235" s="2">
        <f t="shared" si="3"/>
        <v>5</v>
      </c>
      <c r="G235" s="2" t="s">
        <v>53</v>
      </c>
      <c r="H235" s="4">
        <v>1</v>
      </c>
      <c r="I235" s="4">
        <v>1</v>
      </c>
      <c r="J235" s="4">
        <v>0</v>
      </c>
      <c r="L235" s="4">
        <v>0</v>
      </c>
      <c r="M235" s="2" t="s">
        <v>55</v>
      </c>
      <c r="N235" s="2" t="s">
        <v>56</v>
      </c>
      <c r="O235" s="2" t="s">
        <v>57</v>
      </c>
      <c r="P235" s="2" t="s">
        <v>499</v>
      </c>
      <c r="Q235" s="2" t="s">
        <v>500</v>
      </c>
      <c r="R235" s="2" t="s">
        <v>2077</v>
      </c>
      <c r="S235" s="2" t="s">
        <v>2078</v>
      </c>
      <c r="V235" s="2" t="s">
        <v>2079</v>
      </c>
      <c r="W235" s="2" t="s">
        <v>2104</v>
      </c>
      <c r="Y235" s="2" t="s">
        <v>64</v>
      </c>
      <c r="Z235" s="2" t="s">
        <v>65</v>
      </c>
      <c r="AA235" s="2" t="s">
        <v>66</v>
      </c>
      <c r="AC235" s="2" t="s">
        <v>67</v>
      </c>
      <c r="AD235" s="2" t="s">
        <v>68</v>
      </c>
      <c r="AE235" s="2" t="s">
        <v>69</v>
      </c>
      <c r="AF235" s="2" t="s">
        <v>70</v>
      </c>
      <c r="AG235" s="2" t="s">
        <v>499</v>
      </c>
      <c r="AK235" s="2" t="s">
        <v>2109</v>
      </c>
      <c r="AM235" s="2" t="s">
        <v>72</v>
      </c>
      <c r="AN235" s="2" t="s">
        <v>232</v>
      </c>
      <c r="AP235" s="2" t="s">
        <v>74</v>
      </c>
      <c r="AU235" s="2" t="s">
        <v>75</v>
      </c>
      <c r="AW235" s="2" t="s">
        <v>2082</v>
      </c>
      <c r="AZ235" s="2" t="s">
        <v>116</v>
      </c>
    </row>
    <row r="236" spans="1:52" s="3" customFormat="1" x14ac:dyDescent="0.35">
      <c r="A236" s="2" t="s">
        <v>2110</v>
      </c>
      <c r="B236" s="4">
        <v>249012</v>
      </c>
      <c r="C236" s="2" t="s">
        <v>2111</v>
      </c>
      <c r="D236" s="2">
        <f t="shared" si="3"/>
        <v>5</v>
      </c>
      <c r="F236" s="2" t="s">
        <v>1884</v>
      </c>
      <c r="G236" s="2" t="s">
        <v>53</v>
      </c>
      <c r="H236" s="4">
        <v>1</v>
      </c>
      <c r="I236" s="4">
        <v>1</v>
      </c>
      <c r="J236" s="4">
        <v>0</v>
      </c>
      <c r="L236" s="4">
        <v>0</v>
      </c>
      <c r="M236" s="2" t="s">
        <v>55</v>
      </c>
      <c r="N236" s="2" t="s">
        <v>56</v>
      </c>
      <c r="O236" s="2" t="s">
        <v>57</v>
      </c>
      <c r="P236" s="2" t="s">
        <v>106</v>
      </c>
      <c r="Q236" s="2" t="s">
        <v>107</v>
      </c>
      <c r="R236" s="2" t="s">
        <v>2112</v>
      </c>
      <c r="S236" s="2" t="s">
        <v>2113</v>
      </c>
      <c r="V236" s="2" t="s">
        <v>2114</v>
      </c>
      <c r="W236" s="2" t="s">
        <v>2115</v>
      </c>
      <c r="Y236" s="2" t="s">
        <v>64</v>
      </c>
      <c r="Z236" s="2" t="s">
        <v>65</v>
      </c>
      <c r="AA236" s="2" t="s">
        <v>66</v>
      </c>
      <c r="AC236" s="2" t="s">
        <v>67</v>
      </c>
      <c r="AD236" s="2" t="s">
        <v>68</v>
      </c>
      <c r="AE236" s="2" t="s">
        <v>69</v>
      </c>
      <c r="AF236" s="2" t="s">
        <v>70</v>
      </c>
      <c r="AG236" s="2" t="s">
        <v>106</v>
      </c>
      <c r="AK236" s="2" t="s">
        <v>2116</v>
      </c>
      <c r="AM236" s="2" t="s">
        <v>72</v>
      </c>
      <c r="AN236" s="2" t="s">
        <v>100</v>
      </c>
      <c r="AP236" s="2" t="s">
        <v>113</v>
      </c>
      <c r="AT236" s="2" t="s">
        <v>114</v>
      </c>
      <c r="AU236" s="2" t="s">
        <v>75</v>
      </c>
      <c r="AW236" s="2" t="s">
        <v>2117</v>
      </c>
      <c r="AZ236" s="2" t="s">
        <v>116</v>
      </c>
    </row>
    <row r="237" spans="1:52" s="3" customFormat="1" x14ac:dyDescent="0.35">
      <c r="A237" s="2" t="s">
        <v>2118</v>
      </c>
      <c r="B237" s="4">
        <v>249011</v>
      </c>
      <c r="C237" s="2" t="s">
        <v>2119</v>
      </c>
      <c r="D237" s="2">
        <f t="shared" si="3"/>
        <v>5</v>
      </c>
      <c r="F237" s="2" t="s">
        <v>1884</v>
      </c>
      <c r="G237" s="2" t="s">
        <v>53</v>
      </c>
      <c r="H237" s="4">
        <v>1</v>
      </c>
      <c r="I237" s="4">
        <v>1</v>
      </c>
      <c r="J237" s="4">
        <v>0</v>
      </c>
      <c r="L237" s="4">
        <v>0</v>
      </c>
      <c r="M237" s="2" t="s">
        <v>55</v>
      </c>
      <c r="N237" s="2" t="s">
        <v>56</v>
      </c>
      <c r="O237" s="2" t="s">
        <v>57</v>
      </c>
      <c r="P237" s="2" t="s">
        <v>106</v>
      </c>
      <c r="Q237" s="2" t="s">
        <v>107</v>
      </c>
      <c r="R237" s="2" t="s">
        <v>2120</v>
      </c>
      <c r="S237" s="2" t="s">
        <v>2121</v>
      </c>
      <c r="V237" s="2" t="s">
        <v>2122</v>
      </c>
      <c r="W237" s="2" t="s">
        <v>2123</v>
      </c>
      <c r="Y237" s="2" t="s">
        <v>64</v>
      </c>
      <c r="Z237" s="2" t="s">
        <v>205</v>
      </c>
      <c r="AA237" s="2" t="s">
        <v>66</v>
      </c>
      <c r="AC237" s="2" t="s">
        <v>67</v>
      </c>
      <c r="AD237" s="2" t="s">
        <v>68</v>
      </c>
      <c r="AE237" s="2" t="s">
        <v>69</v>
      </c>
      <c r="AF237" s="2" t="s">
        <v>70</v>
      </c>
      <c r="AG237" s="2" t="s">
        <v>106</v>
      </c>
      <c r="AK237" s="2" t="s">
        <v>2124</v>
      </c>
      <c r="AM237" s="2" t="s">
        <v>72</v>
      </c>
      <c r="AN237" s="2" t="s">
        <v>100</v>
      </c>
      <c r="AP237" s="2" t="s">
        <v>113</v>
      </c>
      <c r="AT237" s="2" t="s">
        <v>114</v>
      </c>
      <c r="AU237" s="2" t="s">
        <v>75</v>
      </c>
      <c r="AW237" s="2" t="s">
        <v>2125</v>
      </c>
      <c r="AZ237" s="2" t="s">
        <v>116</v>
      </c>
    </row>
    <row r="238" spans="1:52" s="3" customFormat="1" x14ac:dyDescent="0.35">
      <c r="A238" s="2" t="s">
        <v>2126</v>
      </c>
      <c r="B238" s="4">
        <v>248976</v>
      </c>
      <c r="C238" s="2" t="s">
        <v>2127</v>
      </c>
      <c r="D238" s="2">
        <f t="shared" si="3"/>
        <v>5</v>
      </c>
      <c r="G238" s="2" t="s">
        <v>53</v>
      </c>
      <c r="H238" s="4">
        <v>1</v>
      </c>
      <c r="I238" s="4">
        <v>1</v>
      </c>
      <c r="J238" s="4">
        <v>0</v>
      </c>
      <c r="L238" s="4">
        <v>0</v>
      </c>
      <c r="M238" s="2" t="s">
        <v>55</v>
      </c>
      <c r="N238" s="2" t="s">
        <v>56</v>
      </c>
      <c r="O238" s="2" t="s">
        <v>57</v>
      </c>
      <c r="P238" s="2" t="s">
        <v>2128</v>
      </c>
      <c r="Q238" s="2" t="s">
        <v>2129</v>
      </c>
      <c r="R238" s="2" t="s">
        <v>2130</v>
      </c>
      <c r="S238" s="2" t="s">
        <v>2131</v>
      </c>
      <c r="V238" s="2" t="s">
        <v>2132</v>
      </c>
      <c r="W238" s="2" t="s">
        <v>2133</v>
      </c>
      <c r="Y238" s="2" t="s">
        <v>64</v>
      </c>
      <c r="Z238" s="2" t="s">
        <v>205</v>
      </c>
      <c r="AA238" s="2" t="s">
        <v>66</v>
      </c>
      <c r="AC238" s="2" t="s">
        <v>67</v>
      </c>
      <c r="AD238" s="2" t="s">
        <v>68</v>
      </c>
      <c r="AE238" s="2" t="s">
        <v>69</v>
      </c>
      <c r="AF238" s="2" t="s">
        <v>70</v>
      </c>
      <c r="AG238" s="2" t="s">
        <v>2128</v>
      </c>
      <c r="AK238" s="2" t="s">
        <v>2134</v>
      </c>
      <c r="AM238" s="2" t="s">
        <v>72</v>
      </c>
      <c r="AN238" s="2" t="s">
        <v>100</v>
      </c>
      <c r="AP238" s="2" t="s">
        <v>2135</v>
      </c>
      <c r="AT238" s="2" t="s">
        <v>114</v>
      </c>
      <c r="AU238" s="2" t="s">
        <v>75</v>
      </c>
      <c r="AV238" s="2" t="s">
        <v>2136</v>
      </c>
      <c r="AW238" s="2" t="s">
        <v>2137</v>
      </c>
      <c r="AZ238" s="2" t="s">
        <v>116</v>
      </c>
    </row>
    <row r="239" spans="1:52" s="3" customFormat="1" x14ac:dyDescent="0.35">
      <c r="A239" s="2" t="s">
        <v>2138</v>
      </c>
      <c r="B239" s="4">
        <v>248962</v>
      </c>
      <c r="C239" s="2" t="s">
        <v>2139</v>
      </c>
      <c r="D239" s="2">
        <f t="shared" si="3"/>
        <v>5</v>
      </c>
      <c r="F239" s="2" t="s">
        <v>1884</v>
      </c>
      <c r="G239" s="2" t="s">
        <v>53</v>
      </c>
      <c r="H239" s="4">
        <v>13</v>
      </c>
      <c r="I239" s="4">
        <v>1</v>
      </c>
      <c r="J239" s="5">
        <v>40300</v>
      </c>
      <c r="K239" s="2" t="s">
        <v>1252</v>
      </c>
      <c r="L239" s="5">
        <v>40300</v>
      </c>
      <c r="M239" s="2" t="s">
        <v>55</v>
      </c>
      <c r="N239" s="2" t="s">
        <v>1253</v>
      </c>
      <c r="O239" s="2" t="s">
        <v>1254</v>
      </c>
      <c r="P239" s="2" t="s">
        <v>58</v>
      </c>
      <c r="Q239" s="2" t="s">
        <v>59</v>
      </c>
      <c r="R239" s="2" t="s">
        <v>2141</v>
      </c>
      <c r="T239" s="2" t="s">
        <v>2142</v>
      </c>
      <c r="U239" s="2" t="s">
        <v>2143</v>
      </c>
      <c r="V239" s="2" t="s">
        <v>2144</v>
      </c>
      <c r="W239" s="2" t="s">
        <v>2145</v>
      </c>
      <c r="X239" s="2" t="s">
        <v>2146</v>
      </c>
      <c r="Y239" s="2" t="s">
        <v>2147</v>
      </c>
      <c r="Z239" s="2" t="s">
        <v>2148</v>
      </c>
      <c r="AA239" s="2" t="s">
        <v>2149</v>
      </c>
      <c r="AB239" s="2" t="s">
        <v>2150</v>
      </c>
      <c r="AC239" s="2" t="s">
        <v>2151</v>
      </c>
      <c r="AD239" s="2" t="s">
        <v>68</v>
      </c>
      <c r="AE239" s="2" t="s">
        <v>69</v>
      </c>
      <c r="AF239" s="2" t="s">
        <v>70</v>
      </c>
      <c r="AG239" s="2" t="s">
        <v>2152</v>
      </c>
      <c r="AK239" s="2" t="s">
        <v>2153</v>
      </c>
      <c r="AM239" s="2" t="s">
        <v>72</v>
      </c>
      <c r="AN239" s="2" t="s">
        <v>473</v>
      </c>
      <c r="AP239" s="2" t="s">
        <v>74</v>
      </c>
      <c r="AU239" s="2" t="s">
        <v>75</v>
      </c>
      <c r="AV239" s="2" t="s">
        <v>2154</v>
      </c>
      <c r="AW239" s="2" t="s">
        <v>2155</v>
      </c>
      <c r="AX239" s="2" t="s">
        <v>477</v>
      </c>
      <c r="AZ239" s="2" t="s">
        <v>478</v>
      </c>
    </row>
    <row r="240" spans="1:52" s="3" customFormat="1" x14ac:dyDescent="0.35">
      <c r="A240" s="2" t="s">
        <v>2156</v>
      </c>
      <c r="B240" s="4">
        <v>248957</v>
      </c>
      <c r="C240" s="2" t="s">
        <v>2157</v>
      </c>
      <c r="D240" s="2">
        <f t="shared" si="3"/>
        <v>5</v>
      </c>
      <c r="G240" s="2" t="s">
        <v>53</v>
      </c>
      <c r="H240" s="4">
        <v>1</v>
      </c>
      <c r="I240" s="4">
        <v>1</v>
      </c>
      <c r="J240" s="4">
        <v>0</v>
      </c>
      <c r="L240" s="4">
        <v>0</v>
      </c>
      <c r="M240" s="2" t="s">
        <v>55</v>
      </c>
      <c r="N240" s="2" t="s">
        <v>56</v>
      </c>
      <c r="O240" s="2" t="s">
        <v>57</v>
      </c>
      <c r="P240" s="2" t="s">
        <v>1840</v>
      </c>
      <c r="Q240" s="2" t="s">
        <v>1841</v>
      </c>
      <c r="R240" s="2" t="s">
        <v>2158</v>
      </c>
      <c r="S240" s="2" t="s">
        <v>2159</v>
      </c>
      <c r="V240" s="2" t="s">
        <v>2160</v>
      </c>
      <c r="W240" s="2" t="s">
        <v>2161</v>
      </c>
      <c r="Y240" s="2" t="s">
        <v>2162</v>
      </c>
      <c r="Z240" s="2" t="s">
        <v>2163</v>
      </c>
      <c r="AA240" s="2" t="s">
        <v>2164</v>
      </c>
      <c r="AC240" s="2" t="s">
        <v>2165</v>
      </c>
      <c r="AD240" s="2" t="s">
        <v>1381</v>
      </c>
      <c r="AE240" s="2" t="s">
        <v>69</v>
      </c>
      <c r="AF240" s="2" t="s">
        <v>70</v>
      </c>
      <c r="AG240" s="2" t="s">
        <v>2166</v>
      </c>
      <c r="AK240" s="2" t="s">
        <v>2167</v>
      </c>
      <c r="AM240" s="2" t="s">
        <v>72</v>
      </c>
      <c r="AN240" s="2" t="s">
        <v>1046</v>
      </c>
      <c r="AP240" s="2" t="s">
        <v>1856</v>
      </c>
      <c r="AU240" s="2" t="s">
        <v>75</v>
      </c>
      <c r="AW240" s="2" t="s">
        <v>2168</v>
      </c>
      <c r="AZ240" s="2" t="s">
        <v>116</v>
      </c>
    </row>
    <row r="241" spans="1:52" s="3" customFormat="1" x14ac:dyDescent="0.35">
      <c r="A241" s="2" t="s">
        <v>2169</v>
      </c>
      <c r="B241" s="4">
        <v>248916</v>
      </c>
      <c r="C241" s="2" t="s">
        <v>2170</v>
      </c>
      <c r="D241" s="2">
        <f t="shared" si="3"/>
        <v>5</v>
      </c>
      <c r="G241" s="2" t="s">
        <v>53</v>
      </c>
      <c r="H241" s="4">
        <v>1</v>
      </c>
      <c r="I241" s="4">
        <v>1</v>
      </c>
      <c r="J241" s="4">
        <v>0</v>
      </c>
      <c r="L241" s="4">
        <v>0</v>
      </c>
      <c r="M241" s="2" t="s">
        <v>55</v>
      </c>
      <c r="N241" s="2" t="s">
        <v>56</v>
      </c>
      <c r="O241" s="2" t="s">
        <v>57</v>
      </c>
      <c r="P241" s="2" t="s">
        <v>1840</v>
      </c>
      <c r="Q241" s="2" t="s">
        <v>1841</v>
      </c>
      <c r="R241" s="2" t="s">
        <v>2171</v>
      </c>
      <c r="S241" s="2" t="s">
        <v>2172</v>
      </c>
      <c r="V241" s="2" t="s">
        <v>2173</v>
      </c>
      <c r="W241" s="2" t="s">
        <v>2174</v>
      </c>
      <c r="Y241" s="2" t="s">
        <v>64</v>
      </c>
      <c r="Z241" s="2" t="s">
        <v>205</v>
      </c>
      <c r="AA241" s="2" t="s">
        <v>66</v>
      </c>
      <c r="AC241" s="2" t="s">
        <v>67</v>
      </c>
      <c r="AD241" s="2" t="s">
        <v>68</v>
      </c>
      <c r="AE241" s="2" t="s">
        <v>69</v>
      </c>
      <c r="AF241" s="2" t="s">
        <v>70</v>
      </c>
      <c r="AG241" s="2" t="s">
        <v>1854</v>
      </c>
      <c r="AK241" s="2" t="s">
        <v>2175</v>
      </c>
      <c r="AM241" s="2" t="s">
        <v>72</v>
      </c>
      <c r="AN241" s="2" t="s">
        <v>100</v>
      </c>
      <c r="AP241" s="2" t="s">
        <v>1856</v>
      </c>
      <c r="AU241" s="2" t="s">
        <v>75</v>
      </c>
      <c r="AW241" s="2" t="s">
        <v>2176</v>
      </c>
      <c r="AZ241" s="2" t="s">
        <v>116</v>
      </c>
    </row>
    <row r="242" spans="1:52" s="3" customFormat="1" x14ac:dyDescent="0.35">
      <c r="A242" s="2" t="s">
        <v>2177</v>
      </c>
      <c r="B242" s="4">
        <v>248915</v>
      </c>
      <c r="C242" s="2" t="s">
        <v>2178</v>
      </c>
      <c r="D242" s="2">
        <f t="shared" si="3"/>
        <v>5</v>
      </c>
      <c r="G242" s="2" t="s">
        <v>53</v>
      </c>
      <c r="H242" s="4">
        <v>1</v>
      </c>
      <c r="I242" s="4">
        <v>1</v>
      </c>
      <c r="J242" s="4">
        <v>0</v>
      </c>
      <c r="L242" s="4">
        <v>0</v>
      </c>
      <c r="M242" s="2" t="s">
        <v>55</v>
      </c>
      <c r="N242" s="2" t="s">
        <v>56</v>
      </c>
      <c r="O242" s="2" t="s">
        <v>57</v>
      </c>
      <c r="P242" s="2" t="s">
        <v>1840</v>
      </c>
      <c r="Q242" s="2" t="s">
        <v>1841</v>
      </c>
      <c r="R242" s="2" t="s">
        <v>2085</v>
      </c>
      <c r="S242" s="2" t="s">
        <v>2086</v>
      </c>
      <c r="V242" s="2" t="s">
        <v>2087</v>
      </c>
      <c r="W242" s="2" t="s">
        <v>2088</v>
      </c>
      <c r="Y242" s="2" t="s">
        <v>64</v>
      </c>
      <c r="Z242" s="2" t="s">
        <v>65</v>
      </c>
      <c r="AA242" s="2" t="s">
        <v>66</v>
      </c>
      <c r="AC242" s="2" t="s">
        <v>67</v>
      </c>
      <c r="AD242" s="2" t="s">
        <v>68</v>
      </c>
      <c r="AE242" s="2" t="s">
        <v>69</v>
      </c>
      <c r="AF242" s="2" t="s">
        <v>70</v>
      </c>
      <c r="AG242" s="2" t="s">
        <v>1854</v>
      </c>
      <c r="AK242" s="2" t="s">
        <v>2179</v>
      </c>
      <c r="AM242" s="2" t="s">
        <v>72</v>
      </c>
      <c r="AN242" s="2" t="s">
        <v>403</v>
      </c>
      <c r="AP242" s="2" t="s">
        <v>1856</v>
      </c>
      <c r="AU242" s="2" t="s">
        <v>75</v>
      </c>
      <c r="AW242" s="2" t="s">
        <v>2090</v>
      </c>
      <c r="AZ242" s="2" t="s">
        <v>116</v>
      </c>
    </row>
    <row r="243" spans="1:52" s="3" customFormat="1" x14ac:dyDescent="0.35">
      <c r="A243" s="2" t="s">
        <v>2180</v>
      </c>
      <c r="B243" s="4">
        <v>248914</v>
      </c>
      <c r="C243" s="2" t="s">
        <v>2181</v>
      </c>
      <c r="D243" s="2">
        <f t="shared" si="3"/>
        <v>5</v>
      </c>
      <c r="G243" s="2" t="s">
        <v>53</v>
      </c>
      <c r="H243" s="4">
        <v>1</v>
      </c>
      <c r="I243" s="4">
        <v>1</v>
      </c>
      <c r="J243" s="4">
        <v>0</v>
      </c>
      <c r="L243" s="4">
        <v>0</v>
      </c>
      <c r="M243" s="2" t="s">
        <v>55</v>
      </c>
      <c r="N243" s="2" t="s">
        <v>56</v>
      </c>
      <c r="O243" s="2" t="s">
        <v>57</v>
      </c>
      <c r="P243" s="2" t="s">
        <v>499</v>
      </c>
      <c r="Q243" s="2" t="s">
        <v>500</v>
      </c>
      <c r="R243" s="2" t="s">
        <v>2182</v>
      </c>
      <c r="S243" s="2" t="s">
        <v>2183</v>
      </c>
      <c r="V243" s="2" t="s">
        <v>2184</v>
      </c>
      <c r="W243" s="2" t="s">
        <v>2185</v>
      </c>
      <c r="Y243" s="2" t="s">
        <v>64</v>
      </c>
      <c r="Z243" s="2" t="s">
        <v>65</v>
      </c>
      <c r="AA243" s="2" t="s">
        <v>66</v>
      </c>
      <c r="AC243" s="2" t="s">
        <v>67</v>
      </c>
      <c r="AD243" s="2" t="s">
        <v>68</v>
      </c>
      <c r="AE243" s="2" t="s">
        <v>69</v>
      </c>
      <c r="AF243" s="2" t="s">
        <v>70</v>
      </c>
      <c r="AG243" s="2" t="s">
        <v>499</v>
      </c>
      <c r="AK243" s="2" t="s">
        <v>2186</v>
      </c>
      <c r="AM243" s="2" t="s">
        <v>72</v>
      </c>
      <c r="AN243" s="2" t="s">
        <v>100</v>
      </c>
      <c r="AP243" s="2" t="s">
        <v>74</v>
      </c>
      <c r="AU243" s="2" t="s">
        <v>75</v>
      </c>
      <c r="AW243" s="2" t="s">
        <v>2187</v>
      </c>
      <c r="AZ243" s="2" t="s">
        <v>116</v>
      </c>
    </row>
    <row r="244" spans="1:52" s="3" customFormat="1" x14ac:dyDescent="0.35">
      <c r="A244" s="2" t="s">
        <v>2188</v>
      </c>
      <c r="B244" s="4">
        <v>248911</v>
      </c>
      <c r="C244" s="2" t="s">
        <v>2189</v>
      </c>
      <c r="D244" s="2">
        <f t="shared" si="3"/>
        <v>5</v>
      </c>
      <c r="G244" s="2" t="s">
        <v>53</v>
      </c>
      <c r="H244" s="4">
        <v>1</v>
      </c>
      <c r="I244" s="4">
        <v>1</v>
      </c>
      <c r="J244" s="4">
        <v>0</v>
      </c>
      <c r="L244" s="4">
        <v>0</v>
      </c>
      <c r="M244" s="2" t="s">
        <v>55</v>
      </c>
      <c r="N244" s="2" t="s">
        <v>56</v>
      </c>
      <c r="O244" s="2" t="s">
        <v>57</v>
      </c>
      <c r="P244" s="2" t="s">
        <v>509</v>
      </c>
      <c r="Q244" s="2" t="s">
        <v>510</v>
      </c>
      <c r="R244" s="2" t="s">
        <v>2190</v>
      </c>
      <c r="S244" s="2" t="s">
        <v>2191</v>
      </c>
      <c r="V244" s="2" t="s">
        <v>2192</v>
      </c>
      <c r="W244" s="2" t="s">
        <v>2193</v>
      </c>
      <c r="Y244" s="2" t="s">
        <v>64</v>
      </c>
      <c r="Z244" s="2" t="s">
        <v>65</v>
      </c>
      <c r="AA244" s="2" t="s">
        <v>66</v>
      </c>
      <c r="AC244" s="2" t="s">
        <v>67</v>
      </c>
      <c r="AD244" s="2" t="s">
        <v>68</v>
      </c>
      <c r="AE244" s="2" t="s">
        <v>69</v>
      </c>
      <c r="AF244" s="2" t="s">
        <v>70</v>
      </c>
      <c r="AG244" s="2" t="s">
        <v>509</v>
      </c>
      <c r="AK244" s="2" t="s">
        <v>2194</v>
      </c>
      <c r="AM244" s="2" t="s">
        <v>72</v>
      </c>
      <c r="AN244" s="2" t="s">
        <v>283</v>
      </c>
      <c r="AP244" s="2" t="s">
        <v>74</v>
      </c>
      <c r="AU244" s="2" t="s">
        <v>75</v>
      </c>
      <c r="AW244" s="2" t="s">
        <v>2195</v>
      </c>
      <c r="AZ244" s="2" t="s">
        <v>116</v>
      </c>
    </row>
    <row r="245" spans="1:52" s="3" customFormat="1" x14ac:dyDescent="0.35">
      <c r="A245" s="2" t="s">
        <v>2196</v>
      </c>
      <c r="B245" s="4">
        <v>248910</v>
      </c>
      <c r="C245" s="2" t="s">
        <v>2197</v>
      </c>
      <c r="D245" s="2">
        <f t="shared" si="3"/>
        <v>5</v>
      </c>
      <c r="G245" s="2" t="s">
        <v>53</v>
      </c>
      <c r="H245" s="4">
        <v>1</v>
      </c>
      <c r="I245" s="4">
        <v>1</v>
      </c>
      <c r="J245" s="4">
        <v>0</v>
      </c>
      <c r="L245" s="4">
        <v>0</v>
      </c>
      <c r="M245" s="2" t="s">
        <v>55</v>
      </c>
      <c r="N245" s="2" t="s">
        <v>56</v>
      </c>
      <c r="O245" s="2" t="s">
        <v>57</v>
      </c>
      <c r="P245" s="2" t="s">
        <v>509</v>
      </c>
      <c r="Q245" s="2" t="s">
        <v>510</v>
      </c>
      <c r="R245" s="2" t="s">
        <v>2198</v>
      </c>
      <c r="S245" s="2" t="s">
        <v>2199</v>
      </c>
      <c r="V245" s="2" t="s">
        <v>2200</v>
      </c>
      <c r="W245" s="2" t="s">
        <v>2201</v>
      </c>
      <c r="Y245" s="2" t="s">
        <v>64</v>
      </c>
      <c r="Z245" s="2" t="s">
        <v>65</v>
      </c>
      <c r="AA245" s="2" t="s">
        <v>66</v>
      </c>
      <c r="AC245" s="2" t="s">
        <v>67</v>
      </c>
      <c r="AD245" s="2" t="s">
        <v>68</v>
      </c>
      <c r="AE245" s="2" t="s">
        <v>69</v>
      </c>
      <c r="AF245" s="2" t="s">
        <v>70</v>
      </c>
      <c r="AG245" s="2" t="s">
        <v>509</v>
      </c>
      <c r="AK245" s="2" t="s">
        <v>2202</v>
      </c>
      <c r="AM245" s="2" t="s">
        <v>72</v>
      </c>
      <c r="AN245" s="2" t="s">
        <v>283</v>
      </c>
      <c r="AP245" s="2" t="s">
        <v>74</v>
      </c>
      <c r="AU245" s="2" t="s">
        <v>75</v>
      </c>
      <c r="AV245" s="2" t="s">
        <v>2203</v>
      </c>
      <c r="AW245" s="2" t="s">
        <v>2204</v>
      </c>
      <c r="AZ245" s="2" t="s">
        <v>116</v>
      </c>
    </row>
    <row r="246" spans="1:52" s="3" customFormat="1" x14ac:dyDescent="0.35">
      <c r="A246" s="2" t="s">
        <v>2205</v>
      </c>
      <c r="B246" s="4">
        <v>248909</v>
      </c>
      <c r="C246" s="2" t="s">
        <v>2206</v>
      </c>
      <c r="D246" s="2">
        <f t="shared" si="3"/>
        <v>5</v>
      </c>
      <c r="G246" s="2" t="s">
        <v>53</v>
      </c>
      <c r="H246" s="4">
        <v>1</v>
      </c>
      <c r="I246" s="4">
        <v>1</v>
      </c>
      <c r="J246" s="4">
        <v>0</v>
      </c>
      <c r="L246" s="4">
        <v>0</v>
      </c>
      <c r="M246" s="2" t="s">
        <v>55</v>
      </c>
      <c r="N246" s="2" t="s">
        <v>56</v>
      </c>
      <c r="O246" s="2" t="s">
        <v>57</v>
      </c>
      <c r="P246" s="2" t="s">
        <v>509</v>
      </c>
      <c r="Q246" s="2" t="s">
        <v>510</v>
      </c>
      <c r="R246" s="2" t="s">
        <v>2207</v>
      </c>
      <c r="S246" s="2" t="s">
        <v>2208</v>
      </c>
      <c r="V246" s="2" t="s">
        <v>2209</v>
      </c>
      <c r="W246" s="2" t="s">
        <v>2210</v>
      </c>
      <c r="Y246" s="2" t="s">
        <v>64</v>
      </c>
      <c r="Z246" s="2" t="s">
        <v>65</v>
      </c>
      <c r="AA246" s="2" t="s">
        <v>66</v>
      </c>
      <c r="AC246" s="2" t="s">
        <v>67</v>
      </c>
      <c r="AD246" s="2" t="s">
        <v>68</v>
      </c>
      <c r="AE246" s="2" t="s">
        <v>69</v>
      </c>
      <c r="AF246" s="2" t="s">
        <v>70</v>
      </c>
      <c r="AG246" s="2" t="s">
        <v>509</v>
      </c>
      <c r="AK246" s="2" t="s">
        <v>2211</v>
      </c>
      <c r="AM246" s="2" t="s">
        <v>72</v>
      </c>
      <c r="AN246" s="2" t="s">
        <v>283</v>
      </c>
      <c r="AP246" s="2" t="s">
        <v>74</v>
      </c>
      <c r="AU246" s="2" t="s">
        <v>75</v>
      </c>
      <c r="AW246" s="2" t="s">
        <v>2212</v>
      </c>
      <c r="AZ246" s="2" t="s">
        <v>116</v>
      </c>
    </row>
    <row r="247" spans="1:52" s="3" customFormat="1" x14ac:dyDescent="0.35">
      <c r="A247" s="2" t="s">
        <v>2213</v>
      </c>
      <c r="B247" s="4">
        <v>248907</v>
      </c>
      <c r="C247" s="2" t="s">
        <v>2214</v>
      </c>
      <c r="D247" s="2">
        <f t="shared" si="3"/>
        <v>5</v>
      </c>
      <c r="G247" s="2" t="s">
        <v>53</v>
      </c>
      <c r="H247" s="4">
        <v>1</v>
      </c>
      <c r="I247" s="4">
        <v>1</v>
      </c>
      <c r="J247" s="4">
        <v>0</v>
      </c>
      <c r="L247" s="4">
        <v>0</v>
      </c>
      <c r="M247" s="2" t="s">
        <v>55</v>
      </c>
      <c r="N247" s="2" t="s">
        <v>56</v>
      </c>
      <c r="O247" s="2" t="s">
        <v>57</v>
      </c>
      <c r="P247" s="2" t="s">
        <v>499</v>
      </c>
      <c r="Q247" s="2" t="s">
        <v>500</v>
      </c>
      <c r="R247" s="2" t="s">
        <v>2215</v>
      </c>
      <c r="S247" s="2" t="s">
        <v>2216</v>
      </c>
      <c r="V247" s="2" t="s">
        <v>2217</v>
      </c>
      <c r="W247" s="2" t="s">
        <v>2218</v>
      </c>
      <c r="Y247" s="2" t="s">
        <v>64</v>
      </c>
      <c r="Z247" s="2" t="s">
        <v>205</v>
      </c>
      <c r="AA247" s="2" t="s">
        <v>66</v>
      </c>
      <c r="AC247" s="2" t="s">
        <v>67</v>
      </c>
      <c r="AD247" s="2" t="s">
        <v>68</v>
      </c>
      <c r="AE247" s="2" t="s">
        <v>69</v>
      </c>
      <c r="AF247" s="2" t="s">
        <v>70</v>
      </c>
      <c r="AG247" s="2" t="s">
        <v>509</v>
      </c>
      <c r="AK247" s="2" t="s">
        <v>2219</v>
      </c>
      <c r="AM247" s="2" t="s">
        <v>72</v>
      </c>
      <c r="AN247" s="2" t="s">
        <v>283</v>
      </c>
      <c r="AP247" s="2" t="s">
        <v>74</v>
      </c>
      <c r="AU247" s="2" t="s">
        <v>75</v>
      </c>
      <c r="AV247" s="2" t="s">
        <v>2203</v>
      </c>
      <c r="AW247" s="2" t="s">
        <v>2220</v>
      </c>
      <c r="AZ247" s="2" t="s">
        <v>116</v>
      </c>
    </row>
    <row r="248" spans="1:52" s="3" customFormat="1" x14ac:dyDescent="0.35">
      <c r="A248" s="2" t="s">
        <v>2221</v>
      </c>
      <c r="B248" s="4">
        <v>248906</v>
      </c>
      <c r="C248" s="2" t="s">
        <v>2222</v>
      </c>
      <c r="D248" s="2">
        <f t="shared" si="3"/>
        <v>5</v>
      </c>
      <c r="G248" s="2" t="s">
        <v>53</v>
      </c>
      <c r="H248" s="4">
        <v>1</v>
      </c>
      <c r="I248" s="4">
        <v>1</v>
      </c>
      <c r="J248" s="4">
        <v>0</v>
      </c>
      <c r="L248" s="4">
        <v>0</v>
      </c>
      <c r="M248" s="2" t="s">
        <v>55</v>
      </c>
      <c r="N248" s="2" t="s">
        <v>56</v>
      </c>
      <c r="O248" s="2" t="s">
        <v>57</v>
      </c>
      <c r="P248" s="2" t="s">
        <v>509</v>
      </c>
      <c r="Q248" s="2" t="s">
        <v>510</v>
      </c>
      <c r="R248" s="2" t="s">
        <v>2223</v>
      </c>
      <c r="S248" s="2" t="s">
        <v>2224</v>
      </c>
      <c r="V248" s="2" t="s">
        <v>2225</v>
      </c>
      <c r="W248" s="2" t="s">
        <v>2226</v>
      </c>
      <c r="Y248" s="2" t="s">
        <v>64</v>
      </c>
      <c r="Z248" s="2" t="s">
        <v>65</v>
      </c>
      <c r="AA248" s="2" t="s">
        <v>66</v>
      </c>
      <c r="AC248" s="2" t="s">
        <v>67</v>
      </c>
      <c r="AD248" s="2" t="s">
        <v>68</v>
      </c>
      <c r="AE248" s="2" t="s">
        <v>69</v>
      </c>
      <c r="AF248" s="2" t="s">
        <v>70</v>
      </c>
      <c r="AG248" s="2" t="s">
        <v>509</v>
      </c>
      <c r="AK248" s="2" t="s">
        <v>2227</v>
      </c>
      <c r="AM248" s="2" t="s">
        <v>72</v>
      </c>
      <c r="AN248" s="2" t="s">
        <v>283</v>
      </c>
      <c r="AP248" s="2" t="s">
        <v>74</v>
      </c>
      <c r="AU248" s="2" t="s">
        <v>75</v>
      </c>
      <c r="AV248" s="2" t="s">
        <v>223</v>
      </c>
      <c r="AW248" s="2" t="s">
        <v>2228</v>
      </c>
      <c r="AZ248" s="2" t="s">
        <v>116</v>
      </c>
    </row>
    <row r="249" spans="1:52" s="3" customFormat="1" x14ac:dyDescent="0.35">
      <c r="A249" s="2" t="s">
        <v>2229</v>
      </c>
      <c r="B249" s="4">
        <v>248904</v>
      </c>
      <c r="C249" s="2" t="s">
        <v>2230</v>
      </c>
      <c r="D249" s="2">
        <f t="shared" si="3"/>
        <v>5</v>
      </c>
      <c r="F249" s="2" t="s">
        <v>1264</v>
      </c>
      <c r="G249" s="2" t="s">
        <v>53</v>
      </c>
      <c r="H249" s="4">
        <v>1</v>
      </c>
      <c r="I249" s="4">
        <v>1</v>
      </c>
      <c r="J249" s="4">
        <v>0</v>
      </c>
      <c r="L249" s="4">
        <v>0</v>
      </c>
      <c r="M249" s="2" t="s">
        <v>55</v>
      </c>
      <c r="N249" s="2" t="s">
        <v>56</v>
      </c>
      <c r="O249" s="2" t="s">
        <v>57</v>
      </c>
      <c r="P249" s="2" t="s">
        <v>106</v>
      </c>
      <c r="Q249" s="2" t="s">
        <v>107</v>
      </c>
      <c r="R249" s="2" t="s">
        <v>2231</v>
      </c>
      <c r="S249" s="2" t="s">
        <v>2232</v>
      </c>
      <c r="V249" s="2" t="s">
        <v>2233</v>
      </c>
      <c r="W249" s="2" t="s">
        <v>2234</v>
      </c>
      <c r="Y249" s="2" t="s">
        <v>64</v>
      </c>
      <c r="Z249" s="2" t="s">
        <v>65</v>
      </c>
      <c r="AA249" s="2" t="s">
        <v>66</v>
      </c>
      <c r="AC249" s="2" t="s">
        <v>67</v>
      </c>
      <c r="AD249" s="2" t="s">
        <v>68</v>
      </c>
      <c r="AE249" s="2" t="s">
        <v>69</v>
      </c>
      <c r="AF249" s="2" t="s">
        <v>70</v>
      </c>
      <c r="AG249" s="2" t="s">
        <v>106</v>
      </c>
      <c r="AK249" s="2" t="s">
        <v>2235</v>
      </c>
      <c r="AM249" s="2" t="s">
        <v>72</v>
      </c>
      <c r="AN249" s="2" t="s">
        <v>595</v>
      </c>
      <c r="AP249" s="2" t="s">
        <v>113</v>
      </c>
      <c r="AT249" s="2" t="s">
        <v>114</v>
      </c>
      <c r="AU249" s="2" t="s">
        <v>75</v>
      </c>
      <c r="AW249" s="2" t="s">
        <v>2236</v>
      </c>
      <c r="AZ249" s="2" t="s">
        <v>116</v>
      </c>
    </row>
    <row r="250" spans="1:52" s="3" customFormat="1" x14ac:dyDescent="0.35">
      <c r="A250" s="2" t="s">
        <v>2237</v>
      </c>
      <c r="B250" s="4">
        <v>248900</v>
      </c>
      <c r="C250" s="2" t="s">
        <v>2238</v>
      </c>
      <c r="D250" s="2">
        <f t="shared" si="3"/>
        <v>5</v>
      </c>
      <c r="F250" s="2" t="s">
        <v>1264</v>
      </c>
      <c r="G250" s="2" t="s">
        <v>53</v>
      </c>
      <c r="H250" s="4">
        <v>1</v>
      </c>
      <c r="I250" s="4">
        <v>1</v>
      </c>
      <c r="J250" s="4">
        <v>0</v>
      </c>
      <c r="L250" s="4">
        <v>0</v>
      </c>
      <c r="M250" s="2" t="s">
        <v>55</v>
      </c>
      <c r="N250" s="2" t="s">
        <v>56</v>
      </c>
      <c r="O250" s="2" t="s">
        <v>57</v>
      </c>
      <c r="P250" s="2" t="s">
        <v>106</v>
      </c>
      <c r="Q250" s="2" t="s">
        <v>107</v>
      </c>
      <c r="R250" s="2" t="s">
        <v>2239</v>
      </c>
      <c r="S250" s="2" t="s">
        <v>2240</v>
      </c>
      <c r="V250" s="2" t="s">
        <v>2241</v>
      </c>
      <c r="W250" s="2" t="s">
        <v>2242</v>
      </c>
      <c r="Y250" s="2" t="s">
        <v>64</v>
      </c>
      <c r="Z250" s="2" t="s">
        <v>65</v>
      </c>
      <c r="AA250" s="2" t="s">
        <v>66</v>
      </c>
      <c r="AC250" s="2" t="s">
        <v>67</v>
      </c>
      <c r="AD250" s="2" t="s">
        <v>68</v>
      </c>
      <c r="AE250" s="2" t="s">
        <v>69</v>
      </c>
      <c r="AF250" s="2" t="s">
        <v>70</v>
      </c>
      <c r="AG250" s="2" t="s">
        <v>106</v>
      </c>
      <c r="AK250" s="2" t="s">
        <v>2243</v>
      </c>
      <c r="AM250" s="2" t="s">
        <v>72</v>
      </c>
      <c r="AN250" s="2" t="s">
        <v>100</v>
      </c>
      <c r="AP250" s="2" t="s">
        <v>113</v>
      </c>
      <c r="AT250" s="2" t="s">
        <v>114</v>
      </c>
      <c r="AU250" s="2" t="s">
        <v>75</v>
      </c>
      <c r="AW250" s="2" t="s">
        <v>2244</v>
      </c>
      <c r="AZ250" s="2" t="s">
        <v>116</v>
      </c>
    </row>
    <row r="251" spans="1:52" s="3" customFormat="1" x14ac:dyDescent="0.35">
      <c r="A251" s="2" t="s">
        <v>2245</v>
      </c>
      <c r="B251" s="4">
        <v>248899</v>
      </c>
      <c r="C251" s="2" t="s">
        <v>2246</v>
      </c>
      <c r="D251" s="2">
        <f t="shared" si="3"/>
        <v>5</v>
      </c>
      <c r="F251" s="2" t="s">
        <v>1264</v>
      </c>
      <c r="G251" s="2" t="s">
        <v>53</v>
      </c>
      <c r="H251" s="4">
        <v>1</v>
      </c>
      <c r="I251" s="4">
        <v>1</v>
      </c>
      <c r="J251" s="4">
        <v>0</v>
      </c>
      <c r="L251" s="4">
        <v>0</v>
      </c>
      <c r="M251" s="2" t="s">
        <v>55</v>
      </c>
      <c r="N251" s="2" t="s">
        <v>56</v>
      </c>
      <c r="O251" s="2" t="s">
        <v>57</v>
      </c>
      <c r="P251" s="2" t="s">
        <v>106</v>
      </c>
      <c r="Q251" s="2" t="s">
        <v>107</v>
      </c>
      <c r="R251" s="2" t="s">
        <v>2247</v>
      </c>
      <c r="S251" s="2" t="s">
        <v>2248</v>
      </c>
      <c r="V251" s="2" t="s">
        <v>2249</v>
      </c>
      <c r="W251" s="2" t="s">
        <v>2250</v>
      </c>
      <c r="Y251" s="2" t="s">
        <v>64</v>
      </c>
      <c r="Z251" s="2" t="s">
        <v>65</v>
      </c>
      <c r="AA251" s="2" t="s">
        <v>66</v>
      </c>
      <c r="AC251" s="2" t="s">
        <v>67</v>
      </c>
      <c r="AD251" s="2" t="s">
        <v>68</v>
      </c>
      <c r="AE251" s="2" t="s">
        <v>69</v>
      </c>
      <c r="AF251" s="2" t="s">
        <v>70</v>
      </c>
      <c r="AG251" s="2" t="s">
        <v>106</v>
      </c>
      <c r="AK251" s="2" t="s">
        <v>2251</v>
      </c>
      <c r="AM251" s="2" t="s">
        <v>72</v>
      </c>
      <c r="AN251" s="2" t="s">
        <v>100</v>
      </c>
      <c r="AP251" s="2" t="s">
        <v>113</v>
      </c>
      <c r="AT251" s="2" t="s">
        <v>114</v>
      </c>
      <c r="AU251" s="2" t="s">
        <v>75</v>
      </c>
      <c r="AW251" s="2" t="s">
        <v>2252</v>
      </c>
      <c r="AZ251" s="2" t="s">
        <v>116</v>
      </c>
    </row>
    <row r="252" spans="1:52" s="3" customFormat="1" x14ac:dyDescent="0.35">
      <c r="A252" s="2" t="s">
        <v>2253</v>
      </c>
      <c r="B252" s="4">
        <v>248897</v>
      </c>
      <c r="C252" s="2" t="s">
        <v>2254</v>
      </c>
      <c r="D252" s="2">
        <f t="shared" si="3"/>
        <v>5</v>
      </c>
      <c r="G252" s="2" t="s">
        <v>53</v>
      </c>
      <c r="H252" s="4">
        <v>1</v>
      </c>
      <c r="I252" s="4">
        <v>1</v>
      </c>
      <c r="J252" s="4">
        <v>0</v>
      </c>
      <c r="L252" s="4">
        <v>0</v>
      </c>
      <c r="M252" s="2" t="s">
        <v>55</v>
      </c>
      <c r="N252" s="2" t="s">
        <v>56</v>
      </c>
      <c r="O252" s="2" t="s">
        <v>57</v>
      </c>
      <c r="P252" s="2" t="s">
        <v>509</v>
      </c>
      <c r="Q252" s="2" t="s">
        <v>510</v>
      </c>
      <c r="R252" s="2" t="s">
        <v>2255</v>
      </c>
      <c r="S252" s="2" t="s">
        <v>2256</v>
      </c>
      <c r="V252" s="2" t="s">
        <v>2257</v>
      </c>
      <c r="W252" s="2" t="s">
        <v>2258</v>
      </c>
      <c r="Y252" s="2" t="s">
        <v>64</v>
      </c>
      <c r="Z252" s="2" t="s">
        <v>65</v>
      </c>
      <c r="AA252" s="2" t="s">
        <v>66</v>
      </c>
      <c r="AC252" s="2" t="s">
        <v>67</v>
      </c>
      <c r="AD252" s="2" t="s">
        <v>68</v>
      </c>
      <c r="AE252" s="2" t="s">
        <v>69</v>
      </c>
      <c r="AF252" s="2" t="s">
        <v>70</v>
      </c>
      <c r="AG252" s="2" t="s">
        <v>509</v>
      </c>
      <c r="AK252" s="2" t="s">
        <v>2259</v>
      </c>
      <c r="AM252" s="2" t="s">
        <v>72</v>
      </c>
      <c r="AN252" s="2" t="s">
        <v>100</v>
      </c>
      <c r="AP252" s="2" t="s">
        <v>74</v>
      </c>
      <c r="AU252" s="2" t="s">
        <v>75</v>
      </c>
      <c r="AV252" s="2" t="s">
        <v>2260</v>
      </c>
      <c r="AW252" s="2" t="s">
        <v>2261</v>
      </c>
      <c r="AZ252" s="2" t="s">
        <v>116</v>
      </c>
    </row>
    <row r="253" spans="1:52" s="3" customFormat="1" x14ac:dyDescent="0.35">
      <c r="A253" s="2" t="s">
        <v>2262</v>
      </c>
      <c r="B253" s="4">
        <v>248896</v>
      </c>
      <c r="C253" s="2" t="s">
        <v>2263</v>
      </c>
      <c r="D253" s="2">
        <f t="shared" si="3"/>
        <v>5</v>
      </c>
      <c r="F253" s="2" t="s">
        <v>1264</v>
      </c>
      <c r="G253" s="2" t="s">
        <v>53</v>
      </c>
      <c r="H253" s="4">
        <v>1</v>
      </c>
      <c r="I253" s="4">
        <v>1</v>
      </c>
      <c r="J253" s="4">
        <v>0</v>
      </c>
      <c r="L253" s="4">
        <v>0</v>
      </c>
      <c r="M253" s="2" t="s">
        <v>55</v>
      </c>
      <c r="N253" s="2" t="s">
        <v>56</v>
      </c>
      <c r="O253" s="2" t="s">
        <v>57</v>
      </c>
      <c r="P253" s="2" t="s">
        <v>106</v>
      </c>
      <c r="Q253" s="2" t="s">
        <v>107</v>
      </c>
      <c r="R253" s="2" t="s">
        <v>2264</v>
      </c>
      <c r="S253" s="2" t="s">
        <v>2265</v>
      </c>
      <c r="V253" s="2" t="s">
        <v>2266</v>
      </c>
      <c r="W253" s="2" t="s">
        <v>2267</v>
      </c>
      <c r="Y253" s="2" t="s">
        <v>64</v>
      </c>
      <c r="Z253" s="2" t="s">
        <v>65</v>
      </c>
      <c r="AA253" s="2" t="s">
        <v>66</v>
      </c>
      <c r="AC253" s="2" t="s">
        <v>67</v>
      </c>
      <c r="AD253" s="2" t="s">
        <v>68</v>
      </c>
      <c r="AE253" s="2" t="s">
        <v>69</v>
      </c>
      <c r="AF253" s="2" t="s">
        <v>70</v>
      </c>
      <c r="AG253" s="2" t="s">
        <v>106</v>
      </c>
      <c r="AK253" s="2" t="s">
        <v>2268</v>
      </c>
      <c r="AM253" s="2" t="s">
        <v>72</v>
      </c>
      <c r="AN253" s="2" t="s">
        <v>595</v>
      </c>
      <c r="AP253" s="2" t="s">
        <v>113</v>
      </c>
      <c r="AT253" s="2" t="s">
        <v>114</v>
      </c>
      <c r="AU253" s="2" t="s">
        <v>75</v>
      </c>
      <c r="AV253" s="2" t="s">
        <v>2269</v>
      </c>
      <c r="AW253" s="2" t="s">
        <v>2270</v>
      </c>
      <c r="AZ253" s="2" t="s">
        <v>116</v>
      </c>
    </row>
    <row r="254" spans="1:52" s="3" customFormat="1" x14ac:dyDescent="0.35">
      <c r="A254" s="2" t="s">
        <v>2271</v>
      </c>
      <c r="B254" s="4">
        <v>248895</v>
      </c>
      <c r="C254" s="2" t="s">
        <v>2272</v>
      </c>
      <c r="D254" s="2">
        <f t="shared" si="3"/>
        <v>5</v>
      </c>
      <c r="G254" s="2" t="s">
        <v>53</v>
      </c>
      <c r="H254" s="4">
        <v>1</v>
      </c>
      <c r="I254" s="4">
        <v>1</v>
      </c>
      <c r="J254" s="4">
        <v>0</v>
      </c>
      <c r="L254" s="4">
        <v>0</v>
      </c>
      <c r="M254" s="2" t="s">
        <v>55</v>
      </c>
      <c r="N254" s="2" t="s">
        <v>56</v>
      </c>
      <c r="O254" s="2" t="s">
        <v>57</v>
      </c>
      <c r="P254" s="2" t="s">
        <v>509</v>
      </c>
      <c r="Q254" s="2" t="s">
        <v>510</v>
      </c>
      <c r="R254" s="2" t="s">
        <v>2273</v>
      </c>
      <c r="S254" s="2" t="s">
        <v>2274</v>
      </c>
      <c r="V254" s="2" t="s">
        <v>2275</v>
      </c>
      <c r="W254" s="2" t="s">
        <v>2276</v>
      </c>
      <c r="Y254" s="2" t="s">
        <v>64</v>
      </c>
      <c r="Z254" s="2" t="s">
        <v>65</v>
      </c>
      <c r="AA254" s="2" t="s">
        <v>66</v>
      </c>
      <c r="AC254" s="2" t="s">
        <v>67</v>
      </c>
      <c r="AD254" s="2" t="s">
        <v>68</v>
      </c>
      <c r="AE254" s="2" t="s">
        <v>69</v>
      </c>
      <c r="AF254" s="2" t="s">
        <v>70</v>
      </c>
      <c r="AG254" s="2" t="s">
        <v>509</v>
      </c>
      <c r="AK254" s="2" t="s">
        <v>2277</v>
      </c>
      <c r="AM254" s="2" t="s">
        <v>72</v>
      </c>
      <c r="AN254" s="2" t="s">
        <v>100</v>
      </c>
      <c r="AP254" s="2" t="s">
        <v>74</v>
      </c>
      <c r="AU254" s="2" t="s">
        <v>75</v>
      </c>
      <c r="AV254" s="2" t="s">
        <v>2278</v>
      </c>
      <c r="AW254" s="2" t="s">
        <v>2279</v>
      </c>
      <c r="AZ254" s="2" t="s">
        <v>116</v>
      </c>
    </row>
    <row r="255" spans="1:52" s="3" customFormat="1" x14ac:dyDescent="0.35">
      <c r="A255" s="2" t="s">
        <v>2280</v>
      </c>
      <c r="B255" s="4">
        <v>248894</v>
      </c>
      <c r="C255" s="2" t="s">
        <v>2281</v>
      </c>
      <c r="D255" s="2">
        <f t="shared" si="3"/>
        <v>5</v>
      </c>
      <c r="F255" s="2" t="s">
        <v>1264</v>
      </c>
      <c r="G255" s="2" t="s">
        <v>53</v>
      </c>
      <c r="H255" s="4">
        <v>3</v>
      </c>
      <c r="I255" s="4">
        <v>1</v>
      </c>
      <c r="J255" s="4">
        <v>0</v>
      </c>
      <c r="L255" s="4">
        <v>0</v>
      </c>
      <c r="M255" s="2" t="s">
        <v>55</v>
      </c>
      <c r="N255" s="2" t="s">
        <v>56</v>
      </c>
      <c r="O255" s="2" t="s">
        <v>57</v>
      </c>
      <c r="P255" s="2" t="s">
        <v>58</v>
      </c>
      <c r="Q255" s="2" t="s">
        <v>59</v>
      </c>
      <c r="R255" s="2" t="s">
        <v>1034</v>
      </c>
      <c r="T255" s="2" t="s">
        <v>1035</v>
      </c>
      <c r="U255" s="2" t="s">
        <v>1036</v>
      </c>
      <c r="V255" s="2" t="s">
        <v>1037</v>
      </c>
      <c r="W255" s="2" t="s">
        <v>1038</v>
      </c>
      <c r="X255" s="2" t="s">
        <v>1039</v>
      </c>
      <c r="Y255" s="2" t="s">
        <v>1040</v>
      </c>
      <c r="Z255" s="2" t="s">
        <v>1041</v>
      </c>
      <c r="AA255" s="2" t="s">
        <v>1042</v>
      </c>
      <c r="AB255" s="2" t="s">
        <v>1043</v>
      </c>
      <c r="AC255" s="2" t="s">
        <v>1044</v>
      </c>
      <c r="AD255" s="2" t="s">
        <v>68</v>
      </c>
      <c r="AE255" s="2" t="s">
        <v>69</v>
      </c>
      <c r="AF255" s="2" t="s">
        <v>70</v>
      </c>
      <c r="AG255" s="2" t="s">
        <v>58</v>
      </c>
      <c r="AK255" s="2" t="s">
        <v>2283</v>
      </c>
      <c r="AM255" s="2" t="s">
        <v>72</v>
      </c>
      <c r="AN255" s="2" t="s">
        <v>1046</v>
      </c>
      <c r="AP255" s="2" t="s">
        <v>74</v>
      </c>
      <c r="AU255" s="2" t="s">
        <v>75</v>
      </c>
      <c r="AV255" s="2" t="s">
        <v>1047</v>
      </c>
      <c r="AW255" s="2" t="s">
        <v>1048</v>
      </c>
      <c r="AZ255" s="2" t="s">
        <v>116</v>
      </c>
    </row>
    <row r="256" spans="1:52" s="3" customFormat="1" x14ac:dyDescent="0.35">
      <c r="A256" s="2" t="s">
        <v>2284</v>
      </c>
      <c r="B256" s="4">
        <v>248893</v>
      </c>
      <c r="C256" s="2" t="s">
        <v>2285</v>
      </c>
      <c r="D256" s="2">
        <f t="shared" si="3"/>
        <v>5</v>
      </c>
      <c r="F256" s="2" t="s">
        <v>1264</v>
      </c>
      <c r="G256" s="2" t="s">
        <v>53</v>
      </c>
      <c r="H256" s="4">
        <v>1</v>
      </c>
      <c r="I256" s="4">
        <v>1</v>
      </c>
      <c r="J256" s="4">
        <v>0</v>
      </c>
      <c r="L256" s="4">
        <v>0</v>
      </c>
      <c r="M256" s="2" t="s">
        <v>55</v>
      </c>
      <c r="N256" s="2" t="s">
        <v>56</v>
      </c>
      <c r="O256" s="2" t="s">
        <v>57</v>
      </c>
      <c r="P256" s="2" t="s">
        <v>1051</v>
      </c>
      <c r="Q256" s="2" t="s">
        <v>1052</v>
      </c>
      <c r="R256" s="2" t="s">
        <v>2286</v>
      </c>
      <c r="S256" s="2" t="s">
        <v>2287</v>
      </c>
      <c r="V256" s="2" t="s">
        <v>2288</v>
      </c>
      <c r="W256" s="2" t="s">
        <v>2289</v>
      </c>
      <c r="Y256" s="2" t="s">
        <v>64</v>
      </c>
      <c r="Z256" s="2" t="s">
        <v>205</v>
      </c>
      <c r="AA256" s="2" t="s">
        <v>66</v>
      </c>
      <c r="AC256" s="2" t="s">
        <v>67</v>
      </c>
      <c r="AD256" s="2" t="s">
        <v>68</v>
      </c>
      <c r="AE256" s="2" t="s">
        <v>69</v>
      </c>
      <c r="AF256" s="2" t="s">
        <v>70</v>
      </c>
      <c r="AG256" s="2" t="s">
        <v>1051</v>
      </c>
      <c r="AK256" s="2" t="s">
        <v>2290</v>
      </c>
      <c r="AM256" s="2" t="s">
        <v>72</v>
      </c>
      <c r="AN256" s="2" t="s">
        <v>403</v>
      </c>
      <c r="AP256" s="2" t="s">
        <v>1058</v>
      </c>
      <c r="AU256" s="2" t="s">
        <v>75</v>
      </c>
      <c r="AV256" s="2" t="s">
        <v>2291</v>
      </c>
      <c r="AW256" s="2" t="s">
        <v>2292</v>
      </c>
      <c r="AZ256" s="2" t="s">
        <v>116</v>
      </c>
    </row>
    <row r="257" spans="1:52" s="3" customFormat="1" x14ac:dyDescent="0.35">
      <c r="A257" s="2" t="s">
        <v>2293</v>
      </c>
      <c r="B257" s="4">
        <v>248891</v>
      </c>
      <c r="C257" s="2" t="s">
        <v>2294</v>
      </c>
      <c r="D257" s="2">
        <f t="shared" si="3"/>
        <v>5</v>
      </c>
      <c r="F257" s="2" t="s">
        <v>1264</v>
      </c>
      <c r="G257" s="2" t="s">
        <v>53</v>
      </c>
      <c r="H257" s="4">
        <v>1</v>
      </c>
      <c r="I257" s="4">
        <v>1</v>
      </c>
      <c r="J257" s="4">
        <v>0</v>
      </c>
      <c r="L257" s="4">
        <v>0</v>
      </c>
      <c r="M257" s="2" t="s">
        <v>55</v>
      </c>
      <c r="N257" s="2" t="s">
        <v>56</v>
      </c>
      <c r="O257" s="2" t="s">
        <v>57</v>
      </c>
      <c r="P257" s="2" t="s">
        <v>106</v>
      </c>
      <c r="Q257" s="2" t="s">
        <v>107</v>
      </c>
      <c r="R257" s="2" t="s">
        <v>2295</v>
      </c>
      <c r="S257" s="2" t="s">
        <v>2296</v>
      </c>
      <c r="V257" s="2" t="s">
        <v>2297</v>
      </c>
      <c r="W257" s="2" t="s">
        <v>2298</v>
      </c>
      <c r="Y257" s="2" t="s">
        <v>64</v>
      </c>
      <c r="Z257" s="2" t="s">
        <v>65</v>
      </c>
      <c r="AA257" s="2" t="s">
        <v>66</v>
      </c>
      <c r="AC257" s="2" t="s">
        <v>67</v>
      </c>
      <c r="AD257" s="2" t="s">
        <v>68</v>
      </c>
      <c r="AE257" s="2" t="s">
        <v>69</v>
      </c>
      <c r="AF257" s="2" t="s">
        <v>70</v>
      </c>
      <c r="AG257" s="2" t="s">
        <v>106</v>
      </c>
      <c r="AK257" s="2" t="s">
        <v>2299</v>
      </c>
      <c r="AM257" s="2" t="s">
        <v>72</v>
      </c>
      <c r="AN257" s="2" t="s">
        <v>73</v>
      </c>
      <c r="AP257" s="2" t="s">
        <v>113</v>
      </c>
      <c r="AT257" s="2" t="s">
        <v>114</v>
      </c>
      <c r="AU257" s="2" t="s">
        <v>75</v>
      </c>
      <c r="AW257" s="2" t="s">
        <v>2300</v>
      </c>
      <c r="AZ257" s="2" t="s">
        <v>116</v>
      </c>
    </row>
    <row r="258" spans="1:52" s="3" customFormat="1" x14ac:dyDescent="0.35">
      <c r="A258" s="2" t="s">
        <v>2301</v>
      </c>
      <c r="B258" s="4">
        <v>248890</v>
      </c>
      <c r="C258" s="2" t="s">
        <v>2302</v>
      </c>
      <c r="D258" s="2">
        <f t="shared" si="3"/>
        <v>5</v>
      </c>
      <c r="G258" s="2" t="s">
        <v>53</v>
      </c>
      <c r="H258" s="4">
        <v>1</v>
      </c>
      <c r="I258" s="4">
        <v>1</v>
      </c>
      <c r="J258" s="4">
        <v>0</v>
      </c>
      <c r="L258" s="4">
        <v>0</v>
      </c>
      <c r="M258" s="2" t="s">
        <v>55</v>
      </c>
      <c r="N258" s="2" t="s">
        <v>56</v>
      </c>
      <c r="O258" s="2" t="s">
        <v>57</v>
      </c>
      <c r="P258" s="2" t="s">
        <v>499</v>
      </c>
      <c r="Q258" s="2" t="s">
        <v>500</v>
      </c>
      <c r="R258" s="2" t="s">
        <v>2303</v>
      </c>
      <c r="S258" s="2" t="s">
        <v>2304</v>
      </c>
      <c r="V258" s="2" t="s">
        <v>2305</v>
      </c>
      <c r="W258" s="2" t="s">
        <v>2306</v>
      </c>
      <c r="Y258" s="2" t="s">
        <v>64</v>
      </c>
      <c r="Z258" s="2" t="s">
        <v>65</v>
      </c>
      <c r="AA258" s="2" t="s">
        <v>66</v>
      </c>
      <c r="AC258" s="2" t="s">
        <v>67</v>
      </c>
      <c r="AD258" s="2" t="s">
        <v>68</v>
      </c>
      <c r="AE258" s="2" t="s">
        <v>69</v>
      </c>
      <c r="AF258" s="2" t="s">
        <v>70</v>
      </c>
      <c r="AG258" s="2" t="s">
        <v>499</v>
      </c>
      <c r="AK258" s="2" t="s">
        <v>2307</v>
      </c>
      <c r="AM258" s="2" t="s">
        <v>72</v>
      </c>
      <c r="AN258" s="2" t="s">
        <v>100</v>
      </c>
      <c r="AP258" s="2" t="s">
        <v>74</v>
      </c>
      <c r="AU258" s="2" t="s">
        <v>75</v>
      </c>
      <c r="AV258" s="2" t="s">
        <v>2308</v>
      </c>
      <c r="AW258" s="2" t="s">
        <v>2309</v>
      </c>
      <c r="AZ258" s="2" t="s">
        <v>116</v>
      </c>
    </row>
    <row r="259" spans="1:52" s="3" customFormat="1" x14ac:dyDescent="0.35">
      <c r="A259" s="2" t="s">
        <v>2310</v>
      </c>
      <c r="B259" s="4">
        <v>248889</v>
      </c>
      <c r="C259" s="2" t="s">
        <v>2311</v>
      </c>
      <c r="D259" s="2">
        <f t="shared" ref="D259:D322" si="4">MONTH(C259)</f>
        <v>5</v>
      </c>
      <c r="G259" s="2" t="s">
        <v>53</v>
      </c>
      <c r="H259" s="4">
        <v>1</v>
      </c>
      <c r="I259" s="4">
        <v>1</v>
      </c>
      <c r="J259" s="4">
        <v>0</v>
      </c>
      <c r="L259" s="4">
        <v>0</v>
      </c>
      <c r="M259" s="2" t="s">
        <v>55</v>
      </c>
      <c r="N259" s="2" t="s">
        <v>56</v>
      </c>
      <c r="O259" s="2" t="s">
        <v>57</v>
      </c>
      <c r="P259" s="2" t="s">
        <v>499</v>
      </c>
      <c r="Q259" s="2" t="s">
        <v>500</v>
      </c>
      <c r="R259" s="2" t="s">
        <v>2312</v>
      </c>
      <c r="S259" s="2" t="s">
        <v>2313</v>
      </c>
      <c r="V259" s="2" t="s">
        <v>2314</v>
      </c>
      <c r="W259" s="2" t="s">
        <v>2315</v>
      </c>
      <c r="Y259" s="2" t="s">
        <v>64</v>
      </c>
      <c r="Z259" s="2" t="s">
        <v>65</v>
      </c>
      <c r="AA259" s="2" t="s">
        <v>66</v>
      </c>
      <c r="AC259" s="2" t="s">
        <v>67</v>
      </c>
      <c r="AD259" s="2" t="s">
        <v>68</v>
      </c>
      <c r="AE259" s="2" t="s">
        <v>69</v>
      </c>
      <c r="AF259" s="2" t="s">
        <v>70</v>
      </c>
      <c r="AG259" s="2" t="s">
        <v>499</v>
      </c>
      <c r="AK259" s="2" t="s">
        <v>2316</v>
      </c>
      <c r="AM259" s="2" t="s">
        <v>72</v>
      </c>
      <c r="AN259" s="2" t="s">
        <v>403</v>
      </c>
      <c r="AP259" s="2" t="s">
        <v>74</v>
      </c>
      <c r="AU259" s="2" t="s">
        <v>75</v>
      </c>
      <c r="AV259" s="2" t="s">
        <v>2317</v>
      </c>
      <c r="AW259" s="2" t="s">
        <v>2318</v>
      </c>
      <c r="AZ259" s="2" t="s">
        <v>116</v>
      </c>
    </row>
    <row r="260" spans="1:52" s="3" customFormat="1" x14ac:dyDescent="0.35">
      <c r="A260" s="2" t="s">
        <v>2319</v>
      </c>
      <c r="B260" s="4">
        <v>248886</v>
      </c>
      <c r="C260" s="2" t="s">
        <v>2320</v>
      </c>
      <c r="D260" s="2">
        <f t="shared" si="4"/>
        <v>5</v>
      </c>
      <c r="G260" s="2" t="s">
        <v>53</v>
      </c>
      <c r="H260" s="4">
        <v>1</v>
      </c>
      <c r="I260" s="4">
        <v>1</v>
      </c>
      <c r="J260" s="4">
        <v>0</v>
      </c>
      <c r="L260" s="4">
        <v>0</v>
      </c>
      <c r="M260" s="2" t="s">
        <v>55</v>
      </c>
      <c r="N260" s="2" t="s">
        <v>56</v>
      </c>
      <c r="O260" s="2" t="s">
        <v>57</v>
      </c>
      <c r="P260" s="2" t="s">
        <v>499</v>
      </c>
      <c r="Q260" s="2" t="s">
        <v>500</v>
      </c>
      <c r="R260" s="2" t="s">
        <v>2321</v>
      </c>
      <c r="S260" s="2" t="s">
        <v>2322</v>
      </c>
      <c r="V260" s="2" t="s">
        <v>2323</v>
      </c>
      <c r="W260" s="2" t="s">
        <v>2324</v>
      </c>
      <c r="Y260" s="2" t="s">
        <v>64</v>
      </c>
      <c r="Z260" s="2" t="s">
        <v>65</v>
      </c>
      <c r="AA260" s="2" t="s">
        <v>66</v>
      </c>
      <c r="AC260" s="2" t="s">
        <v>67</v>
      </c>
      <c r="AD260" s="2" t="s">
        <v>68</v>
      </c>
      <c r="AE260" s="2" t="s">
        <v>69</v>
      </c>
      <c r="AF260" s="2" t="s">
        <v>70</v>
      </c>
      <c r="AG260" s="2" t="s">
        <v>499</v>
      </c>
      <c r="AK260" s="2" t="s">
        <v>2325</v>
      </c>
      <c r="AM260" s="2" t="s">
        <v>72</v>
      </c>
      <c r="AN260" s="2" t="s">
        <v>100</v>
      </c>
      <c r="AP260" s="2" t="s">
        <v>74</v>
      </c>
      <c r="AU260" s="2" t="s">
        <v>75</v>
      </c>
      <c r="AV260" s="2" t="s">
        <v>2326</v>
      </c>
      <c r="AW260" s="2" t="s">
        <v>2327</v>
      </c>
      <c r="AZ260" s="2" t="s">
        <v>116</v>
      </c>
    </row>
    <row r="261" spans="1:52" s="3" customFormat="1" x14ac:dyDescent="0.35">
      <c r="A261" s="2" t="s">
        <v>2328</v>
      </c>
      <c r="B261" s="4">
        <v>248885</v>
      </c>
      <c r="C261" s="2" t="s">
        <v>2329</v>
      </c>
      <c r="D261" s="2">
        <f t="shared" si="4"/>
        <v>5</v>
      </c>
      <c r="F261" s="2" t="s">
        <v>1264</v>
      </c>
      <c r="G261" s="2" t="s">
        <v>53</v>
      </c>
      <c r="H261" s="4">
        <v>1</v>
      </c>
      <c r="I261" s="4">
        <v>1</v>
      </c>
      <c r="J261" s="4">
        <v>0</v>
      </c>
      <c r="L261" s="4">
        <v>0</v>
      </c>
      <c r="M261" s="2" t="s">
        <v>55</v>
      </c>
      <c r="N261" s="2" t="s">
        <v>56</v>
      </c>
      <c r="O261" s="2" t="s">
        <v>57</v>
      </c>
      <c r="P261" s="2" t="s">
        <v>106</v>
      </c>
      <c r="Q261" s="2" t="s">
        <v>107</v>
      </c>
      <c r="R261" s="2" t="s">
        <v>2330</v>
      </c>
      <c r="S261" s="2" t="s">
        <v>2331</v>
      </c>
      <c r="V261" s="2" t="s">
        <v>2332</v>
      </c>
      <c r="W261" s="2" t="s">
        <v>2333</v>
      </c>
      <c r="Y261" s="2" t="s">
        <v>64</v>
      </c>
      <c r="Z261" s="2" t="s">
        <v>65</v>
      </c>
      <c r="AA261" s="2" t="s">
        <v>66</v>
      </c>
      <c r="AC261" s="2" t="s">
        <v>67</v>
      </c>
      <c r="AD261" s="2" t="s">
        <v>68</v>
      </c>
      <c r="AE261" s="2" t="s">
        <v>69</v>
      </c>
      <c r="AF261" s="2" t="s">
        <v>70</v>
      </c>
      <c r="AG261" s="2" t="s">
        <v>106</v>
      </c>
      <c r="AK261" s="2" t="s">
        <v>2334</v>
      </c>
      <c r="AM261" s="2" t="s">
        <v>72</v>
      </c>
      <c r="AN261" s="2" t="s">
        <v>344</v>
      </c>
      <c r="AP261" s="2" t="s">
        <v>113</v>
      </c>
      <c r="AT261" s="2" t="s">
        <v>114</v>
      </c>
      <c r="AU261" s="2" t="s">
        <v>75</v>
      </c>
      <c r="AV261" s="2" t="s">
        <v>1763</v>
      </c>
      <c r="AW261" s="2" t="s">
        <v>2335</v>
      </c>
      <c r="AZ261" s="2" t="s">
        <v>116</v>
      </c>
    </row>
    <row r="262" spans="1:52" s="3" customFormat="1" x14ac:dyDescent="0.35">
      <c r="A262" s="2" t="s">
        <v>2336</v>
      </c>
      <c r="B262" s="4">
        <v>248883</v>
      </c>
      <c r="C262" s="2" t="s">
        <v>2337</v>
      </c>
      <c r="D262" s="2">
        <f t="shared" si="4"/>
        <v>5</v>
      </c>
      <c r="F262" s="2" t="s">
        <v>1264</v>
      </c>
      <c r="G262" s="2" t="s">
        <v>53</v>
      </c>
      <c r="H262" s="4">
        <v>1</v>
      </c>
      <c r="I262" s="4">
        <v>1</v>
      </c>
      <c r="J262" s="4">
        <v>0</v>
      </c>
      <c r="L262" s="4">
        <v>0</v>
      </c>
      <c r="M262" s="2" t="s">
        <v>55</v>
      </c>
      <c r="N262" s="2" t="s">
        <v>56</v>
      </c>
      <c r="O262" s="2" t="s">
        <v>57</v>
      </c>
      <c r="P262" s="2" t="s">
        <v>106</v>
      </c>
      <c r="Q262" s="2" t="s">
        <v>107</v>
      </c>
      <c r="R262" s="2" t="s">
        <v>2338</v>
      </c>
      <c r="S262" s="2" t="s">
        <v>2339</v>
      </c>
      <c r="V262" s="2" t="s">
        <v>2340</v>
      </c>
      <c r="W262" s="2" t="s">
        <v>2341</v>
      </c>
      <c r="Y262" s="2" t="s">
        <v>64</v>
      </c>
      <c r="Z262" s="2" t="s">
        <v>65</v>
      </c>
      <c r="AA262" s="2" t="s">
        <v>66</v>
      </c>
      <c r="AC262" s="2" t="s">
        <v>67</v>
      </c>
      <c r="AD262" s="2" t="s">
        <v>68</v>
      </c>
      <c r="AE262" s="2" t="s">
        <v>69</v>
      </c>
      <c r="AF262" s="2" t="s">
        <v>70</v>
      </c>
      <c r="AG262" s="2" t="s">
        <v>106</v>
      </c>
      <c r="AK262" s="2" t="s">
        <v>2342</v>
      </c>
      <c r="AM262" s="2" t="s">
        <v>72</v>
      </c>
      <c r="AN262" s="2" t="s">
        <v>249</v>
      </c>
      <c r="AP262" s="2" t="s">
        <v>113</v>
      </c>
      <c r="AT262" s="2" t="s">
        <v>114</v>
      </c>
      <c r="AU262" s="2" t="s">
        <v>75</v>
      </c>
      <c r="AW262" s="2" t="s">
        <v>2343</v>
      </c>
      <c r="AZ262" s="2" t="s">
        <v>116</v>
      </c>
    </row>
    <row r="263" spans="1:52" s="3" customFormat="1" x14ac:dyDescent="0.35">
      <c r="A263" s="2" t="s">
        <v>2344</v>
      </c>
      <c r="B263" s="4">
        <v>248878</v>
      </c>
      <c r="C263" s="2" t="s">
        <v>2345</v>
      </c>
      <c r="D263" s="2">
        <f t="shared" si="4"/>
        <v>5</v>
      </c>
      <c r="F263" s="2" t="s">
        <v>1264</v>
      </c>
      <c r="G263" s="2" t="s">
        <v>53</v>
      </c>
      <c r="H263" s="4">
        <v>1</v>
      </c>
      <c r="I263" s="4">
        <v>1</v>
      </c>
      <c r="J263" s="4">
        <v>0</v>
      </c>
      <c r="L263" s="4">
        <v>0</v>
      </c>
      <c r="M263" s="2" t="s">
        <v>55</v>
      </c>
      <c r="N263" s="2" t="s">
        <v>56</v>
      </c>
      <c r="O263" s="2" t="s">
        <v>57</v>
      </c>
      <c r="P263" s="2" t="s">
        <v>106</v>
      </c>
      <c r="Q263" s="2" t="s">
        <v>107</v>
      </c>
      <c r="R263" s="2" t="s">
        <v>2346</v>
      </c>
      <c r="S263" s="2" t="s">
        <v>2347</v>
      </c>
      <c r="V263" s="2" t="s">
        <v>2348</v>
      </c>
      <c r="W263" s="2" t="s">
        <v>2349</v>
      </c>
      <c r="Y263" s="2" t="s">
        <v>64</v>
      </c>
      <c r="Z263" s="2" t="s">
        <v>65</v>
      </c>
      <c r="AA263" s="2" t="s">
        <v>66</v>
      </c>
      <c r="AC263" s="2" t="s">
        <v>67</v>
      </c>
      <c r="AD263" s="2" t="s">
        <v>68</v>
      </c>
      <c r="AE263" s="2" t="s">
        <v>69</v>
      </c>
      <c r="AF263" s="2" t="s">
        <v>70</v>
      </c>
      <c r="AG263" s="2" t="s">
        <v>106</v>
      </c>
      <c r="AK263" s="2" t="s">
        <v>2350</v>
      </c>
      <c r="AM263" s="2" t="s">
        <v>72</v>
      </c>
      <c r="AN263" s="2" t="s">
        <v>249</v>
      </c>
      <c r="AP263" s="2" t="s">
        <v>113</v>
      </c>
      <c r="AT263" s="2" t="s">
        <v>114</v>
      </c>
      <c r="AU263" s="2" t="s">
        <v>75</v>
      </c>
      <c r="AV263" s="2" t="s">
        <v>2351</v>
      </c>
      <c r="AW263" s="2" t="s">
        <v>2352</v>
      </c>
      <c r="AZ263" s="2" t="s">
        <v>116</v>
      </c>
    </row>
    <row r="264" spans="1:52" s="3" customFormat="1" x14ac:dyDescent="0.35">
      <c r="A264" s="2" t="s">
        <v>2353</v>
      </c>
      <c r="B264" s="4">
        <v>248876</v>
      </c>
      <c r="C264" s="2" t="s">
        <v>2354</v>
      </c>
      <c r="D264" s="2">
        <f t="shared" si="4"/>
        <v>5</v>
      </c>
      <c r="F264" s="2" t="s">
        <v>1264</v>
      </c>
      <c r="G264" s="2" t="s">
        <v>53</v>
      </c>
      <c r="H264" s="4">
        <v>1</v>
      </c>
      <c r="I264" s="4">
        <v>1</v>
      </c>
      <c r="J264" s="4">
        <v>0</v>
      </c>
      <c r="L264" s="4">
        <v>0</v>
      </c>
      <c r="M264" s="2" t="s">
        <v>55</v>
      </c>
      <c r="N264" s="2" t="s">
        <v>56</v>
      </c>
      <c r="O264" s="2" t="s">
        <v>57</v>
      </c>
      <c r="P264" s="2" t="s">
        <v>106</v>
      </c>
      <c r="Q264" s="2" t="s">
        <v>107</v>
      </c>
      <c r="R264" s="2" t="s">
        <v>2355</v>
      </c>
      <c r="S264" s="2" t="s">
        <v>2356</v>
      </c>
      <c r="V264" s="2" t="s">
        <v>2357</v>
      </c>
      <c r="W264" s="2" t="s">
        <v>2358</v>
      </c>
      <c r="Y264" s="2" t="s">
        <v>64</v>
      </c>
      <c r="Z264" s="2" t="s">
        <v>65</v>
      </c>
      <c r="AA264" s="2" t="s">
        <v>66</v>
      </c>
      <c r="AC264" s="2" t="s">
        <v>67</v>
      </c>
      <c r="AD264" s="2" t="s">
        <v>68</v>
      </c>
      <c r="AE264" s="2" t="s">
        <v>69</v>
      </c>
      <c r="AF264" s="2" t="s">
        <v>70</v>
      </c>
      <c r="AG264" s="2" t="s">
        <v>106</v>
      </c>
      <c r="AK264" s="2" t="s">
        <v>2359</v>
      </c>
      <c r="AM264" s="2" t="s">
        <v>72</v>
      </c>
      <c r="AN264" s="2" t="s">
        <v>595</v>
      </c>
      <c r="AP264" s="2" t="s">
        <v>113</v>
      </c>
      <c r="AT264" s="2" t="s">
        <v>114</v>
      </c>
      <c r="AU264" s="2" t="s">
        <v>75</v>
      </c>
      <c r="AV264" s="2" t="s">
        <v>2360</v>
      </c>
      <c r="AW264" s="2" t="s">
        <v>2361</v>
      </c>
      <c r="AZ264" s="2" t="s">
        <v>116</v>
      </c>
    </row>
    <row r="265" spans="1:52" s="3" customFormat="1" x14ac:dyDescent="0.35">
      <c r="A265" s="2" t="s">
        <v>2362</v>
      </c>
      <c r="B265" s="4">
        <v>248875</v>
      </c>
      <c r="C265" s="2" t="s">
        <v>2363</v>
      </c>
      <c r="D265" s="2">
        <f t="shared" si="4"/>
        <v>5</v>
      </c>
      <c r="F265" s="2" t="s">
        <v>1264</v>
      </c>
      <c r="G265" s="2" t="s">
        <v>53</v>
      </c>
      <c r="H265" s="4">
        <v>1</v>
      </c>
      <c r="I265" s="4">
        <v>1</v>
      </c>
      <c r="J265" s="4">
        <v>0</v>
      </c>
      <c r="L265" s="4">
        <v>0</v>
      </c>
      <c r="M265" s="2" t="s">
        <v>55</v>
      </c>
      <c r="N265" s="2" t="s">
        <v>56</v>
      </c>
      <c r="O265" s="2" t="s">
        <v>57</v>
      </c>
      <c r="P265" s="2" t="s">
        <v>106</v>
      </c>
      <c r="Q265" s="2" t="s">
        <v>107</v>
      </c>
      <c r="R265" s="2" t="s">
        <v>2364</v>
      </c>
      <c r="S265" s="2" t="s">
        <v>2365</v>
      </c>
      <c r="V265" s="2" t="s">
        <v>2366</v>
      </c>
      <c r="W265" s="2" t="s">
        <v>2367</v>
      </c>
      <c r="Y265" s="2" t="s">
        <v>64</v>
      </c>
      <c r="Z265" s="2" t="s">
        <v>205</v>
      </c>
      <c r="AA265" s="2" t="s">
        <v>66</v>
      </c>
      <c r="AC265" s="2" t="s">
        <v>67</v>
      </c>
      <c r="AD265" s="2" t="s">
        <v>68</v>
      </c>
      <c r="AE265" s="2" t="s">
        <v>69</v>
      </c>
      <c r="AF265" s="2" t="s">
        <v>70</v>
      </c>
      <c r="AG265" s="2" t="s">
        <v>106</v>
      </c>
      <c r="AK265" s="2" t="s">
        <v>2368</v>
      </c>
      <c r="AM265" s="2" t="s">
        <v>72</v>
      </c>
      <c r="AN265" s="2" t="s">
        <v>1046</v>
      </c>
      <c r="AP265" s="2" t="s">
        <v>113</v>
      </c>
      <c r="AT265" s="2" t="s">
        <v>114</v>
      </c>
      <c r="AU265" s="2" t="s">
        <v>75</v>
      </c>
      <c r="AV265" s="2" t="s">
        <v>2369</v>
      </c>
      <c r="AW265" s="2" t="s">
        <v>2370</v>
      </c>
      <c r="AZ265" s="2" t="s">
        <v>116</v>
      </c>
    </row>
    <row r="266" spans="1:52" s="3" customFormat="1" x14ac:dyDescent="0.35">
      <c r="A266" s="2" t="s">
        <v>2371</v>
      </c>
      <c r="B266" s="4">
        <v>248874</v>
      </c>
      <c r="C266" s="2" t="s">
        <v>2372</v>
      </c>
      <c r="D266" s="2">
        <f t="shared" si="4"/>
        <v>5</v>
      </c>
      <c r="F266" s="2" t="s">
        <v>1264</v>
      </c>
      <c r="G266" s="2" t="s">
        <v>53</v>
      </c>
      <c r="H266" s="4">
        <v>1</v>
      </c>
      <c r="I266" s="4">
        <v>1</v>
      </c>
      <c r="J266" s="4">
        <v>0</v>
      </c>
      <c r="L266" s="4">
        <v>0</v>
      </c>
      <c r="M266" s="2" t="s">
        <v>55</v>
      </c>
      <c r="N266" s="2" t="s">
        <v>56</v>
      </c>
      <c r="O266" s="2" t="s">
        <v>57</v>
      </c>
      <c r="P266" s="2" t="s">
        <v>106</v>
      </c>
      <c r="Q266" s="2" t="s">
        <v>107</v>
      </c>
      <c r="R266" s="2" t="s">
        <v>2373</v>
      </c>
      <c r="S266" s="2" t="s">
        <v>2374</v>
      </c>
      <c r="V266" s="2" t="s">
        <v>2375</v>
      </c>
      <c r="W266" s="2" t="s">
        <v>2376</v>
      </c>
      <c r="Y266" s="2" t="s">
        <v>64</v>
      </c>
      <c r="Z266" s="2" t="s">
        <v>65</v>
      </c>
      <c r="AA266" s="2" t="s">
        <v>66</v>
      </c>
      <c r="AC266" s="2" t="s">
        <v>67</v>
      </c>
      <c r="AD266" s="2" t="s">
        <v>68</v>
      </c>
      <c r="AE266" s="2" t="s">
        <v>69</v>
      </c>
      <c r="AF266" s="2" t="s">
        <v>70</v>
      </c>
      <c r="AG266" s="2" t="s">
        <v>106</v>
      </c>
      <c r="AK266" s="2" t="s">
        <v>2377</v>
      </c>
      <c r="AM266" s="2" t="s">
        <v>72</v>
      </c>
      <c r="AN266" s="2" t="s">
        <v>1046</v>
      </c>
      <c r="AP266" s="2" t="s">
        <v>113</v>
      </c>
      <c r="AT266" s="2" t="s">
        <v>114</v>
      </c>
      <c r="AU266" s="2" t="s">
        <v>75</v>
      </c>
      <c r="AW266" s="2" t="s">
        <v>2378</v>
      </c>
      <c r="AZ266" s="2" t="s">
        <v>116</v>
      </c>
    </row>
    <row r="267" spans="1:52" s="3" customFormat="1" x14ac:dyDescent="0.35">
      <c r="A267" s="2" t="s">
        <v>2379</v>
      </c>
      <c r="B267" s="4">
        <v>248873</v>
      </c>
      <c r="C267" s="2" t="s">
        <v>2380</v>
      </c>
      <c r="D267" s="2">
        <f t="shared" si="4"/>
        <v>5</v>
      </c>
      <c r="F267" s="2" t="s">
        <v>1264</v>
      </c>
      <c r="G267" s="2" t="s">
        <v>53</v>
      </c>
      <c r="H267" s="4">
        <v>1</v>
      </c>
      <c r="I267" s="4">
        <v>1</v>
      </c>
      <c r="J267" s="4">
        <v>0</v>
      </c>
      <c r="L267" s="4">
        <v>0</v>
      </c>
      <c r="M267" s="2" t="s">
        <v>55</v>
      </c>
      <c r="N267" s="2" t="s">
        <v>56</v>
      </c>
      <c r="O267" s="2" t="s">
        <v>57</v>
      </c>
      <c r="P267" s="2" t="s">
        <v>460</v>
      </c>
      <c r="Q267" s="2" t="s">
        <v>461</v>
      </c>
      <c r="R267" s="2" t="s">
        <v>2381</v>
      </c>
      <c r="S267" s="2" t="s">
        <v>2382</v>
      </c>
      <c r="V267" s="2" t="s">
        <v>2383</v>
      </c>
      <c r="W267" s="2" t="s">
        <v>2384</v>
      </c>
      <c r="Y267" s="2" t="s">
        <v>64</v>
      </c>
      <c r="Z267" s="2" t="s">
        <v>65</v>
      </c>
      <c r="AA267" s="2" t="s">
        <v>66</v>
      </c>
      <c r="AC267" s="2" t="s">
        <v>67</v>
      </c>
      <c r="AD267" s="2" t="s">
        <v>68</v>
      </c>
      <c r="AE267" s="2" t="s">
        <v>69</v>
      </c>
      <c r="AF267" s="2" t="s">
        <v>70</v>
      </c>
      <c r="AG267" s="2" t="s">
        <v>460</v>
      </c>
      <c r="AK267" s="2" t="s">
        <v>2385</v>
      </c>
      <c r="AM267" s="2" t="s">
        <v>72</v>
      </c>
      <c r="AN267" s="2" t="s">
        <v>1046</v>
      </c>
      <c r="AP267" s="2" t="s">
        <v>474</v>
      </c>
      <c r="AU267" s="2" t="s">
        <v>75</v>
      </c>
      <c r="AW267" s="2" t="s">
        <v>2386</v>
      </c>
      <c r="AZ267" s="2" t="s">
        <v>116</v>
      </c>
    </row>
    <row r="268" spans="1:52" s="3" customFormat="1" x14ac:dyDescent="0.35">
      <c r="A268" s="2" t="s">
        <v>2387</v>
      </c>
      <c r="B268" s="4">
        <v>248871</v>
      </c>
      <c r="C268" s="2" t="s">
        <v>2388</v>
      </c>
      <c r="D268" s="2">
        <f t="shared" si="4"/>
        <v>5</v>
      </c>
      <c r="F268" s="2" t="s">
        <v>1264</v>
      </c>
      <c r="G268" s="2" t="s">
        <v>53</v>
      </c>
      <c r="H268" s="4">
        <v>1</v>
      </c>
      <c r="I268" s="4">
        <v>1</v>
      </c>
      <c r="J268" s="4">
        <v>0</v>
      </c>
      <c r="L268" s="4">
        <v>0</v>
      </c>
      <c r="M268" s="2" t="s">
        <v>55</v>
      </c>
      <c r="N268" s="2" t="s">
        <v>56</v>
      </c>
      <c r="O268" s="2" t="s">
        <v>57</v>
      </c>
      <c r="P268" s="2" t="s">
        <v>460</v>
      </c>
      <c r="Q268" s="2" t="s">
        <v>461</v>
      </c>
      <c r="R268" s="2" t="s">
        <v>2389</v>
      </c>
      <c r="S268" s="2" t="s">
        <v>2390</v>
      </c>
      <c r="V268" s="2" t="s">
        <v>2391</v>
      </c>
      <c r="W268" s="2" t="s">
        <v>2392</v>
      </c>
      <c r="Y268" s="2" t="s">
        <v>64</v>
      </c>
      <c r="Z268" s="2" t="s">
        <v>205</v>
      </c>
      <c r="AA268" s="2" t="s">
        <v>66</v>
      </c>
      <c r="AC268" s="2" t="s">
        <v>67</v>
      </c>
      <c r="AD268" s="2" t="s">
        <v>68</v>
      </c>
      <c r="AE268" s="2" t="s">
        <v>69</v>
      </c>
      <c r="AF268" s="2" t="s">
        <v>70</v>
      </c>
      <c r="AG268" s="2" t="s">
        <v>460</v>
      </c>
      <c r="AK268" s="2" t="s">
        <v>2393</v>
      </c>
      <c r="AM268" s="2" t="s">
        <v>72</v>
      </c>
      <c r="AN268" s="2" t="s">
        <v>1046</v>
      </c>
      <c r="AP268" s="2" t="s">
        <v>474</v>
      </c>
      <c r="AU268" s="2" t="s">
        <v>75</v>
      </c>
      <c r="AW268" s="2" t="s">
        <v>2394</v>
      </c>
      <c r="AZ268" s="2" t="s">
        <v>116</v>
      </c>
    </row>
    <row r="269" spans="1:52" s="3" customFormat="1" x14ac:dyDescent="0.35">
      <c r="A269" s="2" t="s">
        <v>2395</v>
      </c>
      <c r="B269" s="4">
        <v>248846</v>
      </c>
      <c r="C269" s="2" t="s">
        <v>2396</v>
      </c>
      <c r="D269" s="2">
        <f t="shared" si="4"/>
        <v>5</v>
      </c>
      <c r="F269" s="2" t="s">
        <v>1264</v>
      </c>
      <c r="G269" s="2" t="s">
        <v>53</v>
      </c>
      <c r="H269" s="4">
        <v>1</v>
      </c>
      <c r="I269" s="4">
        <v>1</v>
      </c>
      <c r="J269" s="4">
        <v>0</v>
      </c>
      <c r="L269" s="4">
        <v>0</v>
      </c>
      <c r="M269" s="2" t="s">
        <v>55</v>
      </c>
      <c r="N269" s="2" t="s">
        <v>56</v>
      </c>
      <c r="O269" s="2" t="s">
        <v>57</v>
      </c>
      <c r="P269" s="2" t="s">
        <v>106</v>
      </c>
      <c r="Q269" s="2" t="s">
        <v>107</v>
      </c>
      <c r="R269" s="2" t="s">
        <v>2397</v>
      </c>
      <c r="S269" s="2" t="s">
        <v>2398</v>
      </c>
      <c r="V269" s="2" t="s">
        <v>2399</v>
      </c>
      <c r="W269" s="2" t="s">
        <v>2400</v>
      </c>
      <c r="Y269" s="2" t="s">
        <v>64</v>
      </c>
      <c r="Z269" s="2" t="s">
        <v>65</v>
      </c>
      <c r="AA269" s="2" t="s">
        <v>66</v>
      </c>
      <c r="AC269" s="2" t="s">
        <v>67</v>
      </c>
      <c r="AD269" s="2" t="s">
        <v>68</v>
      </c>
      <c r="AE269" s="2" t="s">
        <v>69</v>
      </c>
      <c r="AF269" s="2" t="s">
        <v>70</v>
      </c>
      <c r="AG269" s="2" t="s">
        <v>106</v>
      </c>
      <c r="AK269" s="2" t="s">
        <v>2401</v>
      </c>
      <c r="AM269" s="2" t="s">
        <v>72</v>
      </c>
      <c r="AN269" s="2" t="s">
        <v>403</v>
      </c>
      <c r="AP269" s="2" t="s">
        <v>113</v>
      </c>
      <c r="AT269" s="2" t="s">
        <v>114</v>
      </c>
      <c r="AU269" s="2" t="s">
        <v>75</v>
      </c>
      <c r="AW269" s="2" t="s">
        <v>2402</v>
      </c>
      <c r="AZ269" s="2" t="s">
        <v>116</v>
      </c>
    </row>
    <row r="270" spans="1:52" s="3" customFormat="1" x14ac:dyDescent="0.35">
      <c r="A270" s="2" t="s">
        <v>2403</v>
      </c>
      <c r="B270" s="4">
        <v>248843</v>
      </c>
      <c r="C270" s="2" t="s">
        <v>2404</v>
      </c>
      <c r="D270" s="2">
        <f t="shared" si="4"/>
        <v>5</v>
      </c>
      <c r="G270" s="2" t="s">
        <v>53</v>
      </c>
      <c r="H270" s="4">
        <v>1</v>
      </c>
      <c r="I270" s="4">
        <v>1</v>
      </c>
      <c r="J270" s="4">
        <v>0</v>
      </c>
      <c r="L270" s="4">
        <v>0</v>
      </c>
      <c r="M270" s="2" t="s">
        <v>55</v>
      </c>
      <c r="N270" s="2" t="s">
        <v>56</v>
      </c>
      <c r="O270" s="2" t="s">
        <v>57</v>
      </c>
      <c r="P270" s="2" t="s">
        <v>499</v>
      </c>
      <c r="Q270" s="2" t="s">
        <v>500</v>
      </c>
      <c r="R270" s="2" t="s">
        <v>2405</v>
      </c>
      <c r="S270" s="2" t="s">
        <v>2406</v>
      </c>
      <c r="V270" s="2" t="s">
        <v>2407</v>
      </c>
      <c r="W270" s="2" t="s">
        <v>2408</v>
      </c>
      <c r="Y270" s="2" t="s">
        <v>64</v>
      </c>
      <c r="Z270" s="2" t="s">
        <v>65</v>
      </c>
      <c r="AA270" s="2" t="s">
        <v>66</v>
      </c>
      <c r="AC270" s="2" t="s">
        <v>67</v>
      </c>
      <c r="AD270" s="2" t="s">
        <v>68</v>
      </c>
      <c r="AE270" s="2" t="s">
        <v>69</v>
      </c>
      <c r="AF270" s="2" t="s">
        <v>70</v>
      </c>
      <c r="AG270" s="2" t="s">
        <v>499</v>
      </c>
      <c r="AK270" s="2" t="s">
        <v>2409</v>
      </c>
      <c r="AM270" s="2" t="s">
        <v>72</v>
      </c>
      <c r="AN270" s="2" t="s">
        <v>403</v>
      </c>
      <c r="AP270" s="2" t="s">
        <v>74</v>
      </c>
      <c r="AU270" s="2" t="s">
        <v>75</v>
      </c>
      <c r="AW270" s="2" t="s">
        <v>2410</v>
      </c>
      <c r="AZ270" s="2" t="s">
        <v>116</v>
      </c>
    </row>
    <row r="271" spans="1:52" s="3" customFormat="1" x14ac:dyDescent="0.35">
      <c r="A271" s="2" t="s">
        <v>2411</v>
      </c>
      <c r="B271" s="4">
        <v>248841</v>
      </c>
      <c r="C271" s="2" t="s">
        <v>2412</v>
      </c>
      <c r="D271" s="2">
        <f t="shared" si="4"/>
        <v>5</v>
      </c>
      <c r="G271" s="2" t="s">
        <v>53</v>
      </c>
      <c r="H271" s="4">
        <v>1</v>
      </c>
      <c r="I271" s="4">
        <v>1</v>
      </c>
      <c r="J271" s="4">
        <v>0</v>
      </c>
      <c r="L271" s="4">
        <v>0</v>
      </c>
      <c r="M271" s="2" t="s">
        <v>55</v>
      </c>
      <c r="N271" s="2" t="s">
        <v>56</v>
      </c>
      <c r="O271" s="2" t="s">
        <v>57</v>
      </c>
      <c r="P271" s="2" t="s">
        <v>499</v>
      </c>
      <c r="Q271" s="2" t="s">
        <v>500</v>
      </c>
      <c r="R271" s="2" t="s">
        <v>2413</v>
      </c>
      <c r="S271" s="2" t="s">
        <v>2414</v>
      </c>
      <c r="V271" s="2" t="s">
        <v>2415</v>
      </c>
      <c r="W271" s="2" t="s">
        <v>2416</v>
      </c>
      <c r="Y271" s="2" t="s">
        <v>64</v>
      </c>
      <c r="Z271" s="2" t="s">
        <v>205</v>
      </c>
      <c r="AA271" s="2" t="s">
        <v>66</v>
      </c>
      <c r="AC271" s="2" t="s">
        <v>67</v>
      </c>
      <c r="AD271" s="2" t="s">
        <v>68</v>
      </c>
      <c r="AE271" s="2" t="s">
        <v>69</v>
      </c>
      <c r="AF271" s="2" t="s">
        <v>70</v>
      </c>
      <c r="AG271" s="2" t="s">
        <v>499</v>
      </c>
      <c r="AK271" s="2" t="s">
        <v>2417</v>
      </c>
      <c r="AM271" s="2" t="s">
        <v>72</v>
      </c>
      <c r="AN271" s="2" t="s">
        <v>403</v>
      </c>
      <c r="AP271" s="2" t="s">
        <v>74</v>
      </c>
      <c r="AU271" s="2" t="s">
        <v>75</v>
      </c>
      <c r="AW271" s="2" t="s">
        <v>2418</v>
      </c>
      <c r="AZ271" s="2" t="s">
        <v>116</v>
      </c>
    </row>
    <row r="272" spans="1:52" s="3" customFormat="1" x14ac:dyDescent="0.35">
      <c r="A272" s="2" t="s">
        <v>2421</v>
      </c>
      <c r="B272" s="4">
        <v>248783</v>
      </c>
      <c r="C272" s="2" t="s">
        <v>2422</v>
      </c>
      <c r="D272" s="2">
        <f t="shared" si="4"/>
        <v>5</v>
      </c>
      <c r="F272" s="2" t="s">
        <v>1884</v>
      </c>
      <c r="G272" s="2" t="s">
        <v>53</v>
      </c>
      <c r="H272" s="4">
        <v>3</v>
      </c>
      <c r="I272" s="4">
        <v>1</v>
      </c>
      <c r="J272" s="5">
        <v>9300</v>
      </c>
      <c r="L272" s="5">
        <v>9300</v>
      </c>
      <c r="M272" s="2" t="s">
        <v>55</v>
      </c>
      <c r="N272" s="2" t="s">
        <v>458</v>
      </c>
      <c r="O272" s="2" t="s">
        <v>459</v>
      </c>
      <c r="P272" s="2" t="s">
        <v>58</v>
      </c>
      <c r="Q272" s="2" t="s">
        <v>59</v>
      </c>
      <c r="R272" s="2" t="s">
        <v>462</v>
      </c>
      <c r="T272" s="2" t="s">
        <v>463</v>
      </c>
      <c r="U272" s="2" t="s">
        <v>464</v>
      </c>
      <c r="V272" s="2" t="s">
        <v>465</v>
      </c>
      <c r="W272" s="2" t="s">
        <v>466</v>
      </c>
      <c r="X272" s="2" t="s">
        <v>1809</v>
      </c>
      <c r="Y272" s="2" t="s">
        <v>467</v>
      </c>
      <c r="Z272" s="2" t="s">
        <v>468</v>
      </c>
      <c r="AA272" s="2" t="s">
        <v>469</v>
      </c>
      <c r="AC272" s="2" t="s">
        <v>470</v>
      </c>
      <c r="AD272" s="2" t="s">
        <v>68</v>
      </c>
      <c r="AE272" s="2" t="s">
        <v>69</v>
      </c>
      <c r="AF272" s="2" t="s">
        <v>70</v>
      </c>
      <c r="AG272" s="2" t="s">
        <v>2423</v>
      </c>
      <c r="AK272" s="2" t="s">
        <v>2424</v>
      </c>
      <c r="AM272" s="2" t="s">
        <v>72</v>
      </c>
      <c r="AN272" s="2" t="s">
        <v>473</v>
      </c>
      <c r="AP272" s="2" t="s">
        <v>74</v>
      </c>
      <c r="AU272" s="2" t="s">
        <v>75</v>
      </c>
      <c r="AV272" s="2" t="s">
        <v>475</v>
      </c>
      <c r="AW272" s="2" t="s">
        <v>476</v>
      </c>
      <c r="AX272" s="2" t="s">
        <v>477</v>
      </c>
      <c r="AZ272" s="2" t="s">
        <v>478</v>
      </c>
    </row>
    <row r="273" spans="1:52" s="3" customFormat="1" x14ac:dyDescent="0.35">
      <c r="A273" s="2" t="s">
        <v>2425</v>
      </c>
      <c r="B273" s="4">
        <v>248781</v>
      </c>
      <c r="C273" s="2" t="s">
        <v>2426</v>
      </c>
      <c r="D273" s="2">
        <f t="shared" si="4"/>
        <v>5</v>
      </c>
      <c r="F273" s="2" t="s">
        <v>1884</v>
      </c>
      <c r="G273" s="2" t="s">
        <v>53</v>
      </c>
      <c r="H273" s="4">
        <v>3</v>
      </c>
      <c r="I273" s="4">
        <v>1</v>
      </c>
      <c r="J273" s="5">
        <v>7200</v>
      </c>
      <c r="L273" s="5">
        <v>7200</v>
      </c>
      <c r="M273" s="2" t="s">
        <v>55</v>
      </c>
      <c r="N273" s="2" t="s">
        <v>458</v>
      </c>
      <c r="O273" s="2" t="s">
        <v>459</v>
      </c>
      <c r="P273" s="2" t="s">
        <v>509</v>
      </c>
      <c r="Q273" s="2" t="s">
        <v>510</v>
      </c>
      <c r="R273" s="2" t="s">
        <v>462</v>
      </c>
      <c r="T273" s="2" t="s">
        <v>463</v>
      </c>
      <c r="U273" s="2" t="s">
        <v>464</v>
      </c>
      <c r="V273" s="2" t="s">
        <v>465</v>
      </c>
      <c r="W273" s="2" t="s">
        <v>466</v>
      </c>
      <c r="X273" s="2" t="s">
        <v>1809</v>
      </c>
      <c r="Y273" s="2" t="s">
        <v>467</v>
      </c>
      <c r="Z273" s="2" t="s">
        <v>468</v>
      </c>
      <c r="AA273" s="2" t="s">
        <v>469</v>
      </c>
      <c r="AC273" s="2" t="s">
        <v>470</v>
      </c>
      <c r="AD273" s="2" t="s">
        <v>68</v>
      </c>
      <c r="AE273" s="2" t="s">
        <v>69</v>
      </c>
      <c r="AF273" s="2" t="s">
        <v>70</v>
      </c>
      <c r="AG273" s="2" t="s">
        <v>2427</v>
      </c>
      <c r="AK273" s="2" t="s">
        <v>2428</v>
      </c>
      <c r="AM273" s="2" t="s">
        <v>72</v>
      </c>
      <c r="AN273" s="2" t="s">
        <v>473</v>
      </c>
      <c r="AP273" s="2" t="s">
        <v>74</v>
      </c>
      <c r="AU273" s="2" t="s">
        <v>75</v>
      </c>
      <c r="AV273" s="2" t="s">
        <v>475</v>
      </c>
      <c r="AW273" s="2" t="s">
        <v>476</v>
      </c>
      <c r="AX273" s="2" t="s">
        <v>477</v>
      </c>
      <c r="AZ273" s="2" t="s">
        <v>478</v>
      </c>
    </row>
    <row r="274" spans="1:52" s="3" customFormat="1" x14ac:dyDescent="0.35">
      <c r="A274" s="2" t="s">
        <v>2429</v>
      </c>
      <c r="B274" s="4">
        <v>248767</v>
      </c>
      <c r="C274" s="2" t="s">
        <v>2430</v>
      </c>
      <c r="D274" s="2">
        <f t="shared" si="4"/>
        <v>5</v>
      </c>
      <c r="F274" s="2" t="s">
        <v>1264</v>
      </c>
      <c r="G274" s="2" t="s">
        <v>53</v>
      </c>
      <c r="H274" s="4">
        <v>1</v>
      </c>
      <c r="I274" s="4">
        <v>1</v>
      </c>
      <c r="J274" s="5">
        <v>18500</v>
      </c>
      <c r="K274" s="2" t="s">
        <v>1252</v>
      </c>
      <c r="L274" s="5">
        <v>17362.25</v>
      </c>
      <c r="M274" s="2" t="s">
        <v>55</v>
      </c>
      <c r="N274" s="2" t="s">
        <v>1253</v>
      </c>
      <c r="O274" s="2" t="s">
        <v>1254</v>
      </c>
      <c r="P274" s="2" t="s">
        <v>460</v>
      </c>
      <c r="Q274" s="2" t="s">
        <v>461</v>
      </c>
      <c r="R274" s="2" t="s">
        <v>2431</v>
      </c>
      <c r="T274" s="2" t="s">
        <v>2432</v>
      </c>
      <c r="U274" s="2" t="s">
        <v>2433</v>
      </c>
      <c r="V274" s="2" t="s">
        <v>2434</v>
      </c>
      <c r="W274" s="2" t="s">
        <v>2435</v>
      </c>
      <c r="X274" s="2" t="s">
        <v>2436</v>
      </c>
      <c r="Y274" s="2" t="s">
        <v>2437</v>
      </c>
      <c r="Z274" s="2" t="s">
        <v>2438</v>
      </c>
      <c r="AA274" s="2" t="s">
        <v>2439</v>
      </c>
      <c r="AC274" s="2" t="s">
        <v>2440</v>
      </c>
      <c r="AD274" s="2" t="s">
        <v>2441</v>
      </c>
      <c r="AE274" s="2" t="s">
        <v>1825</v>
      </c>
      <c r="AF274" s="2" t="s">
        <v>70</v>
      </c>
      <c r="AG274" s="2" t="s">
        <v>2442</v>
      </c>
      <c r="AK274" s="2" t="s">
        <v>2443</v>
      </c>
      <c r="AM274" s="2" t="s">
        <v>72</v>
      </c>
      <c r="AN274" s="2" t="s">
        <v>232</v>
      </c>
      <c r="AP274" s="2" t="s">
        <v>474</v>
      </c>
      <c r="AU274" s="2" t="s">
        <v>75</v>
      </c>
      <c r="AV274" s="2" t="s">
        <v>2444</v>
      </c>
      <c r="AW274" s="2" t="s">
        <v>2445</v>
      </c>
      <c r="AX274" s="2" t="s">
        <v>477</v>
      </c>
      <c r="AZ274" s="2" t="s">
        <v>478</v>
      </c>
    </row>
    <row r="275" spans="1:52" s="3" customFormat="1" x14ac:dyDescent="0.35">
      <c r="A275" s="2" t="s">
        <v>2446</v>
      </c>
      <c r="B275" s="4">
        <v>248757</v>
      </c>
      <c r="C275" s="2" t="s">
        <v>2447</v>
      </c>
      <c r="D275" s="2">
        <f t="shared" si="4"/>
        <v>5</v>
      </c>
      <c r="F275" s="2" t="s">
        <v>2448</v>
      </c>
      <c r="G275" s="2" t="s">
        <v>53</v>
      </c>
      <c r="H275" s="4">
        <v>4</v>
      </c>
      <c r="I275" s="4">
        <v>1</v>
      </c>
      <c r="J275" s="4">
        <v>450.62</v>
      </c>
      <c r="K275" s="2" t="s">
        <v>80</v>
      </c>
      <c r="L275" s="4">
        <v>450.62</v>
      </c>
      <c r="M275" s="2" t="s">
        <v>2449</v>
      </c>
      <c r="N275" s="2" t="s">
        <v>1658</v>
      </c>
      <c r="O275" s="2" t="s">
        <v>83</v>
      </c>
      <c r="P275" s="2" t="s">
        <v>58</v>
      </c>
      <c r="Q275" s="2" t="s">
        <v>59</v>
      </c>
      <c r="R275" s="2" t="s">
        <v>2450</v>
      </c>
      <c r="S275" s="2" t="s">
        <v>2451</v>
      </c>
      <c r="T275" s="2" t="s">
        <v>2452</v>
      </c>
      <c r="U275" s="2" t="s">
        <v>2453</v>
      </c>
      <c r="V275" s="2" t="s">
        <v>2454</v>
      </c>
      <c r="W275" s="2" t="s">
        <v>2455</v>
      </c>
      <c r="Y275" s="2" t="s">
        <v>2456</v>
      </c>
      <c r="Z275" s="2" t="s">
        <v>2457</v>
      </c>
      <c r="AA275" s="2" t="s">
        <v>2458</v>
      </c>
      <c r="AB275" s="2" t="s">
        <v>2459</v>
      </c>
      <c r="AC275" s="2" t="s">
        <v>2460</v>
      </c>
      <c r="AD275" s="2" t="s">
        <v>68</v>
      </c>
      <c r="AE275" s="2" t="s">
        <v>69</v>
      </c>
      <c r="AF275" s="2" t="s">
        <v>70</v>
      </c>
      <c r="AK275" s="2" t="s">
        <v>2461</v>
      </c>
      <c r="AL275" s="2" t="s">
        <v>2462</v>
      </c>
      <c r="AM275" s="2" t="s">
        <v>72</v>
      </c>
      <c r="AN275" s="2" t="s">
        <v>73</v>
      </c>
      <c r="AP275" s="2" t="s">
        <v>74</v>
      </c>
      <c r="AU275" s="2" t="s">
        <v>75</v>
      </c>
      <c r="AV275" s="2" t="s">
        <v>2463</v>
      </c>
      <c r="AW275" s="2" t="s">
        <v>2464</v>
      </c>
      <c r="AZ275" s="2" t="s">
        <v>77</v>
      </c>
    </row>
    <row r="276" spans="1:52" s="3" customFormat="1" x14ac:dyDescent="0.35">
      <c r="A276" s="2" t="s">
        <v>2465</v>
      </c>
      <c r="B276" s="4">
        <v>248737</v>
      </c>
      <c r="C276" s="2" t="s">
        <v>2466</v>
      </c>
      <c r="D276" s="2">
        <f t="shared" si="4"/>
        <v>5</v>
      </c>
      <c r="F276" s="2" t="s">
        <v>1884</v>
      </c>
      <c r="G276" s="2" t="s">
        <v>53</v>
      </c>
      <c r="H276" s="4">
        <v>1</v>
      </c>
      <c r="I276" s="4">
        <v>1</v>
      </c>
      <c r="J276" s="5">
        <v>3000</v>
      </c>
      <c r="K276" s="2" t="s">
        <v>1252</v>
      </c>
      <c r="L276" s="5">
        <v>3000</v>
      </c>
      <c r="M276" s="2" t="s">
        <v>55</v>
      </c>
      <c r="N276" s="2" t="s">
        <v>1253</v>
      </c>
      <c r="O276" s="2" t="s">
        <v>1254</v>
      </c>
      <c r="P276" s="2" t="s">
        <v>58</v>
      </c>
      <c r="Q276" s="2" t="s">
        <v>59</v>
      </c>
      <c r="R276" s="2" t="s">
        <v>1919</v>
      </c>
      <c r="T276" s="2" t="s">
        <v>1920</v>
      </c>
      <c r="U276" s="2" t="s">
        <v>1921</v>
      </c>
      <c r="V276" s="2" t="s">
        <v>1922</v>
      </c>
      <c r="W276" s="2" t="s">
        <v>2467</v>
      </c>
      <c r="X276" s="2" t="s">
        <v>2468</v>
      </c>
      <c r="Y276" s="2" t="s">
        <v>1925</v>
      </c>
      <c r="Z276" s="2" t="s">
        <v>1926</v>
      </c>
      <c r="AA276" s="2" t="s">
        <v>1927</v>
      </c>
      <c r="AB276" s="2" t="s">
        <v>1928</v>
      </c>
      <c r="AC276" s="2" t="s">
        <v>1929</v>
      </c>
      <c r="AD276" s="2" t="s">
        <v>68</v>
      </c>
      <c r="AE276" s="2" t="s">
        <v>69</v>
      </c>
      <c r="AF276" s="2" t="s">
        <v>70</v>
      </c>
      <c r="AG276" s="2" t="s">
        <v>58</v>
      </c>
      <c r="AK276" s="2" t="s">
        <v>2469</v>
      </c>
      <c r="AM276" s="2" t="s">
        <v>72</v>
      </c>
      <c r="AN276" s="2" t="s">
        <v>403</v>
      </c>
      <c r="AP276" s="2" t="s">
        <v>74</v>
      </c>
      <c r="AU276" s="2" t="s">
        <v>75</v>
      </c>
      <c r="AV276" s="2" t="s">
        <v>1931</v>
      </c>
      <c r="AW276" s="2" t="s">
        <v>1932</v>
      </c>
      <c r="AX276" s="2" t="s">
        <v>477</v>
      </c>
      <c r="AZ276" s="2" t="s">
        <v>478</v>
      </c>
    </row>
    <row r="277" spans="1:52" s="3" customFormat="1" x14ac:dyDescent="0.35">
      <c r="A277" s="2" t="s">
        <v>2470</v>
      </c>
      <c r="B277" s="4">
        <v>248736</v>
      </c>
      <c r="C277" s="2" t="s">
        <v>2471</v>
      </c>
      <c r="D277" s="2">
        <f t="shared" si="4"/>
        <v>5</v>
      </c>
      <c r="F277" s="2" t="s">
        <v>1884</v>
      </c>
      <c r="G277" s="2" t="s">
        <v>53</v>
      </c>
      <c r="H277" s="4">
        <v>3</v>
      </c>
      <c r="I277" s="4">
        <v>1</v>
      </c>
      <c r="J277" s="5">
        <v>5997</v>
      </c>
      <c r="K277" s="2" t="s">
        <v>1252</v>
      </c>
      <c r="L277" s="5">
        <v>5997</v>
      </c>
      <c r="M277" s="2" t="s">
        <v>55</v>
      </c>
      <c r="N277" s="2" t="s">
        <v>1253</v>
      </c>
      <c r="O277" s="2" t="s">
        <v>1254</v>
      </c>
      <c r="P277" s="2" t="s">
        <v>509</v>
      </c>
      <c r="Q277" s="2" t="s">
        <v>510</v>
      </c>
      <c r="R277" s="2" t="s">
        <v>1919</v>
      </c>
      <c r="T277" s="2" t="s">
        <v>1920</v>
      </c>
      <c r="U277" s="2" t="s">
        <v>1921</v>
      </c>
      <c r="V277" s="2" t="s">
        <v>1922</v>
      </c>
      <c r="W277" s="2" t="s">
        <v>2467</v>
      </c>
      <c r="X277" s="2" t="s">
        <v>2468</v>
      </c>
      <c r="Y277" s="2" t="s">
        <v>1925</v>
      </c>
      <c r="Z277" s="2" t="s">
        <v>1926</v>
      </c>
      <c r="AA277" s="2" t="s">
        <v>1927</v>
      </c>
      <c r="AB277" s="2" t="s">
        <v>1928</v>
      </c>
      <c r="AC277" s="2" t="s">
        <v>1929</v>
      </c>
      <c r="AD277" s="2" t="s">
        <v>68</v>
      </c>
      <c r="AE277" s="2" t="s">
        <v>69</v>
      </c>
      <c r="AF277" s="2" t="s">
        <v>70</v>
      </c>
      <c r="AG277" s="2" t="s">
        <v>509</v>
      </c>
      <c r="AK277" s="2" t="s">
        <v>2472</v>
      </c>
      <c r="AM277" s="2" t="s">
        <v>72</v>
      </c>
      <c r="AN277" s="2" t="s">
        <v>100</v>
      </c>
      <c r="AP277" s="2" t="s">
        <v>74</v>
      </c>
      <c r="AU277" s="2" t="s">
        <v>75</v>
      </c>
      <c r="AV277" s="2" t="s">
        <v>1931</v>
      </c>
      <c r="AW277" s="2" t="s">
        <v>1932</v>
      </c>
      <c r="AX277" s="2" t="s">
        <v>477</v>
      </c>
      <c r="AZ277" s="2" t="s">
        <v>478</v>
      </c>
    </row>
    <row r="278" spans="1:52" s="3" customFormat="1" x14ac:dyDescent="0.35">
      <c r="A278" s="2" t="s">
        <v>2473</v>
      </c>
      <c r="B278" s="4">
        <v>248714</v>
      </c>
      <c r="C278" s="2" t="s">
        <v>2474</v>
      </c>
      <c r="D278" s="2">
        <f t="shared" si="4"/>
        <v>5</v>
      </c>
      <c r="G278" s="2" t="s">
        <v>53</v>
      </c>
      <c r="H278" s="4">
        <v>1</v>
      </c>
      <c r="I278" s="4">
        <v>1</v>
      </c>
      <c r="J278" s="4">
        <v>0</v>
      </c>
      <c r="L278" s="4">
        <v>0</v>
      </c>
      <c r="M278" s="2" t="s">
        <v>55</v>
      </c>
      <c r="N278" s="2" t="s">
        <v>56</v>
      </c>
      <c r="O278" s="2" t="s">
        <v>57</v>
      </c>
      <c r="P278" s="2" t="s">
        <v>499</v>
      </c>
      <c r="Q278" s="2" t="s">
        <v>500</v>
      </c>
      <c r="R278" s="2" t="s">
        <v>2475</v>
      </c>
      <c r="S278" s="2" t="s">
        <v>2476</v>
      </c>
      <c r="V278" s="2" t="s">
        <v>2477</v>
      </c>
      <c r="W278" s="2" t="s">
        <v>2478</v>
      </c>
      <c r="Y278" s="2" t="s">
        <v>64</v>
      </c>
      <c r="Z278" s="2" t="s">
        <v>65</v>
      </c>
      <c r="AA278" s="2" t="s">
        <v>66</v>
      </c>
      <c r="AC278" s="2" t="s">
        <v>67</v>
      </c>
      <c r="AD278" s="2" t="s">
        <v>68</v>
      </c>
      <c r="AE278" s="2" t="s">
        <v>69</v>
      </c>
      <c r="AF278" s="2" t="s">
        <v>70</v>
      </c>
      <c r="AG278" s="2" t="s">
        <v>499</v>
      </c>
      <c r="AK278" s="2" t="s">
        <v>2479</v>
      </c>
      <c r="AM278" s="2" t="s">
        <v>72</v>
      </c>
      <c r="AN278" s="2" t="s">
        <v>100</v>
      </c>
      <c r="AP278" s="2" t="s">
        <v>74</v>
      </c>
      <c r="AU278" s="2" t="s">
        <v>75</v>
      </c>
      <c r="AW278" s="2" t="s">
        <v>2480</v>
      </c>
      <c r="AZ278" s="2" t="s">
        <v>116</v>
      </c>
    </row>
    <row r="279" spans="1:52" s="3" customFormat="1" x14ac:dyDescent="0.35">
      <c r="A279" s="2" t="s">
        <v>2481</v>
      </c>
      <c r="B279" s="4">
        <v>248709</v>
      </c>
      <c r="C279" s="2" t="s">
        <v>2482</v>
      </c>
      <c r="D279" s="2">
        <f t="shared" si="4"/>
        <v>5</v>
      </c>
      <c r="G279" s="2" t="s">
        <v>53</v>
      </c>
      <c r="H279" s="4">
        <v>1</v>
      </c>
      <c r="I279" s="4">
        <v>1</v>
      </c>
      <c r="J279" s="4">
        <v>0</v>
      </c>
      <c r="L279" s="4">
        <v>0</v>
      </c>
      <c r="M279" s="2" t="s">
        <v>55</v>
      </c>
      <c r="N279" s="2" t="s">
        <v>56</v>
      </c>
      <c r="O279" s="2" t="s">
        <v>57</v>
      </c>
      <c r="P279" s="2" t="s">
        <v>499</v>
      </c>
      <c r="Q279" s="2" t="s">
        <v>500</v>
      </c>
      <c r="R279" s="2" t="s">
        <v>2483</v>
      </c>
      <c r="S279" s="2" t="s">
        <v>2484</v>
      </c>
      <c r="V279" s="2" t="s">
        <v>2485</v>
      </c>
      <c r="W279" s="2" t="s">
        <v>2486</v>
      </c>
      <c r="Y279" s="2" t="s">
        <v>64</v>
      </c>
      <c r="Z279" s="2" t="s">
        <v>65</v>
      </c>
      <c r="AA279" s="2" t="s">
        <v>66</v>
      </c>
      <c r="AC279" s="2" t="s">
        <v>67</v>
      </c>
      <c r="AD279" s="2" t="s">
        <v>68</v>
      </c>
      <c r="AE279" s="2" t="s">
        <v>69</v>
      </c>
      <c r="AF279" s="2" t="s">
        <v>70</v>
      </c>
      <c r="AG279" s="2" t="s">
        <v>499</v>
      </c>
      <c r="AK279" s="2" t="s">
        <v>2487</v>
      </c>
      <c r="AM279" s="2" t="s">
        <v>72</v>
      </c>
      <c r="AN279" s="2" t="s">
        <v>100</v>
      </c>
      <c r="AP279" s="2" t="s">
        <v>74</v>
      </c>
      <c r="AU279" s="2" t="s">
        <v>75</v>
      </c>
      <c r="AV279" s="2" t="s">
        <v>731</v>
      </c>
      <c r="AW279" s="2" t="s">
        <v>2488</v>
      </c>
      <c r="AZ279" s="2" t="s">
        <v>116</v>
      </c>
    </row>
    <row r="280" spans="1:52" s="3" customFormat="1" x14ac:dyDescent="0.35">
      <c r="A280" s="2" t="s">
        <v>2489</v>
      </c>
      <c r="B280" s="4">
        <v>248706</v>
      </c>
      <c r="C280" s="2" t="s">
        <v>2490</v>
      </c>
      <c r="D280" s="2">
        <f t="shared" si="4"/>
        <v>5</v>
      </c>
      <c r="G280" s="2" t="s">
        <v>53</v>
      </c>
      <c r="H280" s="4">
        <v>1</v>
      </c>
      <c r="I280" s="4">
        <v>1</v>
      </c>
      <c r="J280" s="4">
        <v>0</v>
      </c>
      <c r="L280" s="4">
        <v>0</v>
      </c>
      <c r="M280" s="2" t="s">
        <v>55</v>
      </c>
      <c r="N280" s="2" t="s">
        <v>56</v>
      </c>
      <c r="O280" s="2" t="s">
        <v>57</v>
      </c>
      <c r="P280" s="2" t="s">
        <v>499</v>
      </c>
      <c r="Q280" s="2" t="s">
        <v>500</v>
      </c>
      <c r="R280" s="2" t="s">
        <v>2491</v>
      </c>
      <c r="S280" s="2" t="s">
        <v>2492</v>
      </c>
      <c r="V280" s="2" t="s">
        <v>2493</v>
      </c>
      <c r="W280" s="2" t="s">
        <v>2494</v>
      </c>
      <c r="Y280" s="2" t="s">
        <v>64</v>
      </c>
      <c r="Z280" s="2" t="s">
        <v>65</v>
      </c>
      <c r="AA280" s="2" t="s">
        <v>66</v>
      </c>
      <c r="AC280" s="2" t="s">
        <v>67</v>
      </c>
      <c r="AD280" s="2" t="s">
        <v>68</v>
      </c>
      <c r="AE280" s="2" t="s">
        <v>69</v>
      </c>
      <c r="AF280" s="2" t="s">
        <v>70</v>
      </c>
      <c r="AG280" s="2" t="s">
        <v>499</v>
      </c>
      <c r="AK280" s="2" t="s">
        <v>2495</v>
      </c>
      <c r="AM280" s="2" t="s">
        <v>72</v>
      </c>
      <c r="AN280" s="2" t="s">
        <v>73</v>
      </c>
      <c r="AP280" s="2" t="s">
        <v>74</v>
      </c>
      <c r="AU280" s="2" t="s">
        <v>75</v>
      </c>
      <c r="AW280" s="2" t="s">
        <v>2496</v>
      </c>
      <c r="AZ280" s="2" t="s">
        <v>116</v>
      </c>
    </row>
    <row r="281" spans="1:52" s="3" customFormat="1" x14ac:dyDescent="0.35">
      <c r="A281" s="2" t="s">
        <v>2497</v>
      </c>
      <c r="B281" s="4">
        <v>248705</v>
      </c>
      <c r="C281" s="2" t="s">
        <v>2498</v>
      </c>
      <c r="D281" s="2">
        <f t="shared" si="4"/>
        <v>5</v>
      </c>
      <c r="G281" s="2" t="s">
        <v>53</v>
      </c>
      <c r="H281" s="4">
        <v>1</v>
      </c>
      <c r="I281" s="4">
        <v>1</v>
      </c>
      <c r="J281" s="4">
        <v>0</v>
      </c>
      <c r="L281" s="4">
        <v>0</v>
      </c>
      <c r="M281" s="2" t="s">
        <v>55</v>
      </c>
      <c r="N281" s="2" t="s">
        <v>56</v>
      </c>
      <c r="O281" s="2" t="s">
        <v>57</v>
      </c>
      <c r="P281" s="2" t="s">
        <v>499</v>
      </c>
      <c r="Q281" s="2" t="s">
        <v>500</v>
      </c>
      <c r="R281" s="2" t="s">
        <v>2499</v>
      </c>
      <c r="S281" s="2" t="s">
        <v>2500</v>
      </c>
      <c r="V281" s="2" t="s">
        <v>2501</v>
      </c>
      <c r="W281" s="2" t="s">
        <v>2502</v>
      </c>
      <c r="Y281" s="2" t="s">
        <v>64</v>
      </c>
      <c r="Z281" s="2" t="s">
        <v>65</v>
      </c>
      <c r="AA281" s="2" t="s">
        <v>66</v>
      </c>
      <c r="AC281" s="2" t="s">
        <v>67</v>
      </c>
      <c r="AD281" s="2" t="s">
        <v>68</v>
      </c>
      <c r="AE281" s="2" t="s">
        <v>69</v>
      </c>
      <c r="AF281" s="2" t="s">
        <v>70</v>
      </c>
      <c r="AG281" s="2" t="s">
        <v>499</v>
      </c>
      <c r="AK281" s="2" t="s">
        <v>2503</v>
      </c>
      <c r="AM281" s="2" t="s">
        <v>72</v>
      </c>
      <c r="AN281" s="2" t="s">
        <v>473</v>
      </c>
      <c r="AP281" s="2" t="s">
        <v>74</v>
      </c>
      <c r="AU281" s="2" t="s">
        <v>75</v>
      </c>
      <c r="AW281" s="2" t="s">
        <v>2504</v>
      </c>
      <c r="AZ281" s="2" t="s">
        <v>116</v>
      </c>
    </row>
    <row r="282" spans="1:52" s="3" customFormat="1" x14ac:dyDescent="0.35">
      <c r="A282" s="2" t="s">
        <v>2505</v>
      </c>
      <c r="B282" s="4">
        <v>248703</v>
      </c>
      <c r="C282" s="2" t="s">
        <v>2506</v>
      </c>
      <c r="D282" s="2">
        <f t="shared" si="4"/>
        <v>5</v>
      </c>
      <c r="F282" s="2" t="s">
        <v>2448</v>
      </c>
      <c r="G282" s="2" t="s">
        <v>53</v>
      </c>
      <c r="H282" s="4">
        <v>1</v>
      </c>
      <c r="I282" s="4">
        <v>1</v>
      </c>
      <c r="J282" s="4">
        <v>0</v>
      </c>
      <c r="L282" s="4">
        <v>0</v>
      </c>
      <c r="M282" s="2" t="s">
        <v>55</v>
      </c>
      <c r="N282" s="2" t="s">
        <v>56</v>
      </c>
      <c r="O282" s="2" t="s">
        <v>57</v>
      </c>
      <c r="P282" s="2" t="s">
        <v>106</v>
      </c>
      <c r="Q282" s="2" t="s">
        <v>107</v>
      </c>
      <c r="R282" s="2" t="s">
        <v>2507</v>
      </c>
      <c r="S282" s="2" t="s">
        <v>2508</v>
      </c>
      <c r="V282" s="2" t="s">
        <v>2509</v>
      </c>
      <c r="W282" s="2" t="s">
        <v>2510</v>
      </c>
      <c r="Y282" s="2" t="s">
        <v>64</v>
      </c>
      <c r="Z282" s="2" t="s">
        <v>65</v>
      </c>
      <c r="AA282" s="2" t="s">
        <v>66</v>
      </c>
      <c r="AC282" s="2" t="s">
        <v>67</v>
      </c>
      <c r="AD282" s="2" t="s">
        <v>68</v>
      </c>
      <c r="AE282" s="2" t="s">
        <v>69</v>
      </c>
      <c r="AF282" s="2" t="s">
        <v>70</v>
      </c>
      <c r="AG282" s="2" t="s">
        <v>106</v>
      </c>
      <c r="AK282" s="2" t="s">
        <v>2511</v>
      </c>
      <c r="AM282" s="2" t="s">
        <v>72</v>
      </c>
      <c r="AN282" s="2" t="s">
        <v>283</v>
      </c>
      <c r="AP282" s="2" t="s">
        <v>113</v>
      </c>
      <c r="AT282" s="2" t="s">
        <v>114</v>
      </c>
      <c r="AU282" s="2" t="s">
        <v>75</v>
      </c>
      <c r="AW282" s="2" t="s">
        <v>2512</v>
      </c>
      <c r="AZ282" s="2" t="s">
        <v>116</v>
      </c>
    </row>
    <row r="283" spans="1:52" s="3" customFormat="1" x14ac:dyDescent="0.35">
      <c r="A283" s="2" t="s">
        <v>2513</v>
      </c>
      <c r="B283" s="4">
        <v>248702</v>
      </c>
      <c r="C283" s="2" t="s">
        <v>2514</v>
      </c>
      <c r="D283" s="2">
        <f t="shared" si="4"/>
        <v>5</v>
      </c>
      <c r="F283" s="2" t="s">
        <v>2448</v>
      </c>
      <c r="G283" s="2" t="s">
        <v>53</v>
      </c>
      <c r="H283" s="4">
        <v>1</v>
      </c>
      <c r="I283" s="4">
        <v>1</v>
      </c>
      <c r="J283" s="4">
        <v>0</v>
      </c>
      <c r="L283" s="4">
        <v>0</v>
      </c>
      <c r="M283" s="2" t="s">
        <v>55</v>
      </c>
      <c r="N283" s="2" t="s">
        <v>56</v>
      </c>
      <c r="O283" s="2" t="s">
        <v>57</v>
      </c>
      <c r="P283" s="2" t="s">
        <v>106</v>
      </c>
      <c r="Q283" s="2" t="s">
        <v>107</v>
      </c>
      <c r="R283" s="2" t="s">
        <v>2215</v>
      </c>
      <c r="S283" s="2" t="s">
        <v>2216</v>
      </c>
      <c r="V283" s="2" t="s">
        <v>2515</v>
      </c>
      <c r="W283" s="2" t="s">
        <v>2218</v>
      </c>
      <c r="Y283" s="2" t="s">
        <v>64</v>
      </c>
      <c r="Z283" s="2" t="s">
        <v>65</v>
      </c>
      <c r="AA283" s="2" t="s">
        <v>66</v>
      </c>
      <c r="AC283" s="2" t="s">
        <v>67</v>
      </c>
      <c r="AD283" s="2" t="s">
        <v>68</v>
      </c>
      <c r="AE283" s="2" t="s">
        <v>69</v>
      </c>
      <c r="AF283" s="2" t="s">
        <v>70</v>
      </c>
      <c r="AG283" s="2" t="s">
        <v>106</v>
      </c>
      <c r="AK283" s="2" t="s">
        <v>2516</v>
      </c>
      <c r="AM283" s="2" t="s">
        <v>72</v>
      </c>
      <c r="AN283" s="2" t="s">
        <v>283</v>
      </c>
      <c r="AP283" s="2" t="s">
        <v>113</v>
      </c>
      <c r="AT283" s="2" t="s">
        <v>114</v>
      </c>
      <c r="AU283" s="2" t="s">
        <v>75</v>
      </c>
      <c r="AV283" s="2" t="s">
        <v>2203</v>
      </c>
      <c r="AW283" s="2" t="s">
        <v>2220</v>
      </c>
      <c r="AZ283" s="2" t="s">
        <v>116</v>
      </c>
    </row>
    <row r="284" spans="1:52" s="3" customFormat="1" x14ac:dyDescent="0.35">
      <c r="A284" s="2" t="s">
        <v>2517</v>
      </c>
      <c r="B284" s="4">
        <v>248701</v>
      </c>
      <c r="C284" s="2" t="s">
        <v>2518</v>
      </c>
      <c r="D284" s="2">
        <f t="shared" si="4"/>
        <v>5</v>
      </c>
      <c r="G284" s="2" t="s">
        <v>53</v>
      </c>
      <c r="H284" s="4">
        <v>1</v>
      </c>
      <c r="I284" s="4">
        <v>1</v>
      </c>
      <c r="J284" s="4">
        <v>0</v>
      </c>
      <c r="L284" s="4">
        <v>0</v>
      </c>
      <c r="M284" s="2" t="s">
        <v>55</v>
      </c>
      <c r="N284" s="2" t="s">
        <v>56</v>
      </c>
      <c r="O284" s="2" t="s">
        <v>57</v>
      </c>
      <c r="P284" s="2" t="s">
        <v>499</v>
      </c>
      <c r="Q284" s="2" t="s">
        <v>500</v>
      </c>
      <c r="R284" s="2" t="s">
        <v>2519</v>
      </c>
      <c r="S284" s="2" t="s">
        <v>2520</v>
      </c>
      <c r="V284" s="2" t="s">
        <v>2521</v>
      </c>
      <c r="W284" s="2" t="s">
        <v>2522</v>
      </c>
      <c r="Y284" s="2" t="s">
        <v>64</v>
      </c>
      <c r="Z284" s="2" t="s">
        <v>65</v>
      </c>
      <c r="AA284" s="2" t="s">
        <v>66</v>
      </c>
      <c r="AC284" s="2" t="s">
        <v>67</v>
      </c>
      <c r="AD284" s="2" t="s">
        <v>68</v>
      </c>
      <c r="AE284" s="2" t="s">
        <v>69</v>
      </c>
      <c r="AF284" s="2" t="s">
        <v>70</v>
      </c>
      <c r="AG284" s="2" t="s">
        <v>499</v>
      </c>
      <c r="AK284" s="2" t="s">
        <v>2523</v>
      </c>
      <c r="AM284" s="2" t="s">
        <v>72</v>
      </c>
      <c r="AN284" s="2" t="s">
        <v>473</v>
      </c>
      <c r="AP284" s="2" t="s">
        <v>74</v>
      </c>
      <c r="AU284" s="2" t="s">
        <v>75</v>
      </c>
      <c r="AV284" s="2" t="s">
        <v>2524</v>
      </c>
      <c r="AW284" s="2" t="s">
        <v>2525</v>
      </c>
      <c r="AZ284" s="2" t="s">
        <v>116</v>
      </c>
    </row>
    <row r="285" spans="1:52" s="3" customFormat="1" x14ac:dyDescent="0.35">
      <c r="A285" s="2" t="s">
        <v>2526</v>
      </c>
      <c r="B285" s="4">
        <v>248700</v>
      </c>
      <c r="C285" s="2" t="s">
        <v>2527</v>
      </c>
      <c r="D285" s="2">
        <f t="shared" si="4"/>
        <v>5</v>
      </c>
      <c r="G285" s="2" t="s">
        <v>53</v>
      </c>
      <c r="H285" s="4">
        <v>1</v>
      </c>
      <c r="I285" s="4">
        <v>1</v>
      </c>
      <c r="J285" s="4">
        <v>0</v>
      </c>
      <c r="L285" s="4">
        <v>0</v>
      </c>
      <c r="M285" s="2" t="s">
        <v>55</v>
      </c>
      <c r="N285" s="2" t="s">
        <v>56</v>
      </c>
      <c r="O285" s="2" t="s">
        <v>57</v>
      </c>
      <c r="P285" s="2" t="s">
        <v>509</v>
      </c>
      <c r="Q285" s="2" t="s">
        <v>510</v>
      </c>
      <c r="R285" s="2" t="s">
        <v>2528</v>
      </c>
      <c r="S285" s="2" t="s">
        <v>2529</v>
      </c>
      <c r="V285" s="2" t="s">
        <v>2530</v>
      </c>
      <c r="W285" s="2" t="s">
        <v>2531</v>
      </c>
      <c r="Y285" s="2" t="s">
        <v>64</v>
      </c>
      <c r="Z285" s="2" t="s">
        <v>65</v>
      </c>
      <c r="AA285" s="2" t="s">
        <v>66</v>
      </c>
      <c r="AC285" s="2" t="s">
        <v>67</v>
      </c>
      <c r="AD285" s="2" t="s">
        <v>68</v>
      </c>
      <c r="AE285" s="2" t="s">
        <v>69</v>
      </c>
      <c r="AF285" s="2" t="s">
        <v>70</v>
      </c>
      <c r="AG285" s="2" t="s">
        <v>509</v>
      </c>
      <c r="AK285" s="2" t="s">
        <v>2532</v>
      </c>
      <c r="AM285" s="2" t="s">
        <v>72</v>
      </c>
      <c r="AN285" s="2" t="s">
        <v>100</v>
      </c>
      <c r="AP285" s="2" t="s">
        <v>74</v>
      </c>
      <c r="AU285" s="2" t="s">
        <v>75</v>
      </c>
      <c r="AV285" s="2" t="s">
        <v>2533</v>
      </c>
      <c r="AW285" s="2" t="s">
        <v>2534</v>
      </c>
      <c r="AZ285" s="2" t="s">
        <v>116</v>
      </c>
    </row>
    <row r="286" spans="1:52" s="3" customFormat="1" x14ac:dyDescent="0.35">
      <c r="A286" s="2" t="s">
        <v>2535</v>
      </c>
      <c r="B286" s="4">
        <v>248699</v>
      </c>
      <c r="C286" s="2" t="s">
        <v>2536</v>
      </c>
      <c r="D286" s="2">
        <f t="shared" si="4"/>
        <v>5</v>
      </c>
      <c r="G286" s="2" t="s">
        <v>53</v>
      </c>
      <c r="H286" s="4">
        <v>1</v>
      </c>
      <c r="I286" s="4">
        <v>1</v>
      </c>
      <c r="J286" s="4">
        <v>0</v>
      </c>
      <c r="L286" s="4">
        <v>0</v>
      </c>
      <c r="M286" s="2" t="s">
        <v>55</v>
      </c>
      <c r="N286" s="2" t="s">
        <v>56</v>
      </c>
      <c r="O286" s="2" t="s">
        <v>57</v>
      </c>
      <c r="P286" s="2" t="s">
        <v>499</v>
      </c>
      <c r="Q286" s="2" t="s">
        <v>500</v>
      </c>
      <c r="R286" s="2" t="s">
        <v>2537</v>
      </c>
      <c r="S286" s="2" t="s">
        <v>2538</v>
      </c>
      <c r="V286" s="2" t="s">
        <v>2539</v>
      </c>
      <c r="W286" s="2" t="s">
        <v>2540</v>
      </c>
      <c r="Y286" s="2" t="s">
        <v>64</v>
      </c>
      <c r="Z286" s="2" t="s">
        <v>205</v>
      </c>
      <c r="AA286" s="2" t="s">
        <v>66</v>
      </c>
      <c r="AC286" s="2" t="s">
        <v>67</v>
      </c>
      <c r="AD286" s="2" t="s">
        <v>68</v>
      </c>
      <c r="AE286" s="2" t="s">
        <v>69</v>
      </c>
      <c r="AF286" s="2" t="s">
        <v>70</v>
      </c>
      <c r="AG286" s="2" t="s">
        <v>499</v>
      </c>
      <c r="AK286" s="2" t="s">
        <v>2541</v>
      </c>
      <c r="AM286" s="2" t="s">
        <v>72</v>
      </c>
      <c r="AN286" s="2" t="s">
        <v>100</v>
      </c>
      <c r="AP286" s="2" t="s">
        <v>74</v>
      </c>
      <c r="AU286" s="2" t="s">
        <v>75</v>
      </c>
      <c r="AV286" s="2" t="s">
        <v>2542</v>
      </c>
      <c r="AW286" s="2" t="s">
        <v>2543</v>
      </c>
      <c r="AZ286" s="2" t="s">
        <v>116</v>
      </c>
    </row>
    <row r="287" spans="1:52" s="3" customFormat="1" x14ac:dyDescent="0.35">
      <c r="A287" s="2" t="s">
        <v>2544</v>
      </c>
      <c r="B287" s="4">
        <v>248676</v>
      </c>
      <c r="C287" s="2" t="s">
        <v>2545</v>
      </c>
      <c r="D287" s="2">
        <f t="shared" si="4"/>
        <v>5</v>
      </c>
      <c r="F287" s="2" t="s">
        <v>2448</v>
      </c>
      <c r="G287" s="2" t="s">
        <v>53</v>
      </c>
      <c r="H287" s="4">
        <v>1</v>
      </c>
      <c r="I287" s="4">
        <v>1</v>
      </c>
      <c r="J287" s="5">
        <v>2250</v>
      </c>
      <c r="K287" s="2" t="s">
        <v>1252</v>
      </c>
      <c r="L287" s="5">
        <v>2250</v>
      </c>
      <c r="M287" s="2" t="s">
        <v>55</v>
      </c>
      <c r="N287" s="2" t="s">
        <v>1253</v>
      </c>
      <c r="O287" s="2" t="s">
        <v>1254</v>
      </c>
      <c r="P287" s="2" t="s">
        <v>509</v>
      </c>
      <c r="Q287" s="2" t="s">
        <v>510</v>
      </c>
      <c r="R287" s="2" t="s">
        <v>2546</v>
      </c>
      <c r="T287" s="2" t="s">
        <v>2547</v>
      </c>
      <c r="U287" s="2" t="s">
        <v>2548</v>
      </c>
      <c r="V287" s="2" t="s">
        <v>2549</v>
      </c>
      <c r="W287" s="2" t="s">
        <v>2550</v>
      </c>
      <c r="X287" s="2" t="s">
        <v>2550</v>
      </c>
      <c r="Y287" s="2" t="s">
        <v>2551</v>
      </c>
      <c r="Z287" s="2" t="s">
        <v>2552</v>
      </c>
      <c r="AA287" s="2" t="s">
        <v>2553</v>
      </c>
      <c r="AB287" s="2" t="s">
        <v>2554</v>
      </c>
      <c r="AC287" s="2" t="s">
        <v>2555</v>
      </c>
      <c r="AD287" s="2" t="s">
        <v>2556</v>
      </c>
      <c r="AE287" s="2" t="s">
        <v>69</v>
      </c>
      <c r="AF287" s="2" t="s">
        <v>70</v>
      </c>
      <c r="AG287" s="2" t="s">
        <v>2557</v>
      </c>
      <c r="AK287" s="2" t="s">
        <v>2558</v>
      </c>
      <c r="AM287" s="2" t="s">
        <v>72</v>
      </c>
      <c r="AN287" s="2" t="s">
        <v>283</v>
      </c>
      <c r="AP287" s="2" t="s">
        <v>74</v>
      </c>
      <c r="AU287" s="2" t="s">
        <v>75</v>
      </c>
      <c r="AV287" s="2" t="s">
        <v>2559</v>
      </c>
      <c r="AW287" s="2" t="s">
        <v>2560</v>
      </c>
      <c r="AX287" s="2" t="s">
        <v>477</v>
      </c>
      <c r="AZ287" s="2" t="s">
        <v>478</v>
      </c>
    </row>
    <row r="288" spans="1:52" s="3" customFormat="1" x14ac:dyDescent="0.35">
      <c r="A288" s="2" t="s">
        <v>2561</v>
      </c>
      <c r="B288" s="4">
        <v>248633</v>
      </c>
      <c r="C288" s="2" t="s">
        <v>2562</v>
      </c>
      <c r="D288" s="2">
        <f t="shared" si="4"/>
        <v>5</v>
      </c>
      <c r="F288" s="2" t="s">
        <v>2563</v>
      </c>
      <c r="G288" s="2" t="s">
        <v>53</v>
      </c>
      <c r="H288" s="4">
        <v>1</v>
      </c>
      <c r="I288" s="4">
        <v>1</v>
      </c>
      <c r="J288" s="4">
        <v>0</v>
      </c>
      <c r="L288" s="4">
        <v>0</v>
      </c>
      <c r="M288" s="2" t="s">
        <v>55</v>
      </c>
      <c r="N288" s="2" t="s">
        <v>56</v>
      </c>
      <c r="O288" s="2" t="s">
        <v>57</v>
      </c>
      <c r="P288" s="2" t="s">
        <v>106</v>
      </c>
      <c r="Q288" s="2" t="s">
        <v>107</v>
      </c>
      <c r="R288" s="2" t="s">
        <v>2564</v>
      </c>
      <c r="S288" s="2" t="s">
        <v>2565</v>
      </c>
      <c r="V288" s="2" t="s">
        <v>2566</v>
      </c>
      <c r="W288" s="2" t="s">
        <v>2567</v>
      </c>
      <c r="Y288" s="2" t="s">
        <v>64</v>
      </c>
      <c r="Z288" s="2" t="s">
        <v>205</v>
      </c>
      <c r="AA288" s="2" t="s">
        <v>66</v>
      </c>
      <c r="AC288" s="2" t="s">
        <v>67</v>
      </c>
      <c r="AD288" s="2" t="s">
        <v>68</v>
      </c>
      <c r="AE288" s="2" t="s">
        <v>69</v>
      </c>
      <c r="AF288" s="2" t="s">
        <v>70</v>
      </c>
      <c r="AG288" s="2" t="s">
        <v>106</v>
      </c>
      <c r="AK288" s="2" t="s">
        <v>2568</v>
      </c>
      <c r="AM288" s="2" t="s">
        <v>72</v>
      </c>
      <c r="AN288" s="2" t="s">
        <v>283</v>
      </c>
      <c r="AP288" s="2" t="s">
        <v>113</v>
      </c>
      <c r="AT288" s="2" t="s">
        <v>114</v>
      </c>
      <c r="AU288" s="2" t="s">
        <v>75</v>
      </c>
      <c r="AV288" s="2" t="s">
        <v>1828</v>
      </c>
      <c r="AW288" s="2" t="s">
        <v>2569</v>
      </c>
      <c r="AZ288" s="2" t="s">
        <v>116</v>
      </c>
    </row>
    <row r="289" spans="1:52" s="3" customFormat="1" x14ac:dyDescent="0.35">
      <c r="A289" s="2" t="s">
        <v>2570</v>
      </c>
      <c r="B289" s="4">
        <v>248595</v>
      </c>
      <c r="C289" s="2" t="s">
        <v>2571</v>
      </c>
      <c r="D289" s="2">
        <f t="shared" si="4"/>
        <v>5</v>
      </c>
      <c r="F289" s="2" t="s">
        <v>2563</v>
      </c>
      <c r="G289" s="2" t="s">
        <v>53</v>
      </c>
      <c r="H289" s="4">
        <v>1</v>
      </c>
      <c r="I289" s="4">
        <v>1</v>
      </c>
      <c r="J289" s="4">
        <v>0</v>
      </c>
      <c r="L289" s="4">
        <v>0</v>
      </c>
      <c r="M289" s="2" t="s">
        <v>55</v>
      </c>
      <c r="N289" s="2" t="s">
        <v>56</v>
      </c>
      <c r="O289" s="2" t="s">
        <v>57</v>
      </c>
      <c r="P289" s="2" t="s">
        <v>106</v>
      </c>
      <c r="Q289" s="2" t="s">
        <v>107</v>
      </c>
      <c r="R289" s="2" t="s">
        <v>2572</v>
      </c>
      <c r="S289" s="2" t="s">
        <v>2573</v>
      </c>
      <c r="V289" s="2" t="s">
        <v>2574</v>
      </c>
      <c r="W289" s="2" t="s">
        <v>2575</v>
      </c>
      <c r="Y289" s="2" t="s">
        <v>64</v>
      </c>
      <c r="Z289" s="2" t="s">
        <v>205</v>
      </c>
      <c r="AA289" s="2" t="s">
        <v>66</v>
      </c>
      <c r="AC289" s="2" t="s">
        <v>67</v>
      </c>
      <c r="AD289" s="2" t="s">
        <v>68</v>
      </c>
      <c r="AE289" s="2" t="s">
        <v>69</v>
      </c>
      <c r="AF289" s="2" t="s">
        <v>70</v>
      </c>
      <c r="AG289" s="2" t="s">
        <v>106</v>
      </c>
      <c r="AK289" s="2" t="s">
        <v>2576</v>
      </c>
      <c r="AM289" s="2" t="s">
        <v>72</v>
      </c>
      <c r="AN289" s="2" t="s">
        <v>1046</v>
      </c>
      <c r="AP289" s="2" t="s">
        <v>113</v>
      </c>
      <c r="AT289" s="2" t="s">
        <v>114</v>
      </c>
      <c r="AU289" s="2" t="s">
        <v>75</v>
      </c>
      <c r="AW289" s="2" t="s">
        <v>2577</v>
      </c>
      <c r="AZ289" s="2" t="s">
        <v>116</v>
      </c>
    </row>
    <row r="290" spans="1:52" s="3" customFormat="1" x14ac:dyDescent="0.35">
      <c r="A290" s="2" t="s">
        <v>2578</v>
      </c>
      <c r="B290" s="4">
        <v>248594</v>
      </c>
      <c r="C290" s="2" t="s">
        <v>2579</v>
      </c>
      <c r="D290" s="2">
        <f t="shared" si="4"/>
        <v>5</v>
      </c>
      <c r="F290" s="2" t="s">
        <v>2563</v>
      </c>
      <c r="G290" s="2" t="s">
        <v>53</v>
      </c>
      <c r="H290" s="4">
        <v>1</v>
      </c>
      <c r="I290" s="4">
        <v>1</v>
      </c>
      <c r="J290" s="4">
        <v>0</v>
      </c>
      <c r="L290" s="4">
        <v>0</v>
      </c>
      <c r="M290" s="2" t="s">
        <v>55</v>
      </c>
      <c r="N290" s="2" t="s">
        <v>56</v>
      </c>
      <c r="O290" s="2" t="s">
        <v>57</v>
      </c>
      <c r="P290" s="2" t="s">
        <v>106</v>
      </c>
      <c r="Q290" s="2" t="s">
        <v>107</v>
      </c>
      <c r="R290" s="2" t="s">
        <v>2580</v>
      </c>
      <c r="S290" s="2" t="s">
        <v>2581</v>
      </c>
      <c r="V290" s="2" t="s">
        <v>2582</v>
      </c>
      <c r="W290" s="2" t="s">
        <v>2583</v>
      </c>
      <c r="Y290" s="2" t="s">
        <v>64</v>
      </c>
      <c r="Z290" s="2" t="s">
        <v>65</v>
      </c>
      <c r="AA290" s="2" t="s">
        <v>66</v>
      </c>
      <c r="AC290" s="2" t="s">
        <v>67</v>
      </c>
      <c r="AD290" s="2" t="s">
        <v>68</v>
      </c>
      <c r="AE290" s="2" t="s">
        <v>69</v>
      </c>
      <c r="AF290" s="2" t="s">
        <v>70</v>
      </c>
      <c r="AG290" s="2" t="s">
        <v>106</v>
      </c>
      <c r="AK290" s="2" t="s">
        <v>2584</v>
      </c>
      <c r="AM290" s="2" t="s">
        <v>72</v>
      </c>
      <c r="AN290" s="2" t="s">
        <v>1046</v>
      </c>
      <c r="AP290" s="2" t="s">
        <v>113</v>
      </c>
      <c r="AT290" s="2" t="s">
        <v>114</v>
      </c>
      <c r="AU290" s="2" t="s">
        <v>75</v>
      </c>
      <c r="AW290" s="2" t="s">
        <v>2585</v>
      </c>
      <c r="AZ290" s="2" t="s">
        <v>116</v>
      </c>
    </row>
    <row r="291" spans="1:52" s="3" customFormat="1" x14ac:dyDescent="0.35">
      <c r="A291" s="2" t="s">
        <v>2586</v>
      </c>
      <c r="B291" s="4">
        <v>248591</v>
      </c>
      <c r="C291" s="2" t="s">
        <v>2587</v>
      </c>
      <c r="D291" s="2">
        <f t="shared" si="4"/>
        <v>5</v>
      </c>
      <c r="F291" s="2" t="s">
        <v>2563</v>
      </c>
      <c r="G291" s="2" t="s">
        <v>53</v>
      </c>
      <c r="H291" s="4">
        <v>1</v>
      </c>
      <c r="I291" s="4">
        <v>1</v>
      </c>
      <c r="J291" s="4">
        <v>0</v>
      </c>
      <c r="L291" s="4">
        <v>0</v>
      </c>
      <c r="M291" s="2" t="s">
        <v>55</v>
      </c>
      <c r="N291" s="2" t="s">
        <v>56</v>
      </c>
      <c r="O291" s="2" t="s">
        <v>57</v>
      </c>
      <c r="P291" s="2" t="s">
        <v>106</v>
      </c>
      <c r="Q291" s="2" t="s">
        <v>107</v>
      </c>
      <c r="R291" s="2" t="s">
        <v>2588</v>
      </c>
      <c r="S291" s="2" t="s">
        <v>2589</v>
      </c>
      <c r="V291" s="2" t="s">
        <v>2590</v>
      </c>
      <c r="W291" s="2" t="s">
        <v>2591</v>
      </c>
      <c r="Y291" s="2" t="s">
        <v>64</v>
      </c>
      <c r="Z291" s="2" t="s">
        <v>65</v>
      </c>
      <c r="AA291" s="2" t="s">
        <v>66</v>
      </c>
      <c r="AC291" s="2" t="s">
        <v>67</v>
      </c>
      <c r="AD291" s="2" t="s">
        <v>68</v>
      </c>
      <c r="AE291" s="2" t="s">
        <v>69</v>
      </c>
      <c r="AF291" s="2" t="s">
        <v>70</v>
      </c>
      <c r="AG291" s="2" t="s">
        <v>2592</v>
      </c>
      <c r="AK291" s="2" t="s">
        <v>2593</v>
      </c>
      <c r="AM291" s="2" t="s">
        <v>72</v>
      </c>
      <c r="AN291" s="2" t="s">
        <v>1046</v>
      </c>
      <c r="AP291" s="2" t="s">
        <v>113</v>
      </c>
      <c r="AT291" s="2" t="s">
        <v>114</v>
      </c>
      <c r="AU291" s="2" t="s">
        <v>75</v>
      </c>
      <c r="AW291" s="2" t="s">
        <v>2594</v>
      </c>
      <c r="AZ291" s="2" t="s">
        <v>116</v>
      </c>
    </row>
    <row r="292" spans="1:52" s="3" customFormat="1" x14ac:dyDescent="0.35">
      <c r="A292" s="2" t="s">
        <v>2595</v>
      </c>
      <c r="B292" s="4">
        <v>248590</v>
      </c>
      <c r="C292" s="2" t="s">
        <v>2596</v>
      </c>
      <c r="D292" s="2">
        <f t="shared" si="4"/>
        <v>5</v>
      </c>
      <c r="F292" s="2" t="s">
        <v>2563</v>
      </c>
      <c r="G292" s="2" t="s">
        <v>53</v>
      </c>
      <c r="H292" s="4">
        <v>1</v>
      </c>
      <c r="I292" s="4">
        <v>1</v>
      </c>
      <c r="J292" s="4">
        <v>0</v>
      </c>
      <c r="L292" s="4">
        <v>0</v>
      </c>
      <c r="M292" s="2" t="s">
        <v>55</v>
      </c>
      <c r="N292" s="2" t="s">
        <v>56</v>
      </c>
      <c r="O292" s="2" t="s">
        <v>57</v>
      </c>
      <c r="P292" s="2" t="s">
        <v>106</v>
      </c>
      <c r="Q292" s="2" t="s">
        <v>107</v>
      </c>
      <c r="R292" s="2" t="s">
        <v>2597</v>
      </c>
      <c r="S292" s="2" t="s">
        <v>2598</v>
      </c>
      <c r="V292" s="2" t="s">
        <v>2599</v>
      </c>
      <c r="W292" s="2" t="s">
        <v>2600</v>
      </c>
      <c r="Y292" s="2" t="s">
        <v>64</v>
      </c>
      <c r="Z292" s="2" t="s">
        <v>65</v>
      </c>
      <c r="AA292" s="2" t="s">
        <v>66</v>
      </c>
      <c r="AC292" s="2" t="s">
        <v>67</v>
      </c>
      <c r="AD292" s="2" t="s">
        <v>68</v>
      </c>
      <c r="AE292" s="2" t="s">
        <v>69</v>
      </c>
      <c r="AF292" s="2" t="s">
        <v>70</v>
      </c>
      <c r="AG292" s="2" t="s">
        <v>106</v>
      </c>
      <c r="AK292" s="2" t="s">
        <v>2601</v>
      </c>
      <c r="AM292" s="2" t="s">
        <v>72</v>
      </c>
      <c r="AN292" s="2" t="s">
        <v>73</v>
      </c>
      <c r="AP292" s="2" t="s">
        <v>113</v>
      </c>
      <c r="AT292" s="2" t="s">
        <v>114</v>
      </c>
      <c r="AU292" s="2" t="s">
        <v>75</v>
      </c>
      <c r="AW292" s="2" t="s">
        <v>2602</v>
      </c>
      <c r="AZ292" s="2" t="s">
        <v>116</v>
      </c>
    </row>
    <row r="293" spans="1:52" s="3" customFormat="1" x14ac:dyDescent="0.35">
      <c r="A293" s="2" t="s">
        <v>2603</v>
      </c>
      <c r="B293" s="4">
        <v>248588</v>
      </c>
      <c r="C293" s="2" t="s">
        <v>2604</v>
      </c>
      <c r="D293" s="2">
        <f t="shared" si="4"/>
        <v>5</v>
      </c>
      <c r="F293" s="2" t="s">
        <v>2563</v>
      </c>
      <c r="G293" s="2" t="s">
        <v>53</v>
      </c>
      <c r="H293" s="4">
        <v>1</v>
      </c>
      <c r="I293" s="4">
        <v>1</v>
      </c>
      <c r="J293" s="4">
        <v>0</v>
      </c>
      <c r="L293" s="4">
        <v>0</v>
      </c>
      <c r="M293" s="2" t="s">
        <v>55</v>
      </c>
      <c r="N293" s="2" t="s">
        <v>56</v>
      </c>
      <c r="O293" s="2" t="s">
        <v>57</v>
      </c>
      <c r="P293" s="2" t="s">
        <v>106</v>
      </c>
      <c r="Q293" s="2" t="s">
        <v>107</v>
      </c>
      <c r="R293" s="2" t="s">
        <v>2605</v>
      </c>
      <c r="S293" s="2" t="s">
        <v>2606</v>
      </c>
      <c r="V293" s="2" t="s">
        <v>2607</v>
      </c>
      <c r="W293" s="2" t="s">
        <v>2567</v>
      </c>
      <c r="Y293" s="2" t="s">
        <v>64</v>
      </c>
      <c r="Z293" s="2" t="s">
        <v>65</v>
      </c>
      <c r="AA293" s="2" t="s">
        <v>66</v>
      </c>
      <c r="AC293" s="2" t="s">
        <v>67</v>
      </c>
      <c r="AD293" s="2" t="s">
        <v>68</v>
      </c>
      <c r="AE293" s="2" t="s">
        <v>69</v>
      </c>
      <c r="AF293" s="2" t="s">
        <v>70</v>
      </c>
      <c r="AG293" s="2" t="s">
        <v>106</v>
      </c>
      <c r="AK293" s="2" t="s">
        <v>2608</v>
      </c>
      <c r="AM293" s="2" t="s">
        <v>72</v>
      </c>
      <c r="AN293" s="2" t="s">
        <v>283</v>
      </c>
      <c r="AP293" s="2" t="s">
        <v>113</v>
      </c>
      <c r="AT293" s="2" t="s">
        <v>114</v>
      </c>
      <c r="AU293" s="2" t="s">
        <v>75</v>
      </c>
      <c r="AV293" s="2" t="s">
        <v>2609</v>
      </c>
      <c r="AW293" s="2" t="s">
        <v>2610</v>
      </c>
      <c r="AZ293" s="2" t="s">
        <v>116</v>
      </c>
    </row>
    <row r="294" spans="1:52" s="3" customFormat="1" x14ac:dyDescent="0.35">
      <c r="A294" s="2" t="s">
        <v>2611</v>
      </c>
      <c r="B294" s="4">
        <v>248584</v>
      </c>
      <c r="C294" s="2" t="s">
        <v>2612</v>
      </c>
      <c r="D294" s="2">
        <f t="shared" si="4"/>
        <v>5</v>
      </c>
      <c r="F294" s="2" t="s">
        <v>2563</v>
      </c>
      <c r="G294" s="2" t="s">
        <v>53</v>
      </c>
      <c r="H294" s="4">
        <v>1</v>
      </c>
      <c r="I294" s="4">
        <v>1</v>
      </c>
      <c r="J294" s="4">
        <v>0</v>
      </c>
      <c r="L294" s="4">
        <v>0</v>
      </c>
      <c r="M294" s="2" t="s">
        <v>55</v>
      </c>
      <c r="N294" s="2" t="s">
        <v>56</v>
      </c>
      <c r="O294" s="2" t="s">
        <v>57</v>
      </c>
      <c r="P294" s="2" t="s">
        <v>106</v>
      </c>
      <c r="Q294" s="2" t="s">
        <v>107</v>
      </c>
      <c r="R294" s="2" t="s">
        <v>2613</v>
      </c>
      <c r="S294" s="2" t="s">
        <v>2614</v>
      </c>
      <c r="V294" s="2" t="s">
        <v>2615</v>
      </c>
      <c r="W294" s="2" t="s">
        <v>2616</v>
      </c>
      <c r="Y294" s="2" t="s">
        <v>64</v>
      </c>
      <c r="Z294" s="2" t="s">
        <v>65</v>
      </c>
      <c r="AA294" s="2" t="s">
        <v>66</v>
      </c>
      <c r="AC294" s="2" t="s">
        <v>67</v>
      </c>
      <c r="AD294" s="2" t="s">
        <v>68</v>
      </c>
      <c r="AE294" s="2" t="s">
        <v>69</v>
      </c>
      <c r="AF294" s="2" t="s">
        <v>70</v>
      </c>
      <c r="AG294" s="2" t="s">
        <v>106</v>
      </c>
      <c r="AK294" s="2" t="s">
        <v>2617</v>
      </c>
      <c r="AM294" s="2" t="s">
        <v>72</v>
      </c>
      <c r="AN294" s="2" t="s">
        <v>1046</v>
      </c>
      <c r="AP294" s="2" t="s">
        <v>113</v>
      </c>
      <c r="AT294" s="2" t="s">
        <v>114</v>
      </c>
      <c r="AU294" s="2" t="s">
        <v>75</v>
      </c>
      <c r="AW294" s="2" t="s">
        <v>2618</v>
      </c>
      <c r="AZ294" s="2" t="s">
        <v>116</v>
      </c>
    </row>
    <row r="295" spans="1:52" s="3" customFormat="1" x14ac:dyDescent="0.35">
      <c r="A295" s="2" t="s">
        <v>2619</v>
      </c>
      <c r="B295" s="4">
        <v>248583</v>
      </c>
      <c r="C295" s="2" t="s">
        <v>2620</v>
      </c>
      <c r="D295" s="2">
        <f t="shared" si="4"/>
        <v>5</v>
      </c>
      <c r="F295" s="2" t="s">
        <v>2563</v>
      </c>
      <c r="G295" s="2" t="s">
        <v>53</v>
      </c>
      <c r="H295" s="4">
        <v>1</v>
      </c>
      <c r="I295" s="4">
        <v>1</v>
      </c>
      <c r="J295" s="4">
        <v>0</v>
      </c>
      <c r="L295" s="4">
        <v>0</v>
      </c>
      <c r="M295" s="2" t="s">
        <v>55</v>
      </c>
      <c r="N295" s="2" t="s">
        <v>56</v>
      </c>
      <c r="O295" s="2" t="s">
        <v>57</v>
      </c>
      <c r="P295" s="2" t="s">
        <v>106</v>
      </c>
      <c r="Q295" s="2" t="s">
        <v>107</v>
      </c>
      <c r="R295" s="2" t="s">
        <v>2621</v>
      </c>
      <c r="S295" s="2" t="s">
        <v>2622</v>
      </c>
      <c r="V295" s="2" t="s">
        <v>2623</v>
      </c>
      <c r="W295" s="2" t="s">
        <v>2624</v>
      </c>
      <c r="Y295" s="2" t="s">
        <v>64</v>
      </c>
      <c r="Z295" s="2" t="s">
        <v>65</v>
      </c>
      <c r="AA295" s="2" t="s">
        <v>66</v>
      </c>
      <c r="AC295" s="2" t="s">
        <v>67</v>
      </c>
      <c r="AD295" s="2" t="s">
        <v>68</v>
      </c>
      <c r="AE295" s="2" t="s">
        <v>69</v>
      </c>
      <c r="AF295" s="2" t="s">
        <v>70</v>
      </c>
      <c r="AG295" s="2" t="s">
        <v>106</v>
      </c>
      <c r="AK295" s="2" t="s">
        <v>2625</v>
      </c>
      <c r="AM295" s="2" t="s">
        <v>72</v>
      </c>
      <c r="AN295" s="2" t="s">
        <v>1046</v>
      </c>
      <c r="AP295" s="2" t="s">
        <v>113</v>
      </c>
      <c r="AT295" s="2" t="s">
        <v>114</v>
      </c>
      <c r="AU295" s="2" t="s">
        <v>75</v>
      </c>
      <c r="AW295" s="2" t="s">
        <v>2626</v>
      </c>
      <c r="AZ295" s="2" t="s">
        <v>116</v>
      </c>
    </row>
    <row r="296" spans="1:52" s="3" customFormat="1" x14ac:dyDescent="0.35">
      <c r="A296" s="2" t="s">
        <v>2632</v>
      </c>
      <c r="B296" s="4">
        <v>248538</v>
      </c>
      <c r="C296" s="2" t="s">
        <v>2633</v>
      </c>
      <c r="D296" s="2">
        <f t="shared" si="4"/>
        <v>4</v>
      </c>
      <c r="F296" s="2" t="s">
        <v>2563</v>
      </c>
      <c r="G296" s="2" t="s">
        <v>53</v>
      </c>
      <c r="H296" s="4">
        <v>4</v>
      </c>
      <c r="I296" s="4">
        <v>1</v>
      </c>
      <c r="J296" s="5">
        <v>10000</v>
      </c>
      <c r="K296" s="2" t="s">
        <v>1252</v>
      </c>
      <c r="L296" s="5">
        <v>9385</v>
      </c>
      <c r="M296" s="2" t="s">
        <v>55</v>
      </c>
      <c r="N296" s="2" t="s">
        <v>1253</v>
      </c>
      <c r="O296" s="2" t="s">
        <v>1254</v>
      </c>
      <c r="P296" s="2" t="s">
        <v>2634</v>
      </c>
      <c r="Q296" s="2" t="s">
        <v>2635</v>
      </c>
      <c r="R296" s="2" t="s">
        <v>2636</v>
      </c>
      <c r="T296" s="2" t="s">
        <v>2637</v>
      </c>
      <c r="U296" s="2" t="s">
        <v>2638</v>
      </c>
      <c r="V296" s="2" t="s">
        <v>2639</v>
      </c>
      <c r="W296" s="2" t="s">
        <v>2640</v>
      </c>
      <c r="X296" s="2" t="s">
        <v>2640</v>
      </c>
      <c r="Y296" s="2" t="s">
        <v>2147</v>
      </c>
      <c r="Z296" s="2" t="s">
        <v>2148</v>
      </c>
      <c r="AA296" s="2" t="s">
        <v>2149</v>
      </c>
      <c r="AB296" s="2" t="s">
        <v>2641</v>
      </c>
      <c r="AC296" s="2" t="s">
        <v>2151</v>
      </c>
      <c r="AD296" s="2" t="s">
        <v>68</v>
      </c>
      <c r="AE296" s="2" t="s">
        <v>69</v>
      </c>
      <c r="AF296" s="2" t="s">
        <v>70</v>
      </c>
      <c r="AG296" s="2" t="s">
        <v>2642</v>
      </c>
      <c r="AK296" s="2" t="s">
        <v>2643</v>
      </c>
      <c r="AM296" s="2" t="s">
        <v>72</v>
      </c>
      <c r="AN296" s="2" t="s">
        <v>403</v>
      </c>
      <c r="AP296" s="2" t="s">
        <v>2644</v>
      </c>
      <c r="AU296" s="2" t="s">
        <v>75</v>
      </c>
      <c r="AV296" s="2" t="s">
        <v>2645</v>
      </c>
      <c r="AW296" s="2" t="s">
        <v>2646</v>
      </c>
      <c r="AX296" s="2" t="s">
        <v>477</v>
      </c>
      <c r="AZ296" s="2" t="s">
        <v>478</v>
      </c>
    </row>
    <row r="297" spans="1:52" s="3" customFormat="1" x14ac:dyDescent="0.35">
      <c r="A297" s="2" t="s">
        <v>2647</v>
      </c>
      <c r="B297" s="4">
        <v>248534</v>
      </c>
      <c r="C297" s="2" t="s">
        <v>2648</v>
      </c>
      <c r="D297" s="2">
        <f t="shared" si="4"/>
        <v>4</v>
      </c>
      <c r="F297" s="2" t="s">
        <v>2563</v>
      </c>
      <c r="G297" s="2" t="s">
        <v>53</v>
      </c>
      <c r="H297" s="4">
        <v>1</v>
      </c>
      <c r="I297" s="4">
        <v>1</v>
      </c>
      <c r="J297" s="5">
        <v>16000</v>
      </c>
      <c r="K297" s="2" t="s">
        <v>1252</v>
      </c>
      <c r="L297" s="5">
        <v>15016</v>
      </c>
      <c r="M297" s="2" t="s">
        <v>55</v>
      </c>
      <c r="N297" s="2" t="s">
        <v>1253</v>
      </c>
      <c r="O297" s="2" t="s">
        <v>1254</v>
      </c>
      <c r="P297" s="2" t="s">
        <v>460</v>
      </c>
      <c r="Q297" s="2" t="s">
        <v>461</v>
      </c>
      <c r="R297" s="2" t="s">
        <v>2636</v>
      </c>
      <c r="T297" s="2" t="s">
        <v>2637</v>
      </c>
      <c r="U297" s="2" t="s">
        <v>2638</v>
      </c>
      <c r="V297" s="2" t="s">
        <v>2639</v>
      </c>
      <c r="W297" s="2" t="s">
        <v>2640</v>
      </c>
      <c r="X297" s="2" t="s">
        <v>2640</v>
      </c>
      <c r="Y297" s="2" t="s">
        <v>2147</v>
      </c>
      <c r="Z297" s="2" t="s">
        <v>2148</v>
      </c>
      <c r="AA297" s="2" t="s">
        <v>2149</v>
      </c>
      <c r="AB297" s="2" t="s">
        <v>2641</v>
      </c>
      <c r="AC297" s="2" t="s">
        <v>2151</v>
      </c>
      <c r="AD297" s="2" t="s">
        <v>68</v>
      </c>
      <c r="AE297" s="2" t="s">
        <v>69</v>
      </c>
      <c r="AF297" s="2" t="s">
        <v>70</v>
      </c>
      <c r="AG297" s="2" t="s">
        <v>2649</v>
      </c>
      <c r="AK297" s="2" t="s">
        <v>2650</v>
      </c>
      <c r="AM297" s="2" t="s">
        <v>72</v>
      </c>
      <c r="AN297" s="2" t="s">
        <v>403</v>
      </c>
      <c r="AP297" s="2" t="s">
        <v>474</v>
      </c>
      <c r="AU297" s="2" t="s">
        <v>75</v>
      </c>
      <c r="AV297" s="2" t="s">
        <v>2645</v>
      </c>
      <c r="AW297" s="2" t="s">
        <v>2646</v>
      </c>
      <c r="AX297" s="2" t="s">
        <v>477</v>
      </c>
      <c r="AZ297" s="2" t="s">
        <v>478</v>
      </c>
    </row>
    <row r="298" spans="1:52" s="3" customFormat="1" x14ac:dyDescent="0.35">
      <c r="A298" s="2" t="s">
        <v>2651</v>
      </c>
      <c r="B298" s="4">
        <v>248532</v>
      </c>
      <c r="C298" s="2" t="s">
        <v>2652</v>
      </c>
      <c r="D298" s="2">
        <f t="shared" si="4"/>
        <v>4</v>
      </c>
      <c r="F298" s="2" t="s">
        <v>2645</v>
      </c>
      <c r="G298" s="2" t="s">
        <v>53</v>
      </c>
      <c r="H298" s="4">
        <v>1</v>
      </c>
      <c r="I298" s="4">
        <v>1</v>
      </c>
      <c r="J298" s="5">
        <v>36000</v>
      </c>
      <c r="K298" s="2" t="s">
        <v>1252</v>
      </c>
      <c r="L298" s="5">
        <v>33786</v>
      </c>
      <c r="M298" s="2" t="s">
        <v>55</v>
      </c>
      <c r="N298" s="2" t="s">
        <v>1253</v>
      </c>
      <c r="O298" s="2" t="s">
        <v>1254</v>
      </c>
      <c r="P298" s="2" t="s">
        <v>2128</v>
      </c>
      <c r="Q298" s="2" t="s">
        <v>2129</v>
      </c>
      <c r="R298" s="2" t="s">
        <v>2653</v>
      </c>
      <c r="T298" s="2" t="s">
        <v>2654</v>
      </c>
      <c r="U298" s="2" t="s">
        <v>2655</v>
      </c>
      <c r="V298" s="2" t="s">
        <v>2656</v>
      </c>
      <c r="W298" s="2" t="s">
        <v>2657</v>
      </c>
      <c r="X298" s="2" t="s">
        <v>2658</v>
      </c>
      <c r="Y298" s="2" t="s">
        <v>2659</v>
      </c>
      <c r="Z298" s="2" t="s">
        <v>2660</v>
      </c>
      <c r="AA298" s="2" t="s">
        <v>2661</v>
      </c>
      <c r="AB298" s="2" t="s">
        <v>2662</v>
      </c>
      <c r="AC298" s="2" t="s">
        <v>2555</v>
      </c>
      <c r="AD298" s="2" t="s">
        <v>2556</v>
      </c>
      <c r="AE298" s="2" t="s">
        <v>69</v>
      </c>
      <c r="AF298" s="2" t="s">
        <v>70</v>
      </c>
      <c r="AG298" s="2" t="s">
        <v>2128</v>
      </c>
      <c r="AK298" s="2" t="s">
        <v>2663</v>
      </c>
      <c r="AM298" s="2" t="s">
        <v>72</v>
      </c>
      <c r="AN298" s="2" t="s">
        <v>249</v>
      </c>
      <c r="AP298" s="2" t="s">
        <v>2135</v>
      </c>
      <c r="AT298" s="2" t="s">
        <v>114</v>
      </c>
      <c r="AU298" s="2" t="s">
        <v>75</v>
      </c>
      <c r="AV298" s="2" t="s">
        <v>2664</v>
      </c>
      <c r="AW298" s="2" t="s">
        <v>2665</v>
      </c>
      <c r="AX298" s="2" t="s">
        <v>477</v>
      </c>
      <c r="AZ298" s="2" t="s">
        <v>478</v>
      </c>
    </row>
    <row r="299" spans="1:52" s="3" customFormat="1" x14ac:dyDescent="0.35">
      <c r="A299" s="2" t="s">
        <v>2666</v>
      </c>
      <c r="B299" s="4">
        <v>248530</v>
      </c>
      <c r="C299" s="2" t="s">
        <v>2667</v>
      </c>
      <c r="D299" s="2">
        <f t="shared" si="4"/>
        <v>4</v>
      </c>
      <c r="F299" s="2" t="s">
        <v>2563</v>
      </c>
      <c r="G299" s="2" t="s">
        <v>53</v>
      </c>
      <c r="H299" s="4">
        <v>9</v>
      </c>
      <c r="I299" s="4">
        <v>1</v>
      </c>
      <c r="J299" s="5">
        <v>21600</v>
      </c>
      <c r="K299" s="2" t="s">
        <v>1252</v>
      </c>
      <c r="L299" s="5">
        <v>21600</v>
      </c>
      <c r="M299" s="2" t="s">
        <v>55</v>
      </c>
      <c r="N299" s="2" t="s">
        <v>1253</v>
      </c>
      <c r="O299" s="2" t="s">
        <v>1254</v>
      </c>
      <c r="P299" s="2" t="s">
        <v>58</v>
      </c>
      <c r="Q299" s="2" t="s">
        <v>59</v>
      </c>
      <c r="R299" s="2" t="s">
        <v>2668</v>
      </c>
      <c r="T299" s="2" t="s">
        <v>2669</v>
      </c>
      <c r="U299" s="2" t="s">
        <v>2670</v>
      </c>
      <c r="V299" s="2" t="s">
        <v>2671</v>
      </c>
      <c r="W299" s="2" t="s">
        <v>2672</v>
      </c>
      <c r="X299" s="2" t="s">
        <v>2673</v>
      </c>
      <c r="Y299" s="2" t="s">
        <v>2674</v>
      </c>
      <c r="Z299" s="2" t="s">
        <v>2675</v>
      </c>
      <c r="AA299" s="2" t="s">
        <v>2676</v>
      </c>
      <c r="AB299" s="2" t="s">
        <v>2677</v>
      </c>
      <c r="AC299" s="2" t="s">
        <v>2678</v>
      </c>
      <c r="AD299" s="2" t="s">
        <v>2679</v>
      </c>
      <c r="AE299" s="2" t="s">
        <v>1362</v>
      </c>
      <c r="AF299" s="2" t="s">
        <v>70</v>
      </c>
      <c r="AG299" s="2" t="s">
        <v>58</v>
      </c>
      <c r="AK299" s="2" t="s">
        <v>2680</v>
      </c>
      <c r="AM299" s="2" t="s">
        <v>72</v>
      </c>
      <c r="AN299" s="2" t="s">
        <v>73</v>
      </c>
      <c r="AP299" s="2" t="s">
        <v>74</v>
      </c>
      <c r="AU299" s="2" t="s">
        <v>75</v>
      </c>
      <c r="AV299" s="2" t="s">
        <v>2681</v>
      </c>
      <c r="AW299" s="2" t="s">
        <v>2682</v>
      </c>
      <c r="AX299" s="2" t="s">
        <v>477</v>
      </c>
      <c r="AZ299" s="2" t="s">
        <v>478</v>
      </c>
    </row>
    <row r="300" spans="1:52" s="3" customFormat="1" x14ac:dyDescent="0.35">
      <c r="A300" s="2" t="s">
        <v>2683</v>
      </c>
      <c r="B300" s="4">
        <v>248528</v>
      </c>
      <c r="C300" s="2" t="s">
        <v>2684</v>
      </c>
      <c r="D300" s="2">
        <f t="shared" si="4"/>
        <v>4</v>
      </c>
      <c r="F300" s="2" t="s">
        <v>2645</v>
      </c>
      <c r="G300" s="2" t="s">
        <v>53</v>
      </c>
      <c r="H300" s="4">
        <v>1</v>
      </c>
      <c r="I300" s="4">
        <v>0</v>
      </c>
      <c r="J300" s="5">
        <v>216000</v>
      </c>
      <c r="L300" s="5">
        <v>591255</v>
      </c>
      <c r="P300" s="2" t="s">
        <v>2685</v>
      </c>
      <c r="Q300" s="2" t="s">
        <v>2686</v>
      </c>
      <c r="R300" s="2" t="s">
        <v>2687</v>
      </c>
      <c r="T300" s="2" t="s">
        <v>2688</v>
      </c>
      <c r="U300" s="2" t="s">
        <v>2689</v>
      </c>
      <c r="V300" s="2" t="s">
        <v>2690</v>
      </c>
      <c r="W300" s="2" t="s">
        <v>2691</v>
      </c>
      <c r="X300" s="2" t="s">
        <v>2692</v>
      </c>
      <c r="Y300" s="2" t="s">
        <v>2693</v>
      </c>
      <c r="Z300" s="2" t="s">
        <v>2694</v>
      </c>
      <c r="AA300" s="2" t="s">
        <v>2695</v>
      </c>
      <c r="AB300" s="2" t="s">
        <v>2696</v>
      </c>
      <c r="AC300" s="2" t="s">
        <v>2697</v>
      </c>
      <c r="AD300" s="2" t="s">
        <v>2556</v>
      </c>
      <c r="AE300" s="2" t="s">
        <v>69</v>
      </c>
      <c r="AF300" s="2" t="s">
        <v>70</v>
      </c>
      <c r="AG300" s="2" t="s">
        <v>55</v>
      </c>
      <c r="AK300" s="2" t="s">
        <v>2698</v>
      </c>
      <c r="AM300" s="2" t="s">
        <v>72</v>
      </c>
      <c r="AN300" s="2" t="s">
        <v>73</v>
      </c>
      <c r="AP300" s="2" t="s">
        <v>2699</v>
      </c>
      <c r="AU300" s="2" t="s">
        <v>75</v>
      </c>
      <c r="AV300" s="2" t="s">
        <v>2700</v>
      </c>
      <c r="AW300" s="2" t="s">
        <v>2701</v>
      </c>
      <c r="AZ300" s="2" t="s">
        <v>116</v>
      </c>
    </row>
    <row r="301" spans="1:52" s="3" customFormat="1" x14ac:dyDescent="0.35">
      <c r="A301" s="2" t="s">
        <v>2683</v>
      </c>
      <c r="B301" s="4">
        <v>248528</v>
      </c>
      <c r="C301" s="2" t="s">
        <v>2684</v>
      </c>
      <c r="D301" s="2">
        <f t="shared" si="4"/>
        <v>4</v>
      </c>
      <c r="F301" s="2" t="s">
        <v>2645</v>
      </c>
      <c r="G301" s="2" t="s">
        <v>53</v>
      </c>
      <c r="H301" s="4">
        <v>1</v>
      </c>
      <c r="I301" s="4">
        <v>0</v>
      </c>
      <c r="J301" s="5">
        <v>157500</v>
      </c>
      <c r="L301" s="5">
        <v>591255</v>
      </c>
      <c r="P301" s="2" t="s">
        <v>2685</v>
      </c>
      <c r="Q301" s="2" t="s">
        <v>2702</v>
      </c>
      <c r="R301" s="2" t="s">
        <v>2687</v>
      </c>
      <c r="T301" s="2" t="s">
        <v>2688</v>
      </c>
      <c r="U301" s="2" t="s">
        <v>2689</v>
      </c>
      <c r="V301" s="2" t="s">
        <v>2690</v>
      </c>
      <c r="W301" s="2" t="s">
        <v>2691</v>
      </c>
      <c r="X301" s="2" t="s">
        <v>2692</v>
      </c>
      <c r="Y301" s="2" t="s">
        <v>2693</v>
      </c>
      <c r="Z301" s="2" t="s">
        <v>2694</v>
      </c>
      <c r="AA301" s="2" t="s">
        <v>2695</v>
      </c>
      <c r="AB301" s="2" t="s">
        <v>2696</v>
      </c>
      <c r="AC301" s="2" t="s">
        <v>2697</v>
      </c>
      <c r="AD301" s="2" t="s">
        <v>2556</v>
      </c>
      <c r="AE301" s="2" t="s">
        <v>69</v>
      </c>
      <c r="AF301" s="2" t="s">
        <v>70</v>
      </c>
      <c r="AG301" s="2" t="s">
        <v>55</v>
      </c>
      <c r="AK301" s="2" t="s">
        <v>2698</v>
      </c>
      <c r="AM301" s="2" t="s">
        <v>72</v>
      </c>
      <c r="AN301" s="2" t="s">
        <v>73</v>
      </c>
      <c r="AP301" s="2" t="s">
        <v>2699</v>
      </c>
      <c r="AU301" s="2" t="s">
        <v>75</v>
      </c>
      <c r="AV301" s="2" t="s">
        <v>2700</v>
      </c>
      <c r="AW301" s="2" t="s">
        <v>2701</v>
      </c>
      <c r="AZ301" s="2" t="s">
        <v>116</v>
      </c>
    </row>
    <row r="302" spans="1:52" s="3" customFormat="1" x14ac:dyDescent="0.35">
      <c r="A302" s="2" t="s">
        <v>2683</v>
      </c>
      <c r="B302" s="4">
        <v>248528</v>
      </c>
      <c r="C302" s="2" t="s">
        <v>2684</v>
      </c>
      <c r="D302" s="2">
        <f t="shared" si="4"/>
        <v>4</v>
      </c>
      <c r="F302" s="2" t="s">
        <v>2645</v>
      </c>
      <c r="G302" s="2" t="s">
        <v>53</v>
      </c>
      <c r="H302" s="4">
        <v>1</v>
      </c>
      <c r="I302" s="4">
        <v>0</v>
      </c>
      <c r="J302" s="5">
        <v>256500</v>
      </c>
      <c r="L302" s="5">
        <v>591255</v>
      </c>
      <c r="P302" s="2" t="s">
        <v>2685</v>
      </c>
      <c r="Q302" s="2" t="s">
        <v>2703</v>
      </c>
      <c r="R302" s="2" t="s">
        <v>2687</v>
      </c>
      <c r="T302" s="2" t="s">
        <v>2688</v>
      </c>
      <c r="U302" s="2" t="s">
        <v>2689</v>
      </c>
      <c r="V302" s="2" t="s">
        <v>2690</v>
      </c>
      <c r="W302" s="2" t="s">
        <v>2691</v>
      </c>
      <c r="X302" s="2" t="s">
        <v>2692</v>
      </c>
      <c r="Y302" s="2" t="s">
        <v>2693</v>
      </c>
      <c r="Z302" s="2" t="s">
        <v>2694</v>
      </c>
      <c r="AA302" s="2" t="s">
        <v>2695</v>
      </c>
      <c r="AB302" s="2" t="s">
        <v>2696</v>
      </c>
      <c r="AC302" s="2" t="s">
        <v>2697</v>
      </c>
      <c r="AD302" s="2" t="s">
        <v>2556</v>
      </c>
      <c r="AE302" s="2" t="s">
        <v>69</v>
      </c>
      <c r="AF302" s="2" t="s">
        <v>70</v>
      </c>
      <c r="AG302" s="2" t="s">
        <v>55</v>
      </c>
      <c r="AK302" s="2" t="s">
        <v>2698</v>
      </c>
      <c r="AM302" s="2" t="s">
        <v>72</v>
      </c>
      <c r="AN302" s="2" t="s">
        <v>73</v>
      </c>
      <c r="AP302" s="2" t="s">
        <v>2699</v>
      </c>
      <c r="AU302" s="2" t="s">
        <v>75</v>
      </c>
      <c r="AV302" s="2" t="s">
        <v>2700</v>
      </c>
      <c r="AW302" s="2" t="s">
        <v>2701</v>
      </c>
      <c r="AZ302" s="2" t="s">
        <v>116</v>
      </c>
    </row>
    <row r="303" spans="1:52" s="3" customFormat="1" x14ac:dyDescent="0.35">
      <c r="A303" s="2" t="s">
        <v>2683</v>
      </c>
      <c r="B303" s="4">
        <v>248528</v>
      </c>
      <c r="C303" s="2" t="s">
        <v>2684</v>
      </c>
      <c r="D303" s="2">
        <f t="shared" si="4"/>
        <v>4</v>
      </c>
      <c r="F303" s="2" t="s">
        <v>2645</v>
      </c>
      <c r="G303" s="2" t="s">
        <v>53</v>
      </c>
      <c r="H303" s="4">
        <v>1</v>
      </c>
      <c r="I303" s="4">
        <v>0</v>
      </c>
      <c r="J303" s="4">
        <v>0</v>
      </c>
      <c r="L303" s="5">
        <v>591255</v>
      </c>
      <c r="P303" s="2" t="s">
        <v>2685</v>
      </c>
      <c r="Q303" s="2" t="s">
        <v>2704</v>
      </c>
      <c r="R303" s="2" t="s">
        <v>2687</v>
      </c>
      <c r="T303" s="2" t="s">
        <v>2688</v>
      </c>
      <c r="U303" s="2" t="s">
        <v>2689</v>
      </c>
      <c r="V303" s="2" t="s">
        <v>2690</v>
      </c>
      <c r="W303" s="2" t="s">
        <v>2691</v>
      </c>
      <c r="X303" s="2" t="s">
        <v>2692</v>
      </c>
      <c r="Y303" s="2" t="s">
        <v>2693</v>
      </c>
      <c r="Z303" s="2" t="s">
        <v>2694</v>
      </c>
      <c r="AA303" s="2" t="s">
        <v>2695</v>
      </c>
      <c r="AB303" s="2" t="s">
        <v>2696</v>
      </c>
      <c r="AC303" s="2" t="s">
        <v>2697</v>
      </c>
      <c r="AD303" s="2" t="s">
        <v>2556</v>
      </c>
      <c r="AE303" s="2" t="s">
        <v>69</v>
      </c>
      <c r="AF303" s="2" t="s">
        <v>70</v>
      </c>
      <c r="AG303" s="2" t="s">
        <v>55</v>
      </c>
      <c r="AK303" s="2" t="s">
        <v>2698</v>
      </c>
      <c r="AM303" s="2" t="s">
        <v>72</v>
      </c>
      <c r="AN303" s="2" t="s">
        <v>73</v>
      </c>
      <c r="AP303" s="2" t="s">
        <v>2705</v>
      </c>
      <c r="AU303" s="2" t="s">
        <v>75</v>
      </c>
      <c r="AV303" s="2" t="s">
        <v>2700</v>
      </c>
      <c r="AW303" s="2" t="s">
        <v>2701</v>
      </c>
      <c r="AZ303" s="2" t="s">
        <v>116</v>
      </c>
    </row>
    <row r="304" spans="1:52" s="3" customFormat="1" x14ac:dyDescent="0.35">
      <c r="A304" s="2" t="s">
        <v>2706</v>
      </c>
      <c r="B304" s="4">
        <v>248524</v>
      </c>
      <c r="C304" s="2" t="s">
        <v>2707</v>
      </c>
      <c r="D304" s="2">
        <f t="shared" si="4"/>
        <v>4</v>
      </c>
      <c r="F304" s="2" t="s">
        <v>2645</v>
      </c>
      <c r="G304" s="2" t="s">
        <v>53</v>
      </c>
      <c r="H304" s="4">
        <v>1</v>
      </c>
      <c r="I304" s="4">
        <v>0</v>
      </c>
      <c r="J304" s="5">
        <v>676000</v>
      </c>
      <c r="L304" s="5">
        <v>938500</v>
      </c>
      <c r="P304" s="2" t="s">
        <v>2708</v>
      </c>
      <c r="Q304" s="2" t="s">
        <v>2709</v>
      </c>
      <c r="R304" s="2" t="s">
        <v>2710</v>
      </c>
      <c r="T304" s="2" t="s">
        <v>2711</v>
      </c>
      <c r="U304" s="2" t="s">
        <v>2712</v>
      </c>
      <c r="V304" s="2" t="s">
        <v>2690</v>
      </c>
      <c r="W304" s="2" t="s">
        <v>2713</v>
      </c>
      <c r="X304" s="2" t="s">
        <v>2714</v>
      </c>
      <c r="Y304" s="2" t="s">
        <v>2715</v>
      </c>
      <c r="Z304" s="2" t="s">
        <v>2716</v>
      </c>
      <c r="AA304" s="2" t="s">
        <v>2717</v>
      </c>
      <c r="AB304" s="2" t="s">
        <v>2718</v>
      </c>
      <c r="AC304" s="2" t="s">
        <v>2719</v>
      </c>
      <c r="AD304" s="2" t="s">
        <v>68</v>
      </c>
      <c r="AE304" s="2" t="s">
        <v>69</v>
      </c>
      <c r="AF304" s="2" t="s">
        <v>70</v>
      </c>
      <c r="AG304" s="2" t="s">
        <v>55</v>
      </c>
      <c r="AK304" s="2" t="s">
        <v>2720</v>
      </c>
      <c r="AM304" s="2" t="s">
        <v>72</v>
      </c>
      <c r="AN304" s="2" t="s">
        <v>73</v>
      </c>
      <c r="AP304" s="2" t="s">
        <v>2705</v>
      </c>
      <c r="AU304" s="2" t="s">
        <v>75</v>
      </c>
      <c r="AV304" s="2" t="s">
        <v>2721</v>
      </c>
      <c r="AW304" s="2" t="s">
        <v>2722</v>
      </c>
      <c r="AZ304" s="2" t="s">
        <v>116</v>
      </c>
    </row>
    <row r="305" spans="1:52" s="3" customFormat="1" x14ac:dyDescent="0.35">
      <c r="A305" s="2" t="s">
        <v>2706</v>
      </c>
      <c r="B305" s="4">
        <v>248524</v>
      </c>
      <c r="C305" s="2" t="s">
        <v>2707</v>
      </c>
      <c r="D305" s="2">
        <f t="shared" si="4"/>
        <v>4</v>
      </c>
      <c r="F305" s="2" t="s">
        <v>2645</v>
      </c>
      <c r="G305" s="2" t="s">
        <v>53</v>
      </c>
      <c r="H305" s="4">
        <v>1</v>
      </c>
      <c r="I305" s="4">
        <v>0</v>
      </c>
      <c r="J305" s="5">
        <v>324000</v>
      </c>
      <c r="L305" s="5">
        <v>938500</v>
      </c>
      <c r="P305" s="2" t="s">
        <v>2708</v>
      </c>
      <c r="Q305" s="2" t="s">
        <v>2723</v>
      </c>
      <c r="R305" s="2" t="s">
        <v>2710</v>
      </c>
      <c r="T305" s="2" t="s">
        <v>2711</v>
      </c>
      <c r="U305" s="2" t="s">
        <v>2712</v>
      </c>
      <c r="V305" s="2" t="s">
        <v>2690</v>
      </c>
      <c r="W305" s="2" t="s">
        <v>2713</v>
      </c>
      <c r="X305" s="2" t="s">
        <v>2714</v>
      </c>
      <c r="Y305" s="2" t="s">
        <v>2715</v>
      </c>
      <c r="Z305" s="2" t="s">
        <v>2716</v>
      </c>
      <c r="AA305" s="2" t="s">
        <v>2717</v>
      </c>
      <c r="AB305" s="2" t="s">
        <v>2718</v>
      </c>
      <c r="AC305" s="2" t="s">
        <v>2719</v>
      </c>
      <c r="AD305" s="2" t="s">
        <v>68</v>
      </c>
      <c r="AE305" s="2" t="s">
        <v>69</v>
      </c>
      <c r="AF305" s="2" t="s">
        <v>70</v>
      </c>
      <c r="AG305" s="2" t="s">
        <v>55</v>
      </c>
      <c r="AK305" s="2" t="s">
        <v>2720</v>
      </c>
      <c r="AM305" s="2" t="s">
        <v>72</v>
      </c>
      <c r="AN305" s="2" t="s">
        <v>73</v>
      </c>
      <c r="AP305" s="2" t="s">
        <v>2705</v>
      </c>
      <c r="AU305" s="2" t="s">
        <v>75</v>
      </c>
      <c r="AV305" s="2" t="s">
        <v>2721</v>
      </c>
      <c r="AW305" s="2" t="s">
        <v>2722</v>
      </c>
      <c r="AZ305" s="2" t="s">
        <v>116</v>
      </c>
    </row>
    <row r="306" spans="1:52" s="3" customFormat="1" x14ac:dyDescent="0.35">
      <c r="A306" s="2" t="s">
        <v>2724</v>
      </c>
      <c r="B306" s="4">
        <v>248521</v>
      </c>
      <c r="C306" s="2" t="s">
        <v>2725</v>
      </c>
      <c r="D306" s="2">
        <f t="shared" si="4"/>
        <v>4</v>
      </c>
      <c r="F306" s="2" t="s">
        <v>2645</v>
      </c>
      <c r="G306" s="2" t="s">
        <v>53</v>
      </c>
      <c r="H306" s="4">
        <v>1</v>
      </c>
      <c r="I306" s="4">
        <v>1</v>
      </c>
      <c r="J306" s="5">
        <v>80000</v>
      </c>
      <c r="K306" s="2" t="s">
        <v>2726</v>
      </c>
      <c r="L306" s="4">
        <v>0</v>
      </c>
      <c r="N306" s="2" t="s">
        <v>2726</v>
      </c>
      <c r="O306" s="2" t="s">
        <v>2727</v>
      </c>
      <c r="P306" s="2" t="s">
        <v>2728</v>
      </c>
      <c r="Q306" s="2" t="s">
        <v>2729</v>
      </c>
      <c r="R306" s="2" t="s">
        <v>2730</v>
      </c>
      <c r="T306" s="2" t="s">
        <v>2731</v>
      </c>
      <c r="U306" s="2" t="s">
        <v>2732</v>
      </c>
      <c r="V306" s="2" t="s">
        <v>2690</v>
      </c>
      <c r="W306" s="2" t="s">
        <v>2733</v>
      </c>
      <c r="X306" s="2" t="s">
        <v>2734</v>
      </c>
      <c r="Y306" s="2" t="s">
        <v>2735</v>
      </c>
      <c r="Z306" s="2" t="s">
        <v>2736</v>
      </c>
      <c r="AA306" s="2" t="s">
        <v>2737</v>
      </c>
      <c r="AC306" s="2" t="s">
        <v>2738</v>
      </c>
      <c r="AD306" s="2" t="s">
        <v>68</v>
      </c>
      <c r="AE306" s="2" t="s">
        <v>69</v>
      </c>
      <c r="AF306" s="2" t="s">
        <v>70</v>
      </c>
      <c r="AG306" s="2" t="s">
        <v>55</v>
      </c>
      <c r="AK306" s="2" t="s">
        <v>2739</v>
      </c>
      <c r="AM306" s="2" t="s">
        <v>72</v>
      </c>
      <c r="AN306" s="2" t="s">
        <v>73</v>
      </c>
      <c r="AP306" s="2" t="s">
        <v>2699</v>
      </c>
      <c r="AU306" s="2" t="s">
        <v>75</v>
      </c>
      <c r="AV306" s="2" t="s">
        <v>2740</v>
      </c>
      <c r="AW306" s="2" t="s">
        <v>2741</v>
      </c>
      <c r="AZ306" s="2" t="s">
        <v>478</v>
      </c>
    </row>
    <row r="307" spans="1:52" s="3" customFormat="1" x14ac:dyDescent="0.35">
      <c r="A307" s="2" t="s">
        <v>2724</v>
      </c>
      <c r="B307" s="4">
        <v>248521</v>
      </c>
      <c r="C307" s="2" t="s">
        <v>2725</v>
      </c>
      <c r="D307" s="2">
        <f t="shared" si="4"/>
        <v>4</v>
      </c>
      <c r="F307" s="2" t="s">
        <v>2645</v>
      </c>
      <c r="G307" s="2" t="s">
        <v>53</v>
      </c>
      <c r="H307" s="4">
        <v>1</v>
      </c>
      <c r="I307" s="4">
        <v>1</v>
      </c>
      <c r="J307" s="5">
        <v>91000</v>
      </c>
      <c r="K307" s="2" t="s">
        <v>2726</v>
      </c>
      <c r="L307" s="4">
        <v>0</v>
      </c>
      <c r="N307" s="2" t="s">
        <v>2726</v>
      </c>
      <c r="O307" s="2" t="s">
        <v>2727</v>
      </c>
      <c r="P307" s="2" t="s">
        <v>2728</v>
      </c>
      <c r="Q307" s="2" t="s">
        <v>2742</v>
      </c>
      <c r="R307" s="2" t="s">
        <v>2730</v>
      </c>
      <c r="T307" s="2" t="s">
        <v>2731</v>
      </c>
      <c r="U307" s="2" t="s">
        <v>2732</v>
      </c>
      <c r="V307" s="2" t="s">
        <v>2690</v>
      </c>
      <c r="W307" s="2" t="s">
        <v>2733</v>
      </c>
      <c r="X307" s="2" t="s">
        <v>2734</v>
      </c>
      <c r="Y307" s="2" t="s">
        <v>2735</v>
      </c>
      <c r="Z307" s="2" t="s">
        <v>2736</v>
      </c>
      <c r="AA307" s="2" t="s">
        <v>2737</v>
      </c>
      <c r="AC307" s="2" t="s">
        <v>2738</v>
      </c>
      <c r="AD307" s="2" t="s">
        <v>68</v>
      </c>
      <c r="AE307" s="2" t="s">
        <v>69</v>
      </c>
      <c r="AF307" s="2" t="s">
        <v>70</v>
      </c>
      <c r="AG307" s="2" t="s">
        <v>55</v>
      </c>
      <c r="AK307" s="2" t="s">
        <v>2739</v>
      </c>
      <c r="AM307" s="2" t="s">
        <v>72</v>
      </c>
      <c r="AN307" s="2" t="s">
        <v>73</v>
      </c>
      <c r="AP307" s="2" t="s">
        <v>2699</v>
      </c>
      <c r="AU307" s="2" t="s">
        <v>75</v>
      </c>
      <c r="AV307" s="2" t="s">
        <v>2740</v>
      </c>
      <c r="AW307" s="2" t="s">
        <v>2741</v>
      </c>
      <c r="AZ307" s="2" t="s">
        <v>478</v>
      </c>
    </row>
    <row r="308" spans="1:52" s="3" customFormat="1" x14ac:dyDescent="0.35">
      <c r="A308" s="2" t="s">
        <v>2724</v>
      </c>
      <c r="B308" s="4">
        <v>248521</v>
      </c>
      <c r="C308" s="2" t="s">
        <v>2725</v>
      </c>
      <c r="D308" s="2">
        <f t="shared" si="4"/>
        <v>4</v>
      </c>
      <c r="F308" s="2" t="s">
        <v>2645</v>
      </c>
      <c r="G308" s="2" t="s">
        <v>53</v>
      </c>
      <c r="H308" s="4">
        <v>1</v>
      </c>
      <c r="I308" s="4">
        <v>1</v>
      </c>
      <c r="J308" s="4">
        <v>0</v>
      </c>
      <c r="K308" s="2" t="s">
        <v>2726</v>
      </c>
      <c r="L308" s="4">
        <v>0</v>
      </c>
      <c r="N308" s="2" t="s">
        <v>2726</v>
      </c>
      <c r="O308" s="2" t="s">
        <v>2727</v>
      </c>
      <c r="P308" s="2" t="s">
        <v>2728</v>
      </c>
      <c r="Q308" s="2" t="s">
        <v>2743</v>
      </c>
      <c r="R308" s="2" t="s">
        <v>2730</v>
      </c>
      <c r="T308" s="2" t="s">
        <v>2731</v>
      </c>
      <c r="U308" s="2" t="s">
        <v>2732</v>
      </c>
      <c r="V308" s="2" t="s">
        <v>2690</v>
      </c>
      <c r="W308" s="2" t="s">
        <v>2733</v>
      </c>
      <c r="X308" s="2" t="s">
        <v>2734</v>
      </c>
      <c r="Y308" s="2" t="s">
        <v>2735</v>
      </c>
      <c r="Z308" s="2" t="s">
        <v>2736</v>
      </c>
      <c r="AA308" s="2" t="s">
        <v>2737</v>
      </c>
      <c r="AC308" s="2" t="s">
        <v>2738</v>
      </c>
      <c r="AD308" s="2" t="s">
        <v>68</v>
      </c>
      <c r="AE308" s="2" t="s">
        <v>69</v>
      </c>
      <c r="AF308" s="2" t="s">
        <v>70</v>
      </c>
      <c r="AG308" s="2" t="s">
        <v>55</v>
      </c>
      <c r="AK308" s="2" t="s">
        <v>2739</v>
      </c>
      <c r="AM308" s="2" t="s">
        <v>72</v>
      </c>
      <c r="AN308" s="2" t="s">
        <v>73</v>
      </c>
      <c r="AP308" s="2" t="s">
        <v>2705</v>
      </c>
      <c r="AU308" s="2" t="s">
        <v>75</v>
      </c>
      <c r="AV308" s="2" t="s">
        <v>2740</v>
      </c>
      <c r="AW308" s="2" t="s">
        <v>2741</v>
      </c>
      <c r="AZ308" s="2" t="s">
        <v>478</v>
      </c>
    </row>
    <row r="309" spans="1:52" s="3" customFormat="1" x14ac:dyDescent="0.35">
      <c r="A309" s="2" t="s">
        <v>2744</v>
      </c>
      <c r="B309" s="4">
        <v>248517</v>
      </c>
      <c r="C309" s="2" t="s">
        <v>2745</v>
      </c>
      <c r="D309" s="2">
        <f t="shared" si="4"/>
        <v>4</v>
      </c>
      <c r="F309" s="2" t="s">
        <v>2645</v>
      </c>
      <c r="G309" s="2" t="s">
        <v>53</v>
      </c>
      <c r="H309" s="4">
        <v>1</v>
      </c>
      <c r="I309" s="4">
        <v>1</v>
      </c>
      <c r="J309" s="5">
        <v>150000</v>
      </c>
      <c r="K309" s="2" t="s">
        <v>2726</v>
      </c>
      <c r="L309" s="4">
        <v>0</v>
      </c>
      <c r="N309" s="2" t="s">
        <v>2726</v>
      </c>
      <c r="O309" s="2" t="s">
        <v>2727</v>
      </c>
      <c r="P309" s="2" t="s">
        <v>2746</v>
      </c>
      <c r="Q309" s="2" t="s">
        <v>2747</v>
      </c>
      <c r="R309" s="2" t="s">
        <v>2748</v>
      </c>
      <c r="T309" s="2" t="s">
        <v>2749</v>
      </c>
      <c r="U309" s="2" t="s">
        <v>2750</v>
      </c>
      <c r="V309" s="2" t="s">
        <v>2751</v>
      </c>
      <c r="W309" s="2" t="s">
        <v>2752</v>
      </c>
      <c r="X309" s="2" t="s">
        <v>2752</v>
      </c>
      <c r="Y309" s="2" t="s">
        <v>2753</v>
      </c>
      <c r="Z309" s="2" t="s">
        <v>2754</v>
      </c>
      <c r="AA309" s="2" t="s">
        <v>2755</v>
      </c>
      <c r="AC309" s="2" t="s">
        <v>1044</v>
      </c>
      <c r="AD309" s="2" t="s">
        <v>2756</v>
      </c>
      <c r="AE309" s="2" t="s">
        <v>2757</v>
      </c>
      <c r="AF309" s="2" t="s">
        <v>70</v>
      </c>
      <c r="AG309" s="2" t="s">
        <v>55</v>
      </c>
      <c r="AK309" s="2" t="s">
        <v>2758</v>
      </c>
      <c r="AM309" s="2" t="s">
        <v>72</v>
      </c>
      <c r="AN309" s="2" t="s">
        <v>232</v>
      </c>
      <c r="AP309" s="2" t="s">
        <v>2699</v>
      </c>
      <c r="AU309" s="2" t="s">
        <v>75</v>
      </c>
      <c r="AV309" s="2" t="s">
        <v>2759</v>
      </c>
      <c r="AW309" s="2" t="s">
        <v>2760</v>
      </c>
      <c r="AZ309" s="2" t="s">
        <v>1256</v>
      </c>
    </row>
    <row r="310" spans="1:52" s="3" customFormat="1" x14ac:dyDescent="0.35">
      <c r="A310" s="2" t="s">
        <v>2744</v>
      </c>
      <c r="B310" s="4">
        <v>248517</v>
      </c>
      <c r="C310" s="2" t="s">
        <v>2745</v>
      </c>
      <c r="D310" s="2">
        <f t="shared" si="4"/>
        <v>4</v>
      </c>
      <c r="F310" s="2" t="s">
        <v>2645</v>
      </c>
      <c r="G310" s="2" t="s">
        <v>53</v>
      </c>
      <c r="H310" s="4">
        <v>1</v>
      </c>
      <c r="I310" s="4">
        <v>1</v>
      </c>
      <c r="J310" s="5">
        <v>144000</v>
      </c>
      <c r="K310" s="2" t="s">
        <v>2726</v>
      </c>
      <c r="L310" s="4">
        <v>0</v>
      </c>
      <c r="N310" s="2" t="s">
        <v>2726</v>
      </c>
      <c r="O310" s="2" t="s">
        <v>2727</v>
      </c>
      <c r="P310" s="2" t="s">
        <v>2746</v>
      </c>
      <c r="Q310" s="2" t="s">
        <v>2761</v>
      </c>
      <c r="R310" s="2" t="s">
        <v>2748</v>
      </c>
      <c r="T310" s="2" t="s">
        <v>2749</v>
      </c>
      <c r="U310" s="2" t="s">
        <v>2750</v>
      </c>
      <c r="V310" s="2" t="s">
        <v>2751</v>
      </c>
      <c r="W310" s="2" t="s">
        <v>2752</v>
      </c>
      <c r="X310" s="2" t="s">
        <v>2752</v>
      </c>
      <c r="Y310" s="2" t="s">
        <v>2753</v>
      </c>
      <c r="Z310" s="2" t="s">
        <v>2754</v>
      </c>
      <c r="AA310" s="2" t="s">
        <v>2755</v>
      </c>
      <c r="AC310" s="2" t="s">
        <v>1044</v>
      </c>
      <c r="AD310" s="2" t="s">
        <v>2756</v>
      </c>
      <c r="AE310" s="2" t="s">
        <v>2757</v>
      </c>
      <c r="AF310" s="2" t="s">
        <v>70</v>
      </c>
      <c r="AG310" s="2" t="s">
        <v>55</v>
      </c>
      <c r="AK310" s="2" t="s">
        <v>2758</v>
      </c>
      <c r="AM310" s="2" t="s">
        <v>72</v>
      </c>
      <c r="AN310" s="2" t="s">
        <v>232</v>
      </c>
      <c r="AP310" s="2" t="s">
        <v>2699</v>
      </c>
      <c r="AU310" s="2" t="s">
        <v>75</v>
      </c>
      <c r="AV310" s="2" t="s">
        <v>2759</v>
      </c>
      <c r="AW310" s="2" t="s">
        <v>2760</v>
      </c>
      <c r="AZ310" s="2" t="s">
        <v>1256</v>
      </c>
    </row>
    <row r="311" spans="1:52" s="3" customFormat="1" x14ac:dyDescent="0.35">
      <c r="A311" s="2" t="s">
        <v>2744</v>
      </c>
      <c r="B311" s="4">
        <v>248517</v>
      </c>
      <c r="C311" s="2" t="s">
        <v>2745</v>
      </c>
      <c r="D311" s="2">
        <f t="shared" si="4"/>
        <v>4</v>
      </c>
      <c r="F311" s="2" t="s">
        <v>2645</v>
      </c>
      <c r="G311" s="2" t="s">
        <v>53</v>
      </c>
      <c r="H311" s="4">
        <v>1</v>
      </c>
      <c r="I311" s="4">
        <v>1</v>
      </c>
      <c r="J311" s="5">
        <v>144000</v>
      </c>
      <c r="K311" s="2" t="s">
        <v>2726</v>
      </c>
      <c r="L311" s="4">
        <v>0</v>
      </c>
      <c r="N311" s="2" t="s">
        <v>2726</v>
      </c>
      <c r="O311" s="2" t="s">
        <v>2727</v>
      </c>
      <c r="P311" s="2" t="s">
        <v>2746</v>
      </c>
      <c r="Q311" s="2" t="s">
        <v>2762</v>
      </c>
      <c r="R311" s="2" t="s">
        <v>2748</v>
      </c>
      <c r="T311" s="2" t="s">
        <v>2749</v>
      </c>
      <c r="U311" s="2" t="s">
        <v>2750</v>
      </c>
      <c r="V311" s="2" t="s">
        <v>2751</v>
      </c>
      <c r="W311" s="2" t="s">
        <v>2752</v>
      </c>
      <c r="X311" s="2" t="s">
        <v>2752</v>
      </c>
      <c r="Y311" s="2" t="s">
        <v>2753</v>
      </c>
      <c r="Z311" s="2" t="s">
        <v>2754</v>
      </c>
      <c r="AA311" s="2" t="s">
        <v>2755</v>
      </c>
      <c r="AC311" s="2" t="s">
        <v>1044</v>
      </c>
      <c r="AD311" s="2" t="s">
        <v>2756</v>
      </c>
      <c r="AE311" s="2" t="s">
        <v>2757</v>
      </c>
      <c r="AF311" s="2" t="s">
        <v>70</v>
      </c>
      <c r="AG311" s="2" t="s">
        <v>55</v>
      </c>
      <c r="AK311" s="2" t="s">
        <v>2758</v>
      </c>
      <c r="AM311" s="2" t="s">
        <v>72</v>
      </c>
      <c r="AN311" s="2" t="s">
        <v>232</v>
      </c>
      <c r="AP311" s="2" t="s">
        <v>2699</v>
      </c>
      <c r="AU311" s="2" t="s">
        <v>75</v>
      </c>
      <c r="AV311" s="2" t="s">
        <v>2759</v>
      </c>
      <c r="AW311" s="2" t="s">
        <v>2760</v>
      </c>
      <c r="AZ311" s="2" t="s">
        <v>1256</v>
      </c>
    </row>
    <row r="312" spans="1:52" s="3" customFormat="1" x14ac:dyDescent="0.35">
      <c r="A312" s="2" t="s">
        <v>2744</v>
      </c>
      <c r="B312" s="4">
        <v>248517</v>
      </c>
      <c r="C312" s="2" t="s">
        <v>2745</v>
      </c>
      <c r="D312" s="2">
        <f t="shared" si="4"/>
        <v>4</v>
      </c>
      <c r="F312" s="2" t="s">
        <v>2645</v>
      </c>
      <c r="G312" s="2" t="s">
        <v>53</v>
      </c>
      <c r="H312" s="4">
        <v>1</v>
      </c>
      <c r="I312" s="4">
        <v>1</v>
      </c>
      <c r="J312" s="5">
        <v>144000</v>
      </c>
      <c r="K312" s="2" t="s">
        <v>2726</v>
      </c>
      <c r="L312" s="4">
        <v>0</v>
      </c>
      <c r="N312" s="2" t="s">
        <v>2726</v>
      </c>
      <c r="O312" s="2" t="s">
        <v>2727</v>
      </c>
      <c r="P312" s="2" t="s">
        <v>2746</v>
      </c>
      <c r="Q312" s="2" t="s">
        <v>2763</v>
      </c>
      <c r="R312" s="2" t="s">
        <v>2748</v>
      </c>
      <c r="T312" s="2" t="s">
        <v>2749</v>
      </c>
      <c r="U312" s="2" t="s">
        <v>2750</v>
      </c>
      <c r="V312" s="2" t="s">
        <v>2751</v>
      </c>
      <c r="W312" s="2" t="s">
        <v>2752</v>
      </c>
      <c r="X312" s="2" t="s">
        <v>2752</v>
      </c>
      <c r="Y312" s="2" t="s">
        <v>2753</v>
      </c>
      <c r="Z312" s="2" t="s">
        <v>2754</v>
      </c>
      <c r="AA312" s="2" t="s">
        <v>2755</v>
      </c>
      <c r="AC312" s="2" t="s">
        <v>1044</v>
      </c>
      <c r="AD312" s="2" t="s">
        <v>2756</v>
      </c>
      <c r="AE312" s="2" t="s">
        <v>2757</v>
      </c>
      <c r="AF312" s="2" t="s">
        <v>70</v>
      </c>
      <c r="AG312" s="2" t="s">
        <v>55</v>
      </c>
      <c r="AK312" s="2" t="s">
        <v>2758</v>
      </c>
      <c r="AM312" s="2" t="s">
        <v>72</v>
      </c>
      <c r="AN312" s="2" t="s">
        <v>232</v>
      </c>
      <c r="AP312" s="2" t="s">
        <v>2699</v>
      </c>
      <c r="AU312" s="2" t="s">
        <v>75</v>
      </c>
      <c r="AV312" s="2" t="s">
        <v>2759</v>
      </c>
      <c r="AW312" s="2" t="s">
        <v>2760</v>
      </c>
      <c r="AZ312" s="2" t="s">
        <v>1256</v>
      </c>
    </row>
    <row r="313" spans="1:52" s="3" customFormat="1" x14ac:dyDescent="0.35">
      <c r="A313" s="2" t="s">
        <v>2744</v>
      </c>
      <c r="B313" s="4">
        <v>248517</v>
      </c>
      <c r="C313" s="2" t="s">
        <v>2745</v>
      </c>
      <c r="D313" s="2">
        <f t="shared" si="4"/>
        <v>4</v>
      </c>
      <c r="F313" s="2" t="s">
        <v>2645</v>
      </c>
      <c r="G313" s="2" t="s">
        <v>53</v>
      </c>
      <c r="H313" s="4">
        <v>1</v>
      </c>
      <c r="I313" s="4">
        <v>1</v>
      </c>
      <c r="J313" s="5">
        <v>35000</v>
      </c>
      <c r="K313" s="2" t="s">
        <v>2726</v>
      </c>
      <c r="L313" s="4">
        <v>0</v>
      </c>
      <c r="N313" s="2" t="s">
        <v>2726</v>
      </c>
      <c r="O313" s="2" t="s">
        <v>2727</v>
      </c>
      <c r="P313" s="2" t="s">
        <v>2746</v>
      </c>
      <c r="Q313" s="2" t="s">
        <v>2764</v>
      </c>
      <c r="R313" s="2" t="s">
        <v>2748</v>
      </c>
      <c r="T313" s="2" t="s">
        <v>2749</v>
      </c>
      <c r="U313" s="2" t="s">
        <v>2750</v>
      </c>
      <c r="V313" s="2" t="s">
        <v>2751</v>
      </c>
      <c r="W313" s="2" t="s">
        <v>2752</v>
      </c>
      <c r="X313" s="2" t="s">
        <v>2752</v>
      </c>
      <c r="Y313" s="2" t="s">
        <v>2753</v>
      </c>
      <c r="Z313" s="2" t="s">
        <v>2754</v>
      </c>
      <c r="AA313" s="2" t="s">
        <v>2755</v>
      </c>
      <c r="AC313" s="2" t="s">
        <v>1044</v>
      </c>
      <c r="AD313" s="2" t="s">
        <v>2756</v>
      </c>
      <c r="AE313" s="2" t="s">
        <v>2757</v>
      </c>
      <c r="AF313" s="2" t="s">
        <v>70</v>
      </c>
      <c r="AG313" s="2" t="s">
        <v>55</v>
      </c>
      <c r="AK313" s="2" t="s">
        <v>2758</v>
      </c>
      <c r="AM313" s="2" t="s">
        <v>72</v>
      </c>
      <c r="AN313" s="2" t="s">
        <v>232</v>
      </c>
      <c r="AP313" s="2" t="s">
        <v>2699</v>
      </c>
      <c r="AU313" s="2" t="s">
        <v>75</v>
      </c>
      <c r="AV313" s="2" t="s">
        <v>2759</v>
      </c>
      <c r="AW313" s="2" t="s">
        <v>2760</v>
      </c>
      <c r="AZ313" s="2" t="s">
        <v>1256</v>
      </c>
    </row>
    <row r="314" spans="1:52" s="3" customFormat="1" x14ac:dyDescent="0.35">
      <c r="A314" s="2" t="s">
        <v>2744</v>
      </c>
      <c r="B314" s="4">
        <v>248517</v>
      </c>
      <c r="C314" s="2" t="s">
        <v>2745</v>
      </c>
      <c r="D314" s="2">
        <f t="shared" si="4"/>
        <v>4</v>
      </c>
      <c r="F314" s="2" t="s">
        <v>2645</v>
      </c>
      <c r="G314" s="2" t="s">
        <v>53</v>
      </c>
      <c r="H314" s="4">
        <v>1</v>
      </c>
      <c r="I314" s="4">
        <v>1</v>
      </c>
      <c r="J314" s="5">
        <v>35000</v>
      </c>
      <c r="K314" s="2" t="s">
        <v>2726</v>
      </c>
      <c r="L314" s="4">
        <v>0</v>
      </c>
      <c r="N314" s="2" t="s">
        <v>2726</v>
      </c>
      <c r="O314" s="2" t="s">
        <v>2727</v>
      </c>
      <c r="P314" s="2" t="s">
        <v>2746</v>
      </c>
      <c r="Q314" s="2" t="s">
        <v>2765</v>
      </c>
      <c r="R314" s="2" t="s">
        <v>2748</v>
      </c>
      <c r="T314" s="2" t="s">
        <v>2749</v>
      </c>
      <c r="U314" s="2" t="s">
        <v>2750</v>
      </c>
      <c r="V314" s="2" t="s">
        <v>2751</v>
      </c>
      <c r="W314" s="2" t="s">
        <v>2752</v>
      </c>
      <c r="X314" s="2" t="s">
        <v>2752</v>
      </c>
      <c r="Y314" s="2" t="s">
        <v>2753</v>
      </c>
      <c r="Z314" s="2" t="s">
        <v>2754</v>
      </c>
      <c r="AA314" s="2" t="s">
        <v>2755</v>
      </c>
      <c r="AC314" s="2" t="s">
        <v>1044</v>
      </c>
      <c r="AD314" s="2" t="s">
        <v>2756</v>
      </c>
      <c r="AE314" s="2" t="s">
        <v>2757</v>
      </c>
      <c r="AF314" s="2" t="s">
        <v>70</v>
      </c>
      <c r="AG314" s="2" t="s">
        <v>55</v>
      </c>
      <c r="AK314" s="2" t="s">
        <v>2758</v>
      </c>
      <c r="AM314" s="2" t="s">
        <v>72</v>
      </c>
      <c r="AN314" s="2" t="s">
        <v>232</v>
      </c>
      <c r="AP314" s="2" t="s">
        <v>2699</v>
      </c>
      <c r="AU314" s="2" t="s">
        <v>75</v>
      </c>
      <c r="AV314" s="2" t="s">
        <v>2759</v>
      </c>
      <c r="AW314" s="2" t="s">
        <v>2760</v>
      </c>
      <c r="AZ314" s="2" t="s">
        <v>1256</v>
      </c>
    </row>
    <row r="315" spans="1:52" s="3" customFormat="1" x14ac:dyDescent="0.35">
      <c r="A315" s="2" t="s">
        <v>2744</v>
      </c>
      <c r="B315" s="4">
        <v>248517</v>
      </c>
      <c r="C315" s="2" t="s">
        <v>2745</v>
      </c>
      <c r="D315" s="2">
        <f t="shared" si="4"/>
        <v>4</v>
      </c>
      <c r="F315" s="2" t="s">
        <v>2645</v>
      </c>
      <c r="G315" s="2" t="s">
        <v>53</v>
      </c>
      <c r="H315" s="4">
        <v>1</v>
      </c>
      <c r="I315" s="4">
        <v>1</v>
      </c>
      <c r="J315" s="5">
        <v>35000</v>
      </c>
      <c r="K315" s="2" t="s">
        <v>2726</v>
      </c>
      <c r="L315" s="4">
        <v>0</v>
      </c>
      <c r="N315" s="2" t="s">
        <v>2726</v>
      </c>
      <c r="O315" s="2" t="s">
        <v>2727</v>
      </c>
      <c r="P315" s="2" t="s">
        <v>2746</v>
      </c>
      <c r="Q315" s="2" t="s">
        <v>2766</v>
      </c>
      <c r="R315" s="2" t="s">
        <v>2748</v>
      </c>
      <c r="T315" s="2" t="s">
        <v>2749</v>
      </c>
      <c r="U315" s="2" t="s">
        <v>2750</v>
      </c>
      <c r="V315" s="2" t="s">
        <v>2751</v>
      </c>
      <c r="W315" s="2" t="s">
        <v>2752</v>
      </c>
      <c r="X315" s="2" t="s">
        <v>2752</v>
      </c>
      <c r="Y315" s="2" t="s">
        <v>2753</v>
      </c>
      <c r="Z315" s="2" t="s">
        <v>2754</v>
      </c>
      <c r="AA315" s="2" t="s">
        <v>2755</v>
      </c>
      <c r="AC315" s="2" t="s">
        <v>1044</v>
      </c>
      <c r="AD315" s="2" t="s">
        <v>2756</v>
      </c>
      <c r="AE315" s="2" t="s">
        <v>2757</v>
      </c>
      <c r="AF315" s="2" t="s">
        <v>70</v>
      </c>
      <c r="AG315" s="2" t="s">
        <v>55</v>
      </c>
      <c r="AK315" s="2" t="s">
        <v>2758</v>
      </c>
      <c r="AM315" s="2" t="s">
        <v>72</v>
      </c>
      <c r="AN315" s="2" t="s">
        <v>232</v>
      </c>
      <c r="AP315" s="2" t="s">
        <v>2699</v>
      </c>
      <c r="AU315" s="2" t="s">
        <v>75</v>
      </c>
      <c r="AV315" s="2" t="s">
        <v>2759</v>
      </c>
      <c r="AW315" s="2" t="s">
        <v>2760</v>
      </c>
      <c r="AZ315" s="2" t="s">
        <v>1256</v>
      </c>
    </row>
    <row r="316" spans="1:52" s="3" customFormat="1" x14ac:dyDescent="0.35">
      <c r="A316" s="2" t="s">
        <v>2744</v>
      </c>
      <c r="B316" s="4">
        <v>248517</v>
      </c>
      <c r="C316" s="2" t="s">
        <v>2745</v>
      </c>
      <c r="D316" s="2">
        <f t="shared" si="4"/>
        <v>4</v>
      </c>
      <c r="F316" s="2" t="s">
        <v>2645</v>
      </c>
      <c r="G316" s="2" t="s">
        <v>53</v>
      </c>
      <c r="H316" s="4">
        <v>1</v>
      </c>
      <c r="I316" s="4">
        <v>1</v>
      </c>
      <c r="J316" s="5">
        <v>35000</v>
      </c>
      <c r="K316" s="2" t="s">
        <v>2726</v>
      </c>
      <c r="L316" s="4">
        <v>0</v>
      </c>
      <c r="N316" s="2" t="s">
        <v>2726</v>
      </c>
      <c r="O316" s="2" t="s">
        <v>2727</v>
      </c>
      <c r="P316" s="2" t="s">
        <v>2746</v>
      </c>
      <c r="Q316" s="2" t="s">
        <v>2767</v>
      </c>
      <c r="R316" s="2" t="s">
        <v>2748</v>
      </c>
      <c r="T316" s="2" t="s">
        <v>2749</v>
      </c>
      <c r="U316" s="2" t="s">
        <v>2750</v>
      </c>
      <c r="V316" s="2" t="s">
        <v>2751</v>
      </c>
      <c r="W316" s="2" t="s">
        <v>2752</v>
      </c>
      <c r="X316" s="2" t="s">
        <v>2752</v>
      </c>
      <c r="Y316" s="2" t="s">
        <v>2753</v>
      </c>
      <c r="Z316" s="2" t="s">
        <v>2754</v>
      </c>
      <c r="AA316" s="2" t="s">
        <v>2755</v>
      </c>
      <c r="AC316" s="2" t="s">
        <v>1044</v>
      </c>
      <c r="AD316" s="2" t="s">
        <v>2756</v>
      </c>
      <c r="AE316" s="2" t="s">
        <v>2757</v>
      </c>
      <c r="AF316" s="2" t="s">
        <v>70</v>
      </c>
      <c r="AG316" s="2" t="s">
        <v>55</v>
      </c>
      <c r="AK316" s="2" t="s">
        <v>2758</v>
      </c>
      <c r="AM316" s="2" t="s">
        <v>72</v>
      </c>
      <c r="AN316" s="2" t="s">
        <v>232</v>
      </c>
      <c r="AP316" s="2" t="s">
        <v>2699</v>
      </c>
      <c r="AU316" s="2" t="s">
        <v>75</v>
      </c>
      <c r="AV316" s="2" t="s">
        <v>2759</v>
      </c>
      <c r="AW316" s="2" t="s">
        <v>2760</v>
      </c>
      <c r="AZ316" s="2" t="s">
        <v>1256</v>
      </c>
    </row>
    <row r="317" spans="1:52" s="3" customFormat="1" x14ac:dyDescent="0.35">
      <c r="A317" s="2" t="s">
        <v>2744</v>
      </c>
      <c r="B317" s="4">
        <v>248517</v>
      </c>
      <c r="C317" s="2" t="s">
        <v>2745</v>
      </c>
      <c r="D317" s="2">
        <f t="shared" si="4"/>
        <v>4</v>
      </c>
      <c r="F317" s="2" t="s">
        <v>2645</v>
      </c>
      <c r="G317" s="2" t="s">
        <v>53</v>
      </c>
      <c r="H317" s="4">
        <v>1</v>
      </c>
      <c r="I317" s="4">
        <v>1</v>
      </c>
      <c r="J317" s="5">
        <v>35000</v>
      </c>
      <c r="K317" s="2" t="s">
        <v>2726</v>
      </c>
      <c r="L317" s="4">
        <v>0</v>
      </c>
      <c r="N317" s="2" t="s">
        <v>2726</v>
      </c>
      <c r="O317" s="2" t="s">
        <v>2727</v>
      </c>
      <c r="P317" s="2" t="s">
        <v>2746</v>
      </c>
      <c r="Q317" s="2" t="s">
        <v>2768</v>
      </c>
      <c r="R317" s="2" t="s">
        <v>2748</v>
      </c>
      <c r="T317" s="2" t="s">
        <v>2749</v>
      </c>
      <c r="U317" s="2" t="s">
        <v>2750</v>
      </c>
      <c r="V317" s="2" t="s">
        <v>2751</v>
      </c>
      <c r="W317" s="2" t="s">
        <v>2752</v>
      </c>
      <c r="X317" s="2" t="s">
        <v>2752</v>
      </c>
      <c r="Y317" s="2" t="s">
        <v>2753</v>
      </c>
      <c r="Z317" s="2" t="s">
        <v>2754</v>
      </c>
      <c r="AA317" s="2" t="s">
        <v>2755</v>
      </c>
      <c r="AC317" s="2" t="s">
        <v>1044</v>
      </c>
      <c r="AD317" s="2" t="s">
        <v>2756</v>
      </c>
      <c r="AE317" s="2" t="s">
        <v>2757</v>
      </c>
      <c r="AF317" s="2" t="s">
        <v>70</v>
      </c>
      <c r="AG317" s="2" t="s">
        <v>55</v>
      </c>
      <c r="AK317" s="2" t="s">
        <v>2758</v>
      </c>
      <c r="AM317" s="2" t="s">
        <v>72</v>
      </c>
      <c r="AN317" s="2" t="s">
        <v>232</v>
      </c>
      <c r="AP317" s="2" t="s">
        <v>2699</v>
      </c>
      <c r="AU317" s="2" t="s">
        <v>75</v>
      </c>
      <c r="AV317" s="2" t="s">
        <v>2759</v>
      </c>
      <c r="AW317" s="2" t="s">
        <v>2760</v>
      </c>
      <c r="AZ317" s="2" t="s">
        <v>1256</v>
      </c>
    </row>
    <row r="318" spans="1:52" s="3" customFormat="1" x14ac:dyDescent="0.35">
      <c r="A318" s="2" t="s">
        <v>2744</v>
      </c>
      <c r="B318" s="4">
        <v>248517</v>
      </c>
      <c r="C318" s="2" t="s">
        <v>2745</v>
      </c>
      <c r="D318" s="2">
        <f t="shared" si="4"/>
        <v>4</v>
      </c>
      <c r="F318" s="2" t="s">
        <v>2645</v>
      </c>
      <c r="G318" s="2" t="s">
        <v>53</v>
      </c>
      <c r="H318" s="4">
        <v>1</v>
      </c>
      <c r="I318" s="4">
        <v>1</v>
      </c>
      <c r="J318" s="5">
        <v>35000</v>
      </c>
      <c r="K318" s="2" t="s">
        <v>2726</v>
      </c>
      <c r="L318" s="4">
        <v>0</v>
      </c>
      <c r="N318" s="2" t="s">
        <v>2726</v>
      </c>
      <c r="O318" s="2" t="s">
        <v>2727</v>
      </c>
      <c r="P318" s="2" t="s">
        <v>2746</v>
      </c>
      <c r="Q318" s="2" t="s">
        <v>2769</v>
      </c>
      <c r="R318" s="2" t="s">
        <v>2748</v>
      </c>
      <c r="T318" s="2" t="s">
        <v>2749</v>
      </c>
      <c r="U318" s="2" t="s">
        <v>2750</v>
      </c>
      <c r="V318" s="2" t="s">
        <v>2751</v>
      </c>
      <c r="W318" s="2" t="s">
        <v>2752</v>
      </c>
      <c r="X318" s="2" t="s">
        <v>2752</v>
      </c>
      <c r="Y318" s="2" t="s">
        <v>2753</v>
      </c>
      <c r="Z318" s="2" t="s">
        <v>2754</v>
      </c>
      <c r="AA318" s="2" t="s">
        <v>2755</v>
      </c>
      <c r="AC318" s="2" t="s">
        <v>1044</v>
      </c>
      <c r="AD318" s="2" t="s">
        <v>2756</v>
      </c>
      <c r="AE318" s="2" t="s">
        <v>2757</v>
      </c>
      <c r="AF318" s="2" t="s">
        <v>70</v>
      </c>
      <c r="AG318" s="2" t="s">
        <v>55</v>
      </c>
      <c r="AK318" s="2" t="s">
        <v>2758</v>
      </c>
      <c r="AM318" s="2" t="s">
        <v>72</v>
      </c>
      <c r="AN318" s="2" t="s">
        <v>232</v>
      </c>
      <c r="AP318" s="2" t="s">
        <v>2699</v>
      </c>
      <c r="AU318" s="2" t="s">
        <v>75</v>
      </c>
      <c r="AV318" s="2" t="s">
        <v>2759</v>
      </c>
      <c r="AW318" s="2" t="s">
        <v>2760</v>
      </c>
      <c r="AZ318" s="2" t="s">
        <v>1256</v>
      </c>
    </row>
    <row r="319" spans="1:52" s="3" customFormat="1" x14ac:dyDescent="0.35">
      <c r="A319" s="2" t="s">
        <v>2744</v>
      </c>
      <c r="B319" s="4">
        <v>248517</v>
      </c>
      <c r="C319" s="2" t="s">
        <v>2745</v>
      </c>
      <c r="D319" s="2">
        <f t="shared" si="4"/>
        <v>4</v>
      </c>
      <c r="F319" s="2" t="s">
        <v>2645</v>
      </c>
      <c r="G319" s="2" t="s">
        <v>53</v>
      </c>
      <c r="H319" s="4">
        <v>1</v>
      </c>
      <c r="I319" s="4">
        <v>1</v>
      </c>
      <c r="J319" s="5">
        <v>35000</v>
      </c>
      <c r="K319" s="2" t="s">
        <v>2726</v>
      </c>
      <c r="L319" s="4">
        <v>0</v>
      </c>
      <c r="N319" s="2" t="s">
        <v>2726</v>
      </c>
      <c r="O319" s="2" t="s">
        <v>2727</v>
      </c>
      <c r="P319" s="2" t="s">
        <v>2746</v>
      </c>
      <c r="Q319" s="2" t="s">
        <v>2770</v>
      </c>
      <c r="R319" s="2" t="s">
        <v>2748</v>
      </c>
      <c r="T319" s="2" t="s">
        <v>2749</v>
      </c>
      <c r="U319" s="2" t="s">
        <v>2750</v>
      </c>
      <c r="V319" s="2" t="s">
        <v>2751</v>
      </c>
      <c r="W319" s="2" t="s">
        <v>2752</v>
      </c>
      <c r="X319" s="2" t="s">
        <v>2752</v>
      </c>
      <c r="Y319" s="2" t="s">
        <v>2753</v>
      </c>
      <c r="Z319" s="2" t="s">
        <v>2754</v>
      </c>
      <c r="AA319" s="2" t="s">
        <v>2755</v>
      </c>
      <c r="AC319" s="2" t="s">
        <v>1044</v>
      </c>
      <c r="AD319" s="2" t="s">
        <v>2756</v>
      </c>
      <c r="AE319" s="2" t="s">
        <v>2757</v>
      </c>
      <c r="AF319" s="2" t="s">
        <v>70</v>
      </c>
      <c r="AG319" s="2" t="s">
        <v>55</v>
      </c>
      <c r="AK319" s="2" t="s">
        <v>2758</v>
      </c>
      <c r="AM319" s="2" t="s">
        <v>72</v>
      </c>
      <c r="AN319" s="2" t="s">
        <v>232</v>
      </c>
      <c r="AP319" s="2" t="s">
        <v>2699</v>
      </c>
      <c r="AU319" s="2" t="s">
        <v>75</v>
      </c>
      <c r="AV319" s="2" t="s">
        <v>2759</v>
      </c>
      <c r="AW319" s="2" t="s">
        <v>2760</v>
      </c>
      <c r="AZ319" s="2" t="s">
        <v>1256</v>
      </c>
    </row>
    <row r="320" spans="1:52" s="3" customFormat="1" x14ac:dyDescent="0.35">
      <c r="A320" s="2" t="s">
        <v>2744</v>
      </c>
      <c r="B320" s="4">
        <v>248517</v>
      </c>
      <c r="C320" s="2" t="s">
        <v>2745</v>
      </c>
      <c r="D320" s="2">
        <f t="shared" si="4"/>
        <v>4</v>
      </c>
      <c r="F320" s="2" t="s">
        <v>2645</v>
      </c>
      <c r="G320" s="2" t="s">
        <v>53</v>
      </c>
      <c r="H320" s="4">
        <v>1</v>
      </c>
      <c r="I320" s="4">
        <v>1</v>
      </c>
      <c r="J320" s="5">
        <v>35000</v>
      </c>
      <c r="K320" s="2" t="s">
        <v>2726</v>
      </c>
      <c r="L320" s="4">
        <v>0</v>
      </c>
      <c r="N320" s="2" t="s">
        <v>2726</v>
      </c>
      <c r="O320" s="2" t="s">
        <v>2727</v>
      </c>
      <c r="P320" s="2" t="s">
        <v>2746</v>
      </c>
      <c r="Q320" s="2" t="s">
        <v>2771</v>
      </c>
      <c r="R320" s="2" t="s">
        <v>2748</v>
      </c>
      <c r="T320" s="2" t="s">
        <v>2749</v>
      </c>
      <c r="U320" s="2" t="s">
        <v>2750</v>
      </c>
      <c r="V320" s="2" t="s">
        <v>2751</v>
      </c>
      <c r="W320" s="2" t="s">
        <v>2752</v>
      </c>
      <c r="X320" s="2" t="s">
        <v>2752</v>
      </c>
      <c r="Y320" s="2" t="s">
        <v>2753</v>
      </c>
      <c r="Z320" s="2" t="s">
        <v>2754</v>
      </c>
      <c r="AA320" s="2" t="s">
        <v>2755</v>
      </c>
      <c r="AC320" s="2" t="s">
        <v>1044</v>
      </c>
      <c r="AD320" s="2" t="s">
        <v>2756</v>
      </c>
      <c r="AE320" s="2" t="s">
        <v>2757</v>
      </c>
      <c r="AF320" s="2" t="s">
        <v>70</v>
      </c>
      <c r="AG320" s="2" t="s">
        <v>55</v>
      </c>
      <c r="AK320" s="2" t="s">
        <v>2758</v>
      </c>
      <c r="AM320" s="2" t="s">
        <v>72</v>
      </c>
      <c r="AN320" s="2" t="s">
        <v>232</v>
      </c>
      <c r="AP320" s="2" t="s">
        <v>2699</v>
      </c>
      <c r="AU320" s="2" t="s">
        <v>75</v>
      </c>
      <c r="AV320" s="2" t="s">
        <v>2759</v>
      </c>
      <c r="AW320" s="2" t="s">
        <v>2760</v>
      </c>
      <c r="AZ320" s="2" t="s">
        <v>1256</v>
      </c>
    </row>
    <row r="321" spans="1:52" s="3" customFormat="1" x14ac:dyDescent="0.35">
      <c r="A321" s="2" t="s">
        <v>2744</v>
      </c>
      <c r="B321" s="4">
        <v>248517</v>
      </c>
      <c r="C321" s="2" t="s">
        <v>2745</v>
      </c>
      <c r="D321" s="2">
        <f t="shared" si="4"/>
        <v>4</v>
      </c>
      <c r="F321" s="2" t="s">
        <v>2645</v>
      </c>
      <c r="G321" s="2" t="s">
        <v>53</v>
      </c>
      <c r="H321" s="4">
        <v>1</v>
      </c>
      <c r="I321" s="4">
        <v>1</v>
      </c>
      <c r="J321" s="5">
        <v>35000</v>
      </c>
      <c r="K321" s="2" t="s">
        <v>2726</v>
      </c>
      <c r="L321" s="4">
        <v>0</v>
      </c>
      <c r="N321" s="2" t="s">
        <v>2726</v>
      </c>
      <c r="O321" s="2" t="s">
        <v>2727</v>
      </c>
      <c r="P321" s="2" t="s">
        <v>2746</v>
      </c>
      <c r="Q321" s="2" t="s">
        <v>2772</v>
      </c>
      <c r="R321" s="2" t="s">
        <v>2748</v>
      </c>
      <c r="T321" s="2" t="s">
        <v>2749</v>
      </c>
      <c r="U321" s="2" t="s">
        <v>2750</v>
      </c>
      <c r="V321" s="2" t="s">
        <v>2751</v>
      </c>
      <c r="W321" s="2" t="s">
        <v>2752</v>
      </c>
      <c r="X321" s="2" t="s">
        <v>2752</v>
      </c>
      <c r="Y321" s="2" t="s">
        <v>2753</v>
      </c>
      <c r="Z321" s="2" t="s">
        <v>2754</v>
      </c>
      <c r="AA321" s="2" t="s">
        <v>2755</v>
      </c>
      <c r="AC321" s="2" t="s">
        <v>1044</v>
      </c>
      <c r="AD321" s="2" t="s">
        <v>2756</v>
      </c>
      <c r="AE321" s="2" t="s">
        <v>2757</v>
      </c>
      <c r="AF321" s="2" t="s">
        <v>70</v>
      </c>
      <c r="AG321" s="2" t="s">
        <v>55</v>
      </c>
      <c r="AK321" s="2" t="s">
        <v>2758</v>
      </c>
      <c r="AM321" s="2" t="s">
        <v>72</v>
      </c>
      <c r="AN321" s="2" t="s">
        <v>232</v>
      </c>
      <c r="AP321" s="2" t="s">
        <v>2699</v>
      </c>
      <c r="AU321" s="2" t="s">
        <v>75</v>
      </c>
      <c r="AV321" s="2" t="s">
        <v>2759</v>
      </c>
      <c r="AW321" s="2" t="s">
        <v>2760</v>
      </c>
      <c r="AZ321" s="2" t="s">
        <v>1256</v>
      </c>
    </row>
    <row r="322" spans="1:52" s="3" customFormat="1" x14ac:dyDescent="0.35">
      <c r="A322" s="2" t="s">
        <v>2744</v>
      </c>
      <c r="B322" s="4">
        <v>248517</v>
      </c>
      <c r="C322" s="2" t="s">
        <v>2745</v>
      </c>
      <c r="D322" s="2">
        <f t="shared" si="4"/>
        <v>4</v>
      </c>
      <c r="F322" s="2" t="s">
        <v>2645</v>
      </c>
      <c r="G322" s="2" t="s">
        <v>53</v>
      </c>
      <c r="H322" s="4">
        <v>1</v>
      </c>
      <c r="I322" s="4">
        <v>1</v>
      </c>
      <c r="J322" s="5">
        <v>35000</v>
      </c>
      <c r="K322" s="2" t="s">
        <v>2726</v>
      </c>
      <c r="L322" s="4">
        <v>0</v>
      </c>
      <c r="N322" s="2" t="s">
        <v>2726</v>
      </c>
      <c r="O322" s="2" t="s">
        <v>2727</v>
      </c>
      <c r="P322" s="2" t="s">
        <v>2746</v>
      </c>
      <c r="Q322" s="2" t="s">
        <v>2773</v>
      </c>
      <c r="R322" s="2" t="s">
        <v>2748</v>
      </c>
      <c r="T322" s="2" t="s">
        <v>2749</v>
      </c>
      <c r="U322" s="2" t="s">
        <v>2750</v>
      </c>
      <c r="V322" s="2" t="s">
        <v>2751</v>
      </c>
      <c r="W322" s="2" t="s">
        <v>2752</v>
      </c>
      <c r="X322" s="2" t="s">
        <v>2752</v>
      </c>
      <c r="Y322" s="2" t="s">
        <v>2753</v>
      </c>
      <c r="Z322" s="2" t="s">
        <v>2754</v>
      </c>
      <c r="AA322" s="2" t="s">
        <v>2755</v>
      </c>
      <c r="AC322" s="2" t="s">
        <v>1044</v>
      </c>
      <c r="AD322" s="2" t="s">
        <v>2756</v>
      </c>
      <c r="AE322" s="2" t="s">
        <v>2757</v>
      </c>
      <c r="AF322" s="2" t="s">
        <v>70</v>
      </c>
      <c r="AG322" s="2" t="s">
        <v>55</v>
      </c>
      <c r="AK322" s="2" t="s">
        <v>2758</v>
      </c>
      <c r="AM322" s="2" t="s">
        <v>72</v>
      </c>
      <c r="AN322" s="2" t="s">
        <v>232</v>
      </c>
      <c r="AP322" s="2" t="s">
        <v>2699</v>
      </c>
      <c r="AU322" s="2" t="s">
        <v>75</v>
      </c>
      <c r="AV322" s="2" t="s">
        <v>2759</v>
      </c>
      <c r="AW322" s="2" t="s">
        <v>2760</v>
      </c>
      <c r="AZ322" s="2" t="s">
        <v>1256</v>
      </c>
    </row>
    <row r="323" spans="1:52" s="3" customFormat="1" x14ac:dyDescent="0.35">
      <c r="A323" s="2" t="s">
        <v>2744</v>
      </c>
      <c r="B323" s="4">
        <v>248517</v>
      </c>
      <c r="C323" s="2" t="s">
        <v>2745</v>
      </c>
      <c r="D323" s="2">
        <f t="shared" ref="D323:D386" si="5">MONTH(C323)</f>
        <v>4</v>
      </c>
      <c r="F323" s="2" t="s">
        <v>2645</v>
      </c>
      <c r="G323" s="2" t="s">
        <v>53</v>
      </c>
      <c r="H323" s="4">
        <v>1</v>
      </c>
      <c r="I323" s="4">
        <v>1</v>
      </c>
      <c r="J323" s="5">
        <v>35000</v>
      </c>
      <c r="K323" s="2" t="s">
        <v>2726</v>
      </c>
      <c r="L323" s="4">
        <v>0</v>
      </c>
      <c r="N323" s="2" t="s">
        <v>2726</v>
      </c>
      <c r="O323" s="2" t="s">
        <v>2727</v>
      </c>
      <c r="P323" s="2" t="s">
        <v>2746</v>
      </c>
      <c r="Q323" s="2" t="s">
        <v>2774</v>
      </c>
      <c r="R323" s="2" t="s">
        <v>2748</v>
      </c>
      <c r="T323" s="2" t="s">
        <v>2749</v>
      </c>
      <c r="U323" s="2" t="s">
        <v>2750</v>
      </c>
      <c r="V323" s="2" t="s">
        <v>2751</v>
      </c>
      <c r="W323" s="2" t="s">
        <v>2752</v>
      </c>
      <c r="X323" s="2" t="s">
        <v>2752</v>
      </c>
      <c r="Y323" s="2" t="s">
        <v>2753</v>
      </c>
      <c r="Z323" s="2" t="s">
        <v>2754</v>
      </c>
      <c r="AA323" s="2" t="s">
        <v>2755</v>
      </c>
      <c r="AC323" s="2" t="s">
        <v>1044</v>
      </c>
      <c r="AD323" s="2" t="s">
        <v>2756</v>
      </c>
      <c r="AE323" s="2" t="s">
        <v>2757</v>
      </c>
      <c r="AF323" s="2" t="s">
        <v>70</v>
      </c>
      <c r="AG323" s="2" t="s">
        <v>55</v>
      </c>
      <c r="AK323" s="2" t="s">
        <v>2758</v>
      </c>
      <c r="AM323" s="2" t="s">
        <v>72</v>
      </c>
      <c r="AN323" s="2" t="s">
        <v>232</v>
      </c>
      <c r="AP323" s="2" t="s">
        <v>2699</v>
      </c>
      <c r="AU323" s="2" t="s">
        <v>75</v>
      </c>
      <c r="AV323" s="2" t="s">
        <v>2759</v>
      </c>
      <c r="AW323" s="2" t="s">
        <v>2760</v>
      </c>
      <c r="AZ323" s="2" t="s">
        <v>1256</v>
      </c>
    </row>
    <row r="324" spans="1:52" s="3" customFormat="1" x14ac:dyDescent="0.35">
      <c r="A324" s="2" t="s">
        <v>2744</v>
      </c>
      <c r="B324" s="4">
        <v>248517</v>
      </c>
      <c r="C324" s="2" t="s">
        <v>2745</v>
      </c>
      <c r="D324" s="2">
        <f t="shared" si="5"/>
        <v>4</v>
      </c>
      <c r="F324" s="2" t="s">
        <v>2645</v>
      </c>
      <c r="G324" s="2" t="s">
        <v>53</v>
      </c>
      <c r="H324" s="4">
        <v>1</v>
      </c>
      <c r="I324" s="4">
        <v>1</v>
      </c>
      <c r="J324" s="5">
        <v>35000</v>
      </c>
      <c r="K324" s="2" t="s">
        <v>2726</v>
      </c>
      <c r="L324" s="4">
        <v>0</v>
      </c>
      <c r="N324" s="2" t="s">
        <v>2726</v>
      </c>
      <c r="O324" s="2" t="s">
        <v>2727</v>
      </c>
      <c r="P324" s="2" t="s">
        <v>2746</v>
      </c>
      <c r="Q324" s="2" t="s">
        <v>2775</v>
      </c>
      <c r="R324" s="2" t="s">
        <v>2748</v>
      </c>
      <c r="T324" s="2" t="s">
        <v>2749</v>
      </c>
      <c r="U324" s="2" t="s">
        <v>2750</v>
      </c>
      <c r="V324" s="2" t="s">
        <v>2751</v>
      </c>
      <c r="W324" s="2" t="s">
        <v>2752</v>
      </c>
      <c r="X324" s="2" t="s">
        <v>2752</v>
      </c>
      <c r="Y324" s="2" t="s">
        <v>2753</v>
      </c>
      <c r="Z324" s="2" t="s">
        <v>2754</v>
      </c>
      <c r="AA324" s="2" t="s">
        <v>2755</v>
      </c>
      <c r="AC324" s="2" t="s">
        <v>1044</v>
      </c>
      <c r="AD324" s="2" t="s">
        <v>2756</v>
      </c>
      <c r="AE324" s="2" t="s">
        <v>2757</v>
      </c>
      <c r="AF324" s="2" t="s">
        <v>70</v>
      </c>
      <c r="AG324" s="2" t="s">
        <v>55</v>
      </c>
      <c r="AK324" s="2" t="s">
        <v>2758</v>
      </c>
      <c r="AM324" s="2" t="s">
        <v>72</v>
      </c>
      <c r="AN324" s="2" t="s">
        <v>232</v>
      </c>
      <c r="AP324" s="2" t="s">
        <v>2699</v>
      </c>
      <c r="AU324" s="2" t="s">
        <v>75</v>
      </c>
      <c r="AV324" s="2" t="s">
        <v>2759</v>
      </c>
      <c r="AW324" s="2" t="s">
        <v>2760</v>
      </c>
      <c r="AZ324" s="2" t="s">
        <v>1256</v>
      </c>
    </row>
    <row r="325" spans="1:52" s="3" customFormat="1" x14ac:dyDescent="0.35">
      <c r="A325" s="2" t="s">
        <v>2744</v>
      </c>
      <c r="B325" s="4">
        <v>248517</v>
      </c>
      <c r="C325" s="2" t="s">
        <v>2745</v>
      </c>
      <c r="D325" s="2">
        <f t="shared" si="5"/>
        <v>4</v>
      </c>
      <c r="F325" s="2" t="s">
        <v>2645</v>
      </c>
      <c r="G325" s="2" t="s">
        <v>53</v>
      </c>
      <c r="H325" s="4">
        <v>1</v>
      </c>
      <c r="I325" s="4">
        <v>1</v>
      </c>
      <c r="J325" s="5">
        <v>60000</v>
      </c>
      <c r="K325" s="2" t="s">
        <v>2726</v>
      </c>
      <c r="L325" s="4">
        <v>0</v>
      </c>
      <c r="N325" s="2" t="s">
        <v>2726</v>
      </c>
      <c r="O325" s="2" t="s">
        <v>2727</v>
      </c>
      <c r="P325" s="2" t="s">
        <v>2746</v>
      </c>
      <c r="Q325" s="2" t="s">
        <v>2776</v>
      </c>
      <c r="R325" s="2" t="s">
        <v>2748</v>
      </c>
      <c r="T325" s="2" t="s">
        <v>2749</v>
      </c>
      <c r="U325" s="2" t="s">
        <v>2750</v>
      </c>
      <c r="V325" s="2" t="s">
        <v>2751</v>
      </c>
      <c r="W325" s="2" t="s">
        <v>2752</v>
      </c>
      <c r="X325" s="2" t="s">
        <v>2752</v>
      </c>
      <c r="Y325" s="2" t="s">
        <v>2753</v>
      </c>
      <c r="Z325" s="2" t="s">
        <v>2754</v>
      </c>
      <c r="AA325" s="2" t="s">
        <v>2755</v>
      </c>
      <c r="AC325" s="2" t="s">
        <v>1044</v>
      </c>
      <c r="AD325" s="2" t="s">
        <v>2756</v>
      </c>
      <c r="AE325" s="2" t="s">
        <v>2757</v>
      </c>
      <c r="AF325" s="2" t="s">
        <v>70</v>
      </c>
      <c r="AG325" s="2" t="s">
        <v>55</v>
      </c>
      <c r="AK325" s="2" t="s">
        <v>2758</v>
      </c>
      <c r="AM325" s="2" t="s">
        <v>72</v>
      </c>
      <c r="AN325" s="2" t="s">
        <v>232</v>
      </c>
      <c r="AP325" s="2" t="s">
        <v>2699</v>
      </c>
      <c r="AU325" s="2" t="s">
        <v>75</v>
      </c>
      <c r="AV325" s="2" t="s">
        <v>2759</v>
      </c>
      <c r="AW325" s="2" t="s">
        <v>2760</v>
      </c>
      <c r="AZ325" s="2" t="s">
        <v>1256</v>
      </c>
    </row>
    <row r="326" spans="1:52" s="3" customFormat="1" x14ac:dyDescent="0.35">
      <c r="A326" s="2" t="s">
        <v>2744</v>
      </c>
      <c r="B326" s="4">
        <v>248517</v>
      </c>
      <c r="C326" s="2" t="s">
        <v>2745</v>
      </c>
      <c r="D326" s="2">
        <f t="shared" si="5"/>
        <v>4</v>
      </c>
      <c r="F326" s="2" t="s">
        <v>2645</v>
      </c>
      <c r="G326" s="2" t="s">
        <v>53</v>
      </c>
      <c r="H326" s="4">
        <v>1</v>
      </c>
      <c r="I326" s="4">
        <v>1</v>
      </c>
      <c r="J326" s="5">
        <v>60000</v>
      </c>
      <c r="K326" s="2" t="s">
        <v>2726</v>
      </c>
      <c r="L326" s="4">
        <v>0</v>
      </c>
      <c r="N326" s="2" t="s">
        <v>2726</v>
      </c>
      <c r="O326" s="2" t="s">
        <v>2727</v>
      </c>
      <c r="P326" s="2" t="s">
        <v>2746</v>
      </c>
      <c r="Q326" s="2" t="s">
        <v>2777</v>
      </c>
      <c r="R326" s="2" t="s">
        <v>2748</v>
      </c>
      <c r="T326" s="2" t="s">
        <v>2749</v>
      </c>
      <c r="U326" s="2" t="s">
        <v>2750</v>
      </c>
      <c r="V326" s="2" t="s">
        <v>2751</v>
      </c>
      <c r="W326" s="2" t="s">
        <v>2752</v>
      </c>
      <c r="X326" s="2" t="s">
        <v>2752</v>
      </c>
      <c r="Y326" s="2" t="s">
        <v>2753</v>
      </c>
      <c r="Z326" s="2" t="s">
        <v>2754</v>
      </c>
      <c r="AA326" s="2" t="s">
        <v>2755</v>
      </c>
      <c r="AC326" s="2" t="s">
        <v>1044</v>
      </c>
      <c r="AD326" s="2" t="s">
        <v>2756</v>
      </c>
      <c r="AE326" s="2" t="s">
        <v>2757</v>
      </c>
      <c r="AF326" s="2" t="s">
        <v>70</v>
      </c>
      <c r="AG326" s="2" t="s">
        <v>55</v>
      </c>
      <c r="AK326" s="2" t="s">
        <v>2758</v>
      </c>
      <c r="AM326" s="2" t="s">
        <v>72</v>
      </c>
      <c r="AN326" s="2" t="s">
        <v>232</v>
      </c>
      <c r="AP326" s="2" t="s">
        <v>2699</v>
      </c>
      <c r="AU326" s="2" t="s">
        <v>75</v>
      </c>
      <c r="AV326" s="2" t="s">
        <v>2759</v>
      </c>
      <c r="AW326" s="2" t="s">
        <v>2760</v>
      </c>
      <c r="AZ326" s="2" t="s">
        <v>1256</v>
      </c>
    </row>
    <row r="327" spans="1:52" s="3" customFormat="1" x14ac:dyDescent="0.35">
      <c r="A327" s="2" t="s">
        <v>2744</v>
      </c>
      <c r="B327" s="4">
        <v>248517</v>
      </c>
      <c r="C327" s="2" t="s">
        <v>2745</v>
      </c>
      <c r="D327" s="2">
        <f t="shared" si="5"/>
        <v>4</v>
      </c>
      <c r="F327" s="2" t="s">
        <v>2645</v>
      </c>
      <c r="G327" s="2" t="s">
        <v>53</v>
      </c>
      <c r="H327" s="4">
        <v>1</v>
      </c>
      <c r="I327" s="4">
        <v>1</v>
      </c>
      <c r="J327" s="5">
        <v>60000</v>
      </c>
      <c r="K327" s="2" t="s">
        <v>2726</v>
      </c>
      <c r="L327" s="4">
        <v>0</v>
      </c>
      <c r="N327" s="2" t="s">
        <v>2726</v>
      </c>
      <c r="O327" s="2" t="s">
        <v>2727</v>
      </c>
      <c r="P327" s="2" t="s">
        <v>2746</v>
      </c>
      <c r="Q327" s="2" t="s">
        <v>2778</v>
      </c>
      <c r="R327" s="2" t="s">
        <v>2748</v>
      </c>
      <c r="T327" s="2" t="s">
        <v>2749</v>
      </c>
      <c r="U327" s="2" t="s">
        <v>2750</v>
      </c>
      <c r="V327" s="2" t="s">
        <v>2751</v>
      </c>
      <c r="W327" s="2" t="s">
        <v>2752</v>
      </c>
      <c r="X327" s="2" t="s">
        <v>2752</v>
      </c>
      <c r="Y327" s="2" t="s">
        <v>2753</v>
      </c>
      <c r="Z327" s="2" t="s">
        <v>2754</v>
      </c>
      <c r="AA327" s="2" t="s">
        <v>2755</v>
      </c>
      <c r="AC327" s="2" t="s">
        <v>1044</v>
      </c>
      <c r="AD327" s="2" t="s">
        <v>2756</v>
      </c>
      <c r="AE327" s="2" t="s">
        <v>2757</v>
      </c>
      <c r="AF327" s="2" t="s">
        <v>70</v>
      </c>
      <c r="AG327" s="2" t="s">
        <v>55</v>
      </c>
      <c r="AK327" s="2" t="s">
        <v>2758</v>
      </c>
      <c r="AM327" s="2" t="s">
        <v>72</v>
      </c>
      <c r="AN327" s="2" t="s">
        <v>232</v>
      </c>
      <c r="AP327" s="2" t="s">
        <v>2699</v>
      </c>
      <c r="AU327" s="2" t="s">
        <v>75</v>
      </c>
      <c r="AV327" s="2" t="s">
        <v>2759</v>
      </c>
      <c r="AW327" s="2" t="s">
        <v>2760</v>
      </c>
      <c r="AZ327" s="2" t="s">
        <v>1256</v>
      </c>
    </row>
    <row r="328" spans="1:52" s="3" customFormat="1" x14ac:dyDescent="0.35">
      <c r="A328" s="2" t="s">
        <v>2744</v>
      </c>
      <c r="B328" s="4">
        <v>248517</v>
      </c>
      <c r="C328" s="2" t="s">
        <v>2745</v>
      </c>
      <c r="D328" s="2">
        <f t="shared" si="5"/>
        <v>4</v>
      </c>
      <c r="F328" s="2" t="s">
        <v>2645</v>
      </c>
      <c r="G328" s="2" t="s">
        <v>53</v>
      </c>
      <c r="H328" s="4">
        <v>1</v>
      </c>
      <c r="I328" s="4">
        <v>1</v>
      </c>
      <c r="J328" s="5">
        <v>60000</v>
      </c>
      <c r="K328" s="2" t="s">
        <v>2726</v>
      </c>
      <c r="L328" s="4">
        <v>0</v>
      </c>
      <c r="N328" s="2" t="s">
        <v>2726</v>
      </c>
      <c r="O328" s="2" t="s">
        <v>2727</v>
      </c>
      <c r="P328" s="2" t="s">
        <v>2746</v>
      </c>
      <c r="Q328" s="2" t="s">
        <v>2779</v>
      </c>
      <c r="R328" s="2" t="s">
        <v>2748</v>
      </c>
      <c r="T328" s="2" t="s">
        <v>2749</v>
      </c>
      <c r="U328" s="2" t="s">
        <v>2750</v>
      </c>
      <c r="V328" s="2" t="s">
        <v>2751</v>
      </c>
      <c r="W328" s="2" t="s">
        <v>2752</v>
      </c>
      <c r="X328" s="2" t="s">
        <v>2752</v>
      </c>
      <c r="Y328" s="2" t="s">
        <v>2753</v>
      </c>
      <c r="Z328" s="2" t="s">
        <v>2754</v>
      </c>
      <c r="AA328" s="2" t="s">
        <v>2755</v>
      </c>
      <c r="AC328" s="2" t="s">
        <v>1044</v>
      </c>
      <c r="AD328" s="2" t="s">
        <v>2756</v>
      </c>
      <c r="AE328" s="2" t="s">
        <v>2757</v>
      </c>
      <c r="AF328" s="2" t="s">
        <v>70</v>
      </c>
      <c r="AG328" s="2" t="s">
        <v>55</v>
      </c>
      <c r="AK328" s="2" t="s">
        <v>2758</v>
      </c>
      <c r="AM328" s="2" t="s">
        <v>72</v>
      </c>
      <c r="AN328" s="2" t="s">
        <v>232</v>
      </c>
      <c r="AP328" s="2" t="s">
        <v>2699</v>
      </c>
      <c r="AU328" s="2" t="s">
        <v>75</v>
      </c>
      <c r="AV328" s="2" t="s">
        <v>2759</v>
      </c>
      <c r="AW328" s="2" t="s">
        <v>2760</v>
      </c>
      <c r="AZ328" s="2" t="s">
        <v>1256</v>
      </c>
    </row>
    <row r="329" spans="1:52" s="3" customFormat="1" x14ac:dyDescent="0.35">
      <c r="A329" s="2" t="s">
        <v>2744</v>
      </c>
      <c r="B329" s="4">
        <v>248517</v>
      </c>
      <c r="C329" s="2" t="s">
        <v>2745</v>
      </c>
      <c r="D329" s="2">
        <f t="shared" si="5"/>
        <v>4</v>
      </c>
      <c r="F329" s="2" t="s">
        <v>2645</v>
      </c>
      <c r="G329" s="2" t="s">
        <v>53</v>
      </c>
      <c r="H329" s="4">
        <v>1</v>
      </c>
      <c r="I329" s="4">
        <v>1</v>
      </c>
      <c r="J329" s="5">
        <v>60000</v>
      </c>
      <c r="K329" s="2" t="s">
        <v>2726</v>
      </c>
      <c r="L329" s="4">
        <v>0</v>
      </c>
      <c r="N329" s="2" t="s">
        <v>2726</v>
      </c>
      <c r="O329" s="2" t="s">
        <v>2727</v>
      </c>
      <c r="P329" s="2" t="s">
        <v>2746</v>
      </c>
      <c r="Q329" s="2" t="s">
        <v>2780</v>
      </c>
      <c r="R329" s="2" t="s">
        <v>2748</v>
      </c>
      <c r="T329" s="2" t="s">
        <v>2749</v>
      </c>
      <c r="U329" s="2" t="s">
        <v>2750</v>
      </c>
      <c r="V329" s="2" t="s">
        <v>2751</v>
      </c>
      <c r="W329" s="2" t="s">
        <v>2752</v>
      </c>
      <c r="X329" s="2" t="s">
        <v>2752</v>
      </c>
      <c r="Y329" s="2" t="s">
        <v>2753</v>
      </c>
      <c r="Z329" s="2" t="s">
        <v>2754</v>
      </c>
      <c r="AA329" s="2" t="s">
        <v>2755</v>
      </c>
      <c r="AC329" s="2" t="s">
        <v>1044</v>
      </c>
      <c r="AD329" s="2" t="s">
        <v>2756</v>
      </c>
      <c r="AE329" s="2" t="s">
        <v>2757</v>
      </c>
      <c r="AF329" s="2" t="s">
        <v>70</v>
      </c>
      <c r="AG329" s="2" t="s">
        <v>55</v>
      </c>
      <c r="AK329" s="2" t="s">
        <v>2758</v>
      </c>
      <c r="AM329" s="2" t="s">
        <v>72</v>
      </c>
      <c r="AN329" s="2" t="s">
        <v>232</v>
      </c>
      <c r="AP329" s="2" t="s">
        <v>2699</v>
      </c>
      <c r="AU329" s="2" t="s">
        <v>75</v>
      </c>
      <c r="AV329" s="2" t="s">
        <v>2759</v>
      </c>
      <c r="AW329" s="2" t="s">
        <v>2760</v>
      </c>
      <c r="AZ329" s="2" t="s">
        <v>1256</v>
      </c>
    </row>
    <row r="330" spans="1:52" s="3" customFormat="1" x14ac:dyDescent="0.35">
      <c r="A330" s="2" t="s">
        <v>2744</v>
      </c>
      <c r="B330" s="4">
        <v>248517</v>
      </c>
      <c r="C330" s="2" t="s">
        <v>2745</v>
      </c>
      <c r="D330" s="2">
        <f t="shared" si="5"/>
        <v>4</v>
      </c>
      <c r="F330" s="2" t="s">
        <v>2645</v>
      </c>
      <c r="G330" s="2" t="s">
        <v>53</v>
      </c>
      <c r="H330" s="4">
        <v>1</v>
      </c>
      <c r="I330" s="4">
        <v>1</v>
      </c>
      <c r="J330" s="5">
        <v>60000</v>
      </c>
      <c r="K330" s="2" t="s">
        <v>2726</v>
      </c>
      <c r="L330" s="4">
        <v>0</v>
      </c>
      <c r="N330" s="2" t="s">
        <v>2726</v>
      </c>
      <c r="O330" s="2" t="s">
        <v>2727</v>
      </c>
      <c r="P330" s="2" t="s">
        <v>2746</v>
      </c>
      <c r="Q330" s="2" t="s">
        <v>2781</v>
      </c>
      <c r="R330" s="2" t="s">
        <v>2748</v>
      </c>
      <c r="T330" s="2" t="s">
        <v>2749</v>
      </c>
      <c r="U330" s="2" t="s">
        <v>2750</v>
      </c>
      <c r="V330" s="2" t="s">
        <v>2751</v>
      </c>
      <c r="W330" s="2" t="s">
        <v>2752</v>
      </c>
      <c r="X330" s="2" t="s">
        <v>2752</v>
      </c>
      <c r="Y330" s="2" t="s">
        <v>2753</v>
      </c>
      <c r="Z330" s="2" t="s">
        <v>2754</v>
      </c>
      <c r="AA330" s="2" t="s">
        <v>2755</v>
      </c>
      <c r="AC330" s="2" t="s">
        <v>1044</v>
      </c>
      <c r="AD330" s="2" t="s">
        <v>2756</v>
      </c>
      <c r="AE330" s="2" t="s">
        <v>2757</v>
      </c>
      <c r="AF330" s="2" t="s">
        <v>70</v>
      </c>
      <c r="AG330" s="2" t="s">
        <v>55</v>
      </c>
      <c r="AK330" s="2" t="s">
        <v>2758</v>
      </c>
      <c r="AM330" s="2" t="s">
        <v>72</v>
      </c>
      <c r="AN330" s="2" t="s">
        <v>232</v>
      </c>
      <c r="AP330" s="2" t="s">
        <v>2699</v>
      </c>
      <c r="AU330" s="2" t="s">
        <v>75</v>
      </c>
      <c r="AV330" s="2" t="s">
        <v>2759</v>
      </c>
      <c r="AW330" s="2" t="s">
        <v>2760</v>
      </c>
      <c r="AZ330" s="2" t="s">
        <v>1256</v>
      </c>
    </row>
    <row r="331" spans="1:52" s="3" customFormat="1" x14ac:dyDescent="0.35">
      <c r="A331" s="2" t="s">
        <v>2744</v>
      </c>
      <c r="B331" s="4">
        <v>248517</v>
      </c>
      <c r="C331" s="2" t="s">
        <v>2745</v>
      </c>
      <c r="D331" s="2">
        <f t="shared" si="5"/>
        <v>4</v>
      </c>
      <c r="F331" s="2" t="s">
        <v>2645</v>
      </c>
      <c r="G331" s="2" t="s">
        <v>53</v>
      </c>
      <c r="H331" s="4">
        <v>1</v>
      </c>
      <c r="I331" s="4">
        <v>1</v>
      </c>
      <c r="J331" s="5">
        <v>60000</v>
      </c>
      <c r="K331" s="2" t="s">
        <v>2726</v>
      </c>
      <c r="L331" s="4">
        <v>0</v>
      </c>
      <c r="N331" s="2" t="s">
        <v>2726</v>
      </c>
      <c r="O331" s="2" t="s">
        <v>2727</v>
      </c>
      <c r="P331" s="2" t="s">
        <v>2746</v>
      </c>
      <c r="Q331" s="2" t="s">
        <v>2782</v>
      </c>
      <c r="R331" s="2" t="s">
        <v>2748</v>
      </c>
      <c r="T331" s="2" t="s">
        <v>2749</v>
      </c>
      <c r="U331" s="2" t="s">
        <v>2750</v>
      </c>
      <c r="V331" s="2" t="s">
        <v>2751</v>
      </c>
      <c r="W331" s="2" t="s">
        <v>2752</v>
      </c>
      <c r="X331" s="2" t="s">
        <v>2752</v>
      </c>
      <c r="Y331" s="2" t="s">
        <v>2753</v>
      </c>
      <c r="Z331" s="2" t="s">
        <v>2754</v>
      </c>
      <c r="AA331" s="2" t="s">
        <v>2755</v>
      </c>
      <c r="AC331" s="2" t="s">
        <v>1044</v>
      </c>
      <c r="AD331" s="2" t="s">
        <v>2756</v>
      </c>
      <c r="AE331" s="2" t="s">
        <v>2757</v>
      </c>
      <c r="AF331" s="2" t="s">
        <v>70</v>
      </c>
      <c r="AG331" s="2" t="s">
        <v>55</v>
      </c>
      <c r="AK331" s="2" t="s">
        <v>2758</v>
      </c>
      <c r="AM331" s="2" t="s">
        <v>72</v>
      </c>
      <c r="AN331" s="2" t="s">
        <v>232</v>
      </c>
      <c r="AP331" s="2" t="s">
        <v>2699</v>
      </c>
      <c r="AU331" s="2" t="s">
        <v>75</v>
      </c>
      <c r="AV331" s="2" t="s">
        <v>2759</v>
      </c>
      <c r="AW331" s="2" t="s">
        <v>2760</v>
      </c>
      <c r="AZ331" s="2" t="s">
        <v>1256</v>
      </c>
    </row>
    <row r="332" spans="1:52" s="3" customFormat="1" x14ac:dyDescent="0.35">
      <c r="A332" s="2" t="s">
        <v>2744</v>
      </c>
      <c r="B332" s="4">
        <v>248517</v>
      </c>
      <c r="C332" s="2" t="s">
        <v>2745</v>
      </c>
      <c r="D332" s="2">
        <f t="shared" si="5"/>
        <v>4</v>
      </c>
      <c r="F332" s="2" t="s">
        <v>2645</v>
      </c>
      <c r="G332" s="2" t="s">
        <v>53</v>
      </c>
      <c r="H332" s="4">
        <v>1</v>
      </c>
      <c r="I332" s="4">
        <v>1</v>
      </c>
      <c r="J332" s="5">
        <v>60000</v>
      </c>
      <c r="K332" s="2" t="s">
        <v>2726</v>
      </c>
      <c r="L332" s="4">
        <v>0</v>
      </c>
      <c r="N332" s="2" t="s">
        <v>2726</v>
      </c>
      <c r="O332" s="2" t="s">
        <v>2727</v>
      </c>
      <c r="P332" s="2" t="s">
        <v>2746</v>
      </c>
      <c r="Q332" s="2" t="s">
        <v>2783</v>
      </c>
      <c r="R332" s="2" t="s">
        <v>2748</v>
      </c>
      <c r="T332" s="2" t="s">
        <v>2749</v>
      </c>
      <c r="U332" s="2" t="s">
        <v>2750</v>
      </c>
      <c r="V332" s="2" t="s">
        <v>2751</v>
      </c>
      <c r="W332" s="2" t="s">
        <v>2752</v>
      </c>
      <c r="X332" s="2" t="s">
        <v>2752</v>
      </c>
      <c r="Y332" s="2" t="s">
        <v>2753</v>
      </c>
      <c r="Z332" s="2" t="s">
        <v>2754</v>
      </c>
      <c r="AA332" s="2" t="s">
        <v>2755</v>
      </c>
      <c r="AC332" s="2" t="s">
        <v>1044</v>
      </c>
      <c r="AD332" s="2" t="s">
        <v>2756</v>
      </c>
      <c r="AE332" s="2" t="s">
        <v>2757</v>
      </c>
      <c r="AF332" s="2" t="s">
        <v>70</v>
      </c>
      <c r="AG332" s="2" t="s">
        <v>55</v>
      </c>
      <c r="AK332" s="2" t="s">
        <v>2758</v>
      </c>
      <c r="AM332" s="2" t="s">
        <v>72</v>
      </c>
      <c r="AN332" s="2" t="s">
        <v>232</v>
      </c>
      <c r="AP332" s="2" t="s">
        <v>2699</v>
      </c>
      <c r="AU332" s="2" t="s">
        <v>75</v>
      </c>
      <c r="AV332" s="2" t="s">
        <v>2759</v>
      </c>
      <c r="AW332" s="2" t="s">
        <v>2760</v>
      </c>
      <c r="AZ332" s="2" t="s">
        <v>1256</v>
      </c>
    </row>
    <row r="333" spans="1:52" s="3" customFormat="1" x14ac:dyDescent="0.35">
      <c r="A333" s="2" t="s">
        <v>2744</v>
      </c>
      <c r="B333" s="4">
        <v>248517</v>
      </c>
      <c r="C333" s="2" t="s">
        <v>2745</v>
      </c>
      <c r="D333" s="2">
        <f t="shared" si="5"/>
        <v>4</v>
      </c>
      <c r="F333" s="2" t="s">
        <v>2645</v>
      </c>
      <c r="G333" s="2" t="s">
        <v>53</v>
      </c>
      <c r="H333" s="4">
        <v>1</v>
      </c>
      <c r="I333" s="4">
        <v>1</v>
      </c>
      <c r="J333" s="5">
        <v>60000</v>
      </c>
      <c r="K333" s="2" t="s">
        <v>2726</v>
      </c>
      <c r="L333" s="4">
        <v>0</v>
      </c>
      <c r="N333" s="2" t="s">
        <v>2726</v>
      </c>
      <c r="O333" s="2" t="s">
        <v>2727</v>
      </c>
      <c r="P333" s="2" t="s">
        <v>2746</v>
      </c>
      <c r="Q333" s="2" t="s">
        <v>2784</v>
      </c>
      <c r="R333" s="2" t="s">
        <v>2748</v>
      </c>
      <c r="T333" s="2" t="s">
        <v>2749</v>
      </c>
      <c r="U333" s="2" t="s">
        <v>2750</v>
      </c>
      <c r="V333" s="2" t="s">
        <v>2751</v>
      </c>
      <c r="W333" s="2" t="s">
        <v>2752</v>
      </c>
      <c r="X333" s="2" t="s">
        <v>2752</v>
      </c>
      <c r="Y333" s="2" t="s">
        <v>2753</v>
      </c>
      <c r="Z333" s="2" t="s">
        <v>2754</v>
      </c>
      <c r="AA333" s="2" t="s">
        <v>2755</v>
      </c>
      <c r="AC333" s="2" t="s">
        <v>1044</v>
      </c>
      <c r="AD333" s="2" t="s">
        <v>2756</v>
      </c>
      <c r="AE333" s="2" t="s">
        <v>2757</v>
      </c>
      <c r="AF333" s="2" t="s">
        <v>70</v>
      </c>
      <c r="AG333" s="2" t="s">
        <v>55</v>
      </c>
      <c r="AK333" s="2" t="s">
        <v>2758</v>
      </c>
      <c r="AM333" s="2" t="s">
        <v>72</v>
      </c>
      <c r="AN333" s="2" t="s">
        <v>232</v>
      </c>
      <c r="AP333" s="2" t="s">
        <v>2699</v>
      </c>
      <c r="AU333" s="2" t="s">
        <v>75</v>
      </c>
      <c r="AV333" s="2" t="s">
        <v>2759</v>
      </c>
      <c r="AW333" s="2" t="s">
        <v>2760</v>
      </c>
      <c r="AZ333" s="2" t="s">
        <v>1256</v>
      </c>
    </row>
    <row r="334" spans="1:52" s="3" customFormat="1" x14ac:dyDescent="0.35">
      <c r="A334" s="2" t="s">
        <v>2744</v>
      </c>
      <c r="B334" s="4">
        <v>248517</v>
      </c>
      <c r="C334" s="2" t="s">
        <v>2745</v>
      </c>
      <c r="D334" s="2">
        <f t="shared" si="5"/>
        <v>4</v>
      </c>
      <c r="F334" s="2" t="s">
        <v>2645</v>
      </c>
      <c r="G334" s="2" t="s">
        <v>53</v>
      </c>
      <c r="H334" s="4">
        <v>1</v>
      </c>
      <c r="I334" s="4">
        <v>1</v>
      </c>
      <c r="J334" s="5">
        <v>30000</v>
      </c>
      <c r="K334" s="2" t="s">
        <v>2726</v>
      </c>
      <c r="L334" s="4">
        <v>0</v>
      </c>
      <c r="N334" s="2" t="s">
        <v>2726</v>
      </c>
      <c r="O334" s="2" t="s">
        <v>2727</v>
      </c>
      <c r="P334" s="2" t="s">
        <v>2746</v>
      </c>
      <c r="Q334" s="2" t="s">
        <v>2785</v>
      </c>
      <c r="R334" s="2" t="s">
        <v>2748</v>
      </c>
      <c r="T334" s="2" t="s">
        <v>2749</v>
      </c>
      <c r="U334" s="2" t="s">
        <v>2750</v>
      </c>
      <c r="V334" s="2" t="s">
        <v>2751</v>
      </c>
      <c r="W334" s="2" t="s">
        <v>2752</v>
      </c>
      <c r="X334" s="2" t="s">
        <v>2752</v>
      </c>
      <c r="Y334" s="2" t="s">
        <v>2753</v>
      </c>
      <c r="Z334" s="2" t="s">
        <v>2754</v>
      </c>
      <c r="AA334" s="2" t="s">
        <v>2755</v>
      </c>
      <c r="AC334" s="2" t="s">
        <v>1044</v>
      </c>
      <c r="AD334" s="2" t="s">
        <v>2756</v>
      </c>
      <c r="AE334" s="2" t="s">
        <v>2757</v>
      </c>
      <c r="AF334" s="2" t="s">
        <v>70</v>
      </c>
      <c r="AG334" s="2" t="s">
        <v>55</v>
      </c>
      <c r="AK334" s="2" t="s">
        <v>2758</v>
      </c>
      <c r="AM334" s="2" t="s">
        <v>72</v>
      </c>
      <c r="AN334" s="2" t="s">
        <v>232</v>
      </c>
      <c r="AP334" s="2" t="s">
        <v>2699</v>
      </c>
      <c r="AU334" s="2" t="s">
        <v>75</v>
      </c>
      <c r="AV334" s="2" t="s">
        <v>2759</v>
      </c>
      <c r="AW334" s="2" t="s">
        <v>2760</v>
      </c>
      <c r="AZ334" s="2" t="s">
        <v>1256</v>
      </c>
    </row>
    <row r="335" spans="1:52" s="3" customFormat="1" x14ac:dyDescent="0.35">
      <c r="A335" s="2" t="s">
        <v>2744</v>
      </c>
      <c r="B335" s="4">
        <v>248517</v>
      </c>
      <c r="C335" s="2" t="s">
        <v>2745</v>
      </c>
      <c r="D335" s="2">
        <f t="shared" si="5"/>
        <v>4</v>
      </c>
      <c r="F335" s="2" t="s">
        <v>2645</v>
      </c>
      <c r="G335" s="2" t="s">
        <v>53</v>
      </c>
      <c r="H335" s="4">
        <v>1</v>
      </c>
      <c r="I335" s="4">
        <v>1</v>
      </c>
      <c r="J335" s="5">
        <v>30000</v>
      </c>
      <c r="K335" s="2" t="s">
        <v>2726</v>
      </c>
      <c r="L335" s="4">
        <v>0</v>
      </c>
      <c r="N335" s="2" t="s">
        <v>2726</v>
      </c>
      <c r="O335" s="2" t="s">
        <v>2727</v>
      </c>
      <c r="P335" s="2" t="s">
        <v>2746</v>
      </c>
      <c r="Q335" s="2" t="s">
        <v>2786</v>
      </c>
      <c r="R335" s="2" t="s">
        <v>2748</v>
      </c>
      <c r="T335" s="2" t="s">
        <v>2749</v>
      </c>
      <c r="U335" s="2" t="s">
        <v>2750</v>
      </c>
      <c r="V335" s="2" t="s">
        <v>2751</v>
      </c>
      <c r="W335" s="2" t="s">
        <v>2752</v>
      </c>
      <c r="X335" s="2" t="s">
        <v>2752</v>
      </c>
      <c r="Y335" s="2" t="s">
        <v>2753</v>
      </c>
      <c r="Z335" s="2" t="s">
        <v>2754</v>
      </c>
      <c r="AA335" s="2" t="s">
        <v>2755</v>
      </c>
      <c r="AC335" s="2" t="s">
        <v>1044</v>
      </c>
      <c r="AD335" s="2" t="s">
        <v>2756</v>
      </c>
      <c r="AE335" s="2" t="s">
        <v>2757</v>
      </c>
      <c r="AF335" s="2" t="s">
        <v>70</v>
      </c>
      <c r="AG335" s="2" t="s">
        <v>55</v>
      </c>
      <c r="AK335" s="2" t="s">
        <v>2758</v>
      </c>
      <c r="AM335" s="2" t="s">
        <v>72</v>
      </c>
      <c r="AN335" s="2" t="s">
        <v>232</v>
      </c>
      <c r="AP335" s="2" t="s">
        <v>2699</v>
      </c>
      <c r="AU335" s="2" t="s">
        <v>75</v>
      </c>
      <c r="AV335" s="2" t="s">
        <v>2759</v>
      </c>
      <c r="AW335" s="2" t="s">
        <v>2760</v>
      </c>
      <c r="AZ335" s="2" t="s">
        <v>1256</v>
      </c>
    </row>
    <row r="336" spans="1:52" s="3" customFormat="1" x14ac:dyDescent="0.35">
      <c r="A336" s="2" t="s">
        <v>2744</v>
      </c>
      <c r="B336" s="4">
        <v>248517</v>
      </c>
      <c r="C336" s="2" t="s">
        <v>2745</v>
      </c>
      <c r="D336" s="2">
        <f t="shared" si="5"/>
        <v>4</v>
      </c>
      <c r="F336" s="2" t="s">
        <v>2645</v>
      </c>
      <c r="G336" s="2" t="s">
        <v>53</v>
      </c>
      <c r="H336" s="4">
        <v>1</v>
      </c>
      <c r="I336" s="4">
        <v>1</v>
      </c>
      <c r="J336" s="5">
        <v>30000</v>
      </c>
      <c r="K336" s="2" t="s">
        <v>2726</v>
      </c>
      <c r="L336" s="4">
        <v>0</v>
      </c>
      <c r="N336" s="2" t="s">
        <v>2726</v>
      </c>
      <c r="O336" s="2" t="s">
        <v>2727</v>
      </c>
      <c r="P336" s="2" t="s">
        <v>2746</v>
      </c>
      <c r="Q336" s="2" t="s">
        <v>2787</v>
      </c>
      <c r="R336" s="2" t="s">
        <v>2748</v>
      </c>
      <c r="T336" s="2" t="s">
        <v>2749</v>
      </c>
      <c r="U336" s="2" t="s">
        <v>2750</v>
      </c>
      <c r="V336" s="2" t="s">
        <v>2751</v>
      </c>
      <c r="W336" s="2" t="s">
        <v>2752</v>
      </c>
      <c r="X336" s="2" t="s">
        <v>2752</v>
      </c>
      <c r="Y336" s="2" t="s">
        <v>2753</v>
      </c>
      <c r="Z336" s="2" t="s">
        <v>2754</v>
      </c>
      <c r="AA336" s="2" t="s">
        <v>2755</v>
      </c>
      <c r="AC336" s="2" t="s">
        <v>1044</v>
      </c>
      <c r="AD336" s="2" t="s">
        <v>2756</v>
      </c>
      <c r="AE336" s="2" t="s">
        <v>2757</v>
      </c>
      <c r="AF336" s="2" t="s">
        <v>70</v>
      </c>
      <c r="AG336" s="2" t="s">
        <v>55</v>
      </c>
      <c r="AK336" s="2" t="s">
        <v>2758</v>
      </c>
      <c r="AM336" s="2" t="s">
        <v>72</v>
      </c>
      <c r="AN336" s="2" t="s">
        <v>232</v>
      </c>
      <c r="AP336" s="2" t="s">
        <v>2699</v>
      </c>
      <c r="AU336" s="2" t="s">
        <v>75</v>
      </c>
      <c r="AV336" s="2" t="s">
        <v>2759</v>
      </c>
      <c r="AW336" s="2" t="s">
        <v>2760</v>
      </c>
      <c r="AZ336" s="2" t="s">
        <v>1256</v>
      </c>
    </row>
    <row r="337" spans="1:52" s="3" customFormat="1" x14ac:dyDescent="0.35">
      <c r="A337" s="2" t="s">
        <v>2744</v>
      </c>
      <c r="B337" s="4">
        <v>248517</v>
      </c>
      <c r="C337" s="2" t="s">
        <v>2745</v>
      </c>
      <c r="D337" s="2">
        <f t="shared" si="5"/>
        <v>4</v>
      </c>
      <c r="F337" s="2" t="s">
        <v>2645</v>
      </c>
      <c r="G337" s="2" t="s">
        <v>53</v>
      </c>
      <c r="H337" s="4">
        <v>1</v>
      </c>
      <c r="I337" s="4">
        <v>1</v>
      </c>
      <c r="J337" s="5">
        <v>30000</v>
      </c>
      <c r="K337" s="2" t="s">
        <v>2726</v>
      </c>
      <c r="L337" s="4">
        <v>0</v>
      </c>
      <c r="N337" s="2" t="s">
        <v>2726</v>
      </c>
      <c r="O337" s="2" t="s">
        <v>2727</v>
      </c>
      <c r="P337" s="2" t="s">
        <v>2746</v>
      </c>
      <c r="Q337" s="2" t="s">
        <v>2788</v>
      </c>
      <c r="R337" s="2" t="s">
        <v>2748</v>
      </c>
      <c r="T337" s="2" t="s">
        <v>2749</v>
      </c>
      <c r="U337" s="2" t="s">
        <v>2750</v>
      </c>
      <c r="V337" s="2" t="s">
        <v>2751</v>
      </c>
      <c r="W337" s="2" t="s">
        <v>2752</v>
      </c>
      <c r="X337" s="2" t="s">
        <v>2752</v>
      </c>
      <c r="Y337" s="2" t="s">
        <v>2753</v>
      </c>
      <c r="Z337" s="2" t="s">
        <v>2754</v>
      </c>
      <c r="AA337" s="2" t="s">
        <v>2755</v>
      </c>
      <c r="AC337" s="2" t="s">
        <v>1044</v>
      </c>
      <c r="AD337" s="2" t="s">
        <v>2756</v>
      </c>
      <c r="AE337" s="2" t="s">
        <v>2757</v>
      </c>
      <c r="AF337" s="2" t="s">
        <v>70</v>
      </c>
      <c r="AG337" s="2" t="s">
        <v>55</v>
      </c>
      <c r="AK337" s="2" t="s">
        <v>2758</v>
      </c>
      <c r="AM337" s="2" t="s">
        <v>72</v>
      </c>
      <c r="AN337" s="2" t="s">
        <v>232</v>
      </c>
      <c r="AP337" s="2" t="s">
        <v>2699</v>
      </c>
      <c r="AU337" s="2" t="s">
        <v>75</v>
      </c>
      <c r="AV337" s="2" t="s">
        <v>2759</v>
      </c>
      <c r="AW337" s="2" t="s">
        <v>2760</v>
      </c>
      <c r="AZ337" s="2" t="s">
        <v>1256</v>
      </c>
    </row>
    <row r="338" spans="1:52" s="3" customFormat="1" x14ac:dyDescent="0.35">
      <c r="A338" s="2" t="s">
        <v>2744</v>
      </c>
      <c r="B338" s="4">
        <v>248517</v>
      </c>
      <c r="C338" s="2" t="s">
        <v>2745</v>
      </c>
      <c r="D338" s="2">
        <f t="shared" si="5"/>
        <v>4</v>
      </c>
      <c r="F338" s="2" t="s">
        <v>2645</v>
      </c>
      <c r="G338" s="2" t="s">
        <v>53</v>
      </c>
      <c r="H338" s="4">
        <v>1</v>
      </c>
      <c r="I338" s="4">
        <v>1</v>
      </c>
      <c r="J338" s="5">
        <v>30000</v>
      </c>
      <c r="K338" s="2" t="s">
        <v>2726</v>
      </c>
      <c r="L338" s="4">
        <v>0</v>
      </c>
      <c r="N338" s="2" t="s">
        <v>2726</v>
      </c>
      <c r="O338" s="2" t="s">
        <v>2727</v>
      </c>
      <c r="P338" s="2" t="s">
        <v>2746</v>
      </c>
      <c r="Q338" s="2" t="s">
        <v>2789</v>
      </c>
      <c r="R338" s="2" t="s">
        <v>2748</v>
      </c>
      <c r="T338" s="2" t="s">
        <v>2749</v>
      </c>
      <c r="U338" s="2" t="s">
        <v>2750</v>
      </c>
      <c r="V338" s="2" t="s">
        <v>2751</v>
      </c>
      <c r="W338" s="2" t="s">
        <v>2752</v>
      </c>
      <c r="X338" s="2" t="s">
        <v>2752</v>
      </c>
      <c r="Y338" s="2" t="s">
        <v>2753</v>
      </c>
      <c r="Z338" s="2" t="s">
        <v>2754</v>
      </c>
      <c r="AA338" s="2" t="s">
        <v>2755</v>
      </c>
      <c r="AC338" s="2" t="s">
        <v>1044</v>
      </c>
      <c r="AD338" s="2" t="s">
        <v>2756</v>
      </c>
      <c r="AE338" s="2" t="s">
        <v>2757</v>
      </c>
      <c r="AF338" s="2" t="s">
        <v>70</v>
      </c>
      <c r="AG338" s="2" t="s">
        <v>55</v>
      </c>
      <c r="AK338" s="2" t="s">
        <v>2758</v>
      </c>
      <c r="AM338" s="2" t="s">
        <v>72</v>
      </c>
      <c r="AN338" s="2" t="s">
        <v>232</v>
      </c>
      <c r="AP338" s="2" t="s">
        <v>2699</v>
      </c>
      <c r="AU338" s="2" t="s">
        <v>75</v>
      </c>
      <c r="AV338" s="2" t="s">
        <v>2759</v>
      </c>
      <c r="AW338" s="2" t="s">
        <v>2760</v>
      </c>
      <c r="AZ338" s="2" t="s">
        <v>1256</v>
      </c>
    </row>
    <row r="339" spans="1:52" s="3" customFormat="1" x14ac:dyDescent="0.35">
      <c r="A339" s="2" t="s">
        <v>2744</v>
      </c>
      <c r="B339" s="4">
        <v>248517</v>
      </c>
      <c r="C339" s="2" t="s">
        <v>2745</v>
      </c>
      <c r="D339" s="2">
        <f t="shared" si="5"/>
        <v>4</v>
      </c>
      <c r="F339" s="2" t="s">
        <v>2645</v>
      </c>
      <c r="G339" s="2" t="s">
        <v>53</v>
      </c>
      <c r="H339" s="4">
        <v>1</v>
      </c>
      <c r="I339" s="4">
        <v>1</v>
      </c>
      <c r="J339" s="5">
        <v>30000</v>
      </c>
      <c r="K339" s="2" t="s">
        <v>2726</v>
      </c>
      <c r="L339" s="4">
        <v>0</v>
      </c>
      <c r="N339" s="2" t="s">
        <v>2726</v>
      </c>
      <c r="O339" s="2" t="s">
        <v>2727</v>
      </c>
      <c r="P339" s="2" t="s">
        <v>2746</v>
      </c>
      <c r="Q339" s="2" t="s">
        <v>2790</v>
      </c>
      <c r="R339" s="2" t="s">
        <v>2748</v>
      </c>
      <c r="T339" s="2" t="s">
        <v>2749</v>
      </c>
      <c r="U339" s="2" t="s">
        <v>2750</v>
      </c>
      <c r="V339" s="2" t="s">
        <v>2751</v>
      </c>
      <c r="W339" s="2" t="s">
        <v>2752</v>
      </c>
      <c r="X339" s="2" t="s">
        <v>2752</v>
      </c>
      <c r="Y339" s="2" t="s">
        <v>2753</v>
      </c>
      <c r="Z339" s="2" t="s">
        <v>2754</v>
      </c>
      <c r="AA339" s="2" t="s">
        <v>2755</v>
      </c>
      <c r="AC339" s="2" t="s">
        <v>1044</v>
      </c>
      <c r="AD339" s="2" t="s">
        <v>2756</v>
      </c>
      <c r="AE339" s="2" t="s">
        <v>2757</v>
      </c>
      <c r="AF339" s="2" t="s">
        <v>70</v>
      </c>
      <c r="AG339" s="2" t="s">
        <v>55</v>
      </c>
      <c r="AK339" s="2" t="s">
        <v>2758</v>
      </c>
      <c r="AM339" s="2" t="s">
        <v>72</v>
      </c>
      <c r="AN339" s="2" t="s">
        <v>232</v>
      </c>
      <c r="AP339" s="2" t="s">
        <v>2699</v>
      </c>
      <c r="AU339" s="2" t="s">
        <v>75</v>
      </c>
      <c r="AV339" s="2" t="s">
        <v>2759</v>
      </c>
      <c r="AW339" s="2" t="s">
        <v>2760</v>
      </c>
      <c r="AZ339" s="2" t="s">
        <v>1256</v>
      </c>
    </row>
    <row r="340" spans="1:52" s="3" customFormat="1" x14ac:dyDescent="0.35">
      <c r="A340" s="2" t="s">
        <v>2744</v>
      </c>
      <c r="B340" s="4">
        <v>248517</v>
      </c>
      <c r="C340" s="2" t="s">
        <v>2745</v>
      </c>
      <c r="D340" s="2">
        <f t="shared" si="5"/>
        <v>4</v>
      </c>
      <c r="F340" s="2" t="s">
        <v>2645</v>
      </c>
      <c r="G340" s="2" t="s">
        <v>53</v>
      </c>
      <c r="H340" s="4">
        <v>1</v>
      </c>
      <c r="I340" s="4">
        <v>1</v>
      </c>
      <c r="J340" s="5">
        <v>30000</v>
      </c>
      <c r="K340" s="2" t="s">
        <v>2726</v>
      </c>
      <c r="L340" s="4">
        <v>0</v>
      </c>
      <c r="N340" s="2" t="s">
        <v>2726</v>
      </c>
      <c r="O340" s="2" t="s">
        <v>2727</v>
      </c>
      <c r="P340" s="2" t="s">
        <v>2746</v>
      </c>
      <c r="Q340" s="2" t="s">
        <v>2791</v>
      </c>
      <c r="R340" s="2" t="s">
        <v>2748</v>
      </c>
      <c r="T340" s="2" t="s">
        <v>2749</v>
      </c>
      <c r="U340" s="2" t="s">
        <v>2750</v>
      </c>
      <c r="V340" s="2" t="s">
        <v>2751</v>
      </c>
      <c r="W340" s="2" t="s">
        <v>2752</v>
      </c>
      <c r="X340" s="2" t="s">
        <v>2752</v>
      </c>
      <c r="Y340" s="2" t="s">
        <v>2753</v>
      </c>
      <c r="Z340" s="2" t="s">
        <v>2754</v>
      </c>
      <c r="AA340" s="2" t="s">
        <v>2755</v>
      </c>
      <c r="AC340" s="2" t="s">
        <v>1044</v>
      </c>
      <c r="AD340" s="2" t="s">
        <v>2756</v>
      </c>
      <c r="AE340" s="2" t="s">
        <v>2757</v>
      </c>
      <c r="AF340" s="2" t="s">
        <v>70</v>
      </c>
      <c r="AG340" s="2" t="s">
        <v>55</v>
      </c>
      <c r="AK340" s="2" t="s">
        <v>2758</v>
      </c>
      <c r="AM340" s="2" t="s">
        <v>72</v>
      </c>
      <c r="AN340" s="2" t="s">
        <v>232</v>
      </c>
      <c r="AP340" s="2" t="s">
        <v>2699</v>
      </c>
      <c r="AU340" s="2" t="s">
        <v>75</v>
      </c>
      <c r="AV340" s="2" t="s">
        <v>2759</v>
      </c>
      <c r="AW340" s="2" t="s">
        <v>2760</v>
      </c>
      <c r="AZ340" s="2" t="s">
        <v>1256</v>
      </c>
    </row>
    <row r="341" spans="1:52" s="3" customFormat="1" x14ac:dyDescent="0.35">
      <c r="A341" s="2" t="s">
        <v>2744</v>
      </c>
      <c r="B341" s="4">
        <v>248517</v>
      </c>
      <c r="C341" s="2" t="s">
        <v>2745</v>
      </c>
      <c r="D341" s="2">
        <f t="shared" si="5"/>
        <v>4</v>
      </c>
      <c r="F341" s="2" t="s">
        <v>2645</v>
      </c>
      <c r="G341" s="2" t="s">
        <v>53</v>
      </c>
      <c r="H341" s="4">
        <v>1</v>
      </c>
      <c r="I341" s="4">
        <v>1</v>
      </c>
      <c r="J341" s="4">
        <v>0</v>
      </c>
      <c r="K341" s="2" t="s">
        <v>2726</v>
      </c>
      <c r="L341" s="4">
        <v>0</v>
      </c>
      <c r="N341" s="2" t="s">
        <v>2726</v>
      </c>
      <c r="O341" s="2" t="s">
        <v>2727</v>
      </c>
      <c r="P341" s="2" t="s">
        <v>2746</v>
      </c>
      <c r="Q341" s="2" t="s">
        <v>2792</v>
      </c>
      <c r="R341" s="2" t="s">
        <v>2748</v>
      </c>
      <c r="T341" s="2" t="s">
        <v>2749</v>
      </c>
      <c r="U341" s="2" t="s">
        <v>2750</v>
      </c>
      <c r="V341" s="2" t="s">
        <v>2751</v>
      </c>
      <c r="W341" s="2" t="s">
        <v>2752</v>
      </c>
      <c r="X341" s="2" t="s">
        <v>2752</v>
      </c>
      <c r="Y341" s="2" t="s">
        <v>2753</v>
      </c>
      <c r="Z341" s="2" t="s">
        <v>2754</v>
      </c>
      <c r="AA341" s="2" t="s">
        <v>2755</v>
      </c>
      <c r="AC341" s="2" t="s">
        <v>1044</v>
      </c>
      <c r="AD341" s="2" t="s">
        <v>2756</v>
      </c>
      <c r="AE341" s="2" t="s">
        <v>2757</v>
      </c>
      <c r="AF341" s="2" t="s">
        <v>70</v>
      </c>
      <c r="AG341" s="2" t="s">
        <v>55</v>
      </c>
      <c r="AK341" s="2" t="s">
        <v>2758</v>
      </c>
      <c r="AM341" s="2" t="s">
        <v>72</v>
      </c>
      <c r="AN341" s="2" t="s">
        <v>232</v>
      </c>
      <c r="AP341" s="2" t="s">
        <v>2705</v>
      </c>
      <c r="AU341" s="2" t="s">
        <v>75</v>
      </c>
      <c r="AV341" s="2" t="s">
        <v>2759</v>
      </c>
      <c r="AW341" s="2" t="s">
        <v>2760</v>
      </c>
      <c r="AZ341" s="2" t="s">
        <v>1256</v>
      </c>
    </row>
    <row r="342" spans="1:52" s="3" customFormat="1" x14ac:dyDescent="0.35">
      <c r="A342" s="2" t="s">
        <v>2793</v>
      </c>
      <c r="B342" s="4">
        <v>248515</v>
      </c>
      <c r="C342" s="2" t="s">
        <v>2794</v>
      </c>
      <c r="D342" s="2">
        <f t="shared" si="5"/>
        <v>4</v>
      </c>
      <c r="F342" s="2" t="s">
        <v>2645</v>
      </c>
      <c r="G342" s="2" t="s">
        <v>53</v>
      </c>
      <c r="H342" s="4">
        <v>1</v>
      </c>
      <c r="I342" s="4">
        <v>1</v>
      </c>
      <c r="J342" s="5">
        <v>150000</v>
      </c>
      <c r="L342" s="5">
        <v>516175</v>
      </c>
      <c r="M342" s="2" t="s">
        <v>55</v>
      </c>
      <c r="N342" s="2" t="s">
        <v>458</v>
      </c>
      <c r="O342" s="2" t="s">
        <v>459</v>
      </c>
      <c r="P342" s="2" t="s">
        <v>2795</v>
      </c>
      <c r="Q342" s="2" t="s">
        <v>2796</v>
      </c>
      <c r="R342" s="2" t="s">
        <v>2797</v>
      </c>
      <c r="T342" s="2" t="s">
        <v>463</v>
      </c>
      <c r="U342" s="2" t="s">
        <v>464</v>
      </c>
      <c r="V342" s="2" t="s">
        <v>2798</v>
      </c>
      <c r="W342" s="2" t="s">
        <v>2799</v>
      </c>
      <c r="X342" s="2" t="s">
        <v>2800</v>
      </c>
      <c r="Y342" s="2" t="s">
        <v>467</v>
      </c>
      <c r="Z342" s="2" t="s">
        <v>468</v>
      </c>
      <c r="AA342" s="2" t="s">
        <v>469</v>
      </c>
      <c r="AC342" s="2" t="s">
        <v>470</v>
      </c>
      <c r="AD342" s="2" t="s">
        <v>68</v>
      </c>
      <c r="AE342" s="2" t="s">
        <v>69</v>
      </c>
      <c r="AF342" s="2" t="s">
        <v>70</v>
      </c>
      <c r="AG342" s="2" t="s">
        <v>2801</v>
      </c>
      <c r="AK342" s="2" t="s">
        <v>2802</v>
      </c>
      <c r="AM342" s="2" t="s">
        <v>72</v>
      </c>
      <c r="AN342" s="2" t="s">
        <v>473</v>
      </c>
      <c r="AP342" s="2" t="s">
        <v>2705</v>
      </c>
      <c r="AU342" s="2" t="s">
        <v>75</v>
      </c>
      <c r="AV342" s="2" t="s">
        <v>475</v>
      </c>
      <c r="AW342" s="2" t="s">
        <v>476</v>
      </c>
      <c r="AX342" s="2" t="s">
        <v>477</v>
      </c>
      <c r="AZ342" s="2" t="s">
        <v>478</v>
      </c>
    </row>
    <row r="343" spans="1:52" s="3" customFormat="1" x14ac:dyDescent="0.35">
      <c r="A343" s="2" t="s">
        <v>2793</v>
      </c>
      <c r="B343" s="4">
        <v>248515</v>
      </c>
      <c r="C343" s="2" t="s">
        <v>2794</v>
      </c>
      <c r="D343" s="2">
        <f t="shared" si="5"/>
        <v>4</v>
      </c>
      <c r="F343" s="2" t="s">
        <v>2645</v>
      </c>
      <c r="G343" s="2" t="s">
        <v>53</v>
      </c>
      <c r="H343" s="4">
        <v>1</v>
      </c>
      <c r="I343" s="4">
        <v>1</v>
      </c>
      <c r="J343" s="5">
        <v>150000</v>
      </c>
      <c r="L343" s="5">
        <v>516175</v>
      </c>
      <c r="M343" s="2" t="s">
        <v>55</v>
      </c>
      <c r="N343" s="2" t="s">
        <v>458</v>
      </c>
      <c r="O343" s="2" t="s">
        <v>459</v>
      </c>
      <c r="P343" s="2" t="s">
        <v>2803</v>
      </c>
      <c r="Q343" s="2" t="s">
        <v>2804</v>
      </c>
      <c r="R343" s="2" t="s">
        <v>2797</v>
      </c>
      <c r="T343" s="2" t="s">
        <v>463</v>
      </c>
      <c r="U343" s="2" t="s">
        <v>464</v>
      </c>
      <c r="V343" s="2" t="s">
        <v>2798</v>
      </c>
      <c r="W343" s="2" t="s">
        <v>2799</v>
      </c>
      <c r="X343" s="2" t="s">
        <v>2800</v>
      </c>
      <c r="Y343" s="2" t="s">
        <v>467</v>
      </c>
      <c r="Z343" s="2" t="s">
        <v>468</v>
      </c>
      <c r="AA343" s="2" t="s">
        <v>469</v>
      </c>
      <c r="AC343" s="2" t="s">
        <v>470</v>
      </c>
      <c r="AD343" s="2" t="s">
        <v>68</v>
      </c>
      <c r="AE343" s="2" t="s">
        <v>69</v>
      </c>
      <c r="AF343" s="2" t="s">
        <v>70</v>
      </c>
      <c r="AG343" s="2" t="s">
        <v>2801</v>
      </c>
      <c r="AK343" s="2" t="s">
        <v>2802</v>
      </c>
      <c r="AM343" s="2" t="s">
        <v>72</v>
      </c>
      <c r="AN343" s="2" t="s">
        <v>473</v>
      </c>
      <c r="AP343" s="2" t="s">
        <v>2705</v>
      </c>
      <c r="AU343" s="2" t="s">
        <v>75</v>
      </c>
      <c r="AV343" s="2" t="s">
        <v>475</v>
      </c>
      <c r="AW343" s="2" t="s">
        <v>476</v>
      </c>
      <c r="AX343" s="2" t="s">
        <v>477</v>
      </c>
      <c r="AZ343" s="2" t="s">
        <v>478</v>
      </c>
    </row>
    <row r="344" spans="1:52" s="3" customFormat="1" x14ac:dyDescent="0.35">
      <c r="A344" s="2" t="s">
        <v>2793</v>
      </c>
      <c r="B344" s="4">
        <v>248515</v>
      </c>
      <c r="C344" s="2" t="s">
        <v>2794</v>
      </c>
      <c r="D344" s="2">
        <f t="shared" si="5"/>
        <v>4</v>
      </c>
      <c r="F344" s="2" t="s">
        <v>2645</v>
      </c>
      <c r="G344" s="2" t="s">
        <v>53</v>
      </c>
      <c r="H344" s="4">
        <v>1</v>
      </c>
      <c r="I344" s="4">
        <v>1</v>
      </c>
      <c r="J344" s="5">
        <v>125000</v>
      </c>
      <c r="L344" s="5">
        <v>516175</v>
      </c>
      <c r="M344" s="2" t="s">
        <v>55</v>
      </c>
      <c r="N344" s="2" t="s">
        <v>458</v>
      </c>
      <c r="O344" s="2" t="s">
        <v>459</v>
      </c>
      <c r="P344" s="2" t="s">
        <v>2805</v>
      </c>
      <c r="Q344" s="2" t="s">
        <v>2806</v>
      </c>
      <c r="R344" s="2" t="s">
        <v>2797</v>
      </c>
      <c r="T344" s="2" t="s">
        <v>463</v>
      </c>
      <c r="U344" s="2" t="s">
        <v>464</v>
      </c>
      <c r="V344" s="2" t="s">
        <v>2798</v>
      </c>
      <c r="W344" s="2" t="s">
        <v>2799</v>
      </c>
      <c r="X344" s="2" t="s">
        <v>2800</v>
      </c>
      <c r="Y344" s="2" t="s">
        <v>467</v>
      </c>
      <c r="Z344" s="2" t="s">
        <v>468</v>
      </c>
      <c r="AA344" s="2" t="s">
        <v>469</v>
      </c>
      <c r="AC344" s="2" t="s">
        <v>470</v>
      </c>
      <c r="AD344" s="2" t="s">
        <v>68</v>
      </c>
      <c r="AE344" s="2" t="s">
        <v>69</v>
      </c>
      <c r="AF344" s="2" t="s">
        <v>70</v>
      </c>
      <c r="AG344" s="2" t="s">
        <v>2801</v>
      </c>
      <c r="AK344" s="2" t="s">
        <v>2802</v>
      </c>
      <c r="AM344" s="2" t="s">
        <v>72</v>
      </c>
      <c r="AN344" s="2" t="s">
        <v>473</v>
      </c>
      <c r="AP344" s="2" t="s">
        <v>2705</v>
      </c>
      <c r="AU344" s="2" t="s">
        <v>75</v>
      </c>
      <c r="AV344" s="2" t="s">
        <v>475</v>
      </c>
      <c r="AW344" s="2" t="s">
        <v>476</v>
      </c>
      <c r="AX344" s="2" t="s">
        <v>477</v>
      </c>
      <c r="AZ344" s="2" t="s">
        <v>478</v>
      </c>
    </row>
    <row r="345" spans="1:52" s="3" customFormat="1" x14ac:dyDescent="0.35">
      <c r="A345" s="2" t="s">
        <v>2793</v>
      </c>
      <c r="B345" s="4">
        <v>248515</v>
      </c>
      <c r="C345" s="2" t="s">
        <v>2794</v>
      </c>
      <c r="D345" s="2">
        <f t="shared" si="5"/>
        <v>4</v>
      </c>
      <c r="F345" s="2" t="s">
        <v>2645</v>
      </c>
      <c r="G345" s="2" t="s">
        <v>53</v>
      </c>
      <c r="H345" s="4">
        <v>1</v>
      </c>
      <c r="I345" s="4">
        <v>1</v>
      </c>
      <c r="J345" s="5">
        <v>125000</v>
      </c>
      <c r="L345" s="5">
        <v>516175</v>
      </c>
      <c r="M345" s="2" t="s">
        <v>55</v>
      </c>
      <c r="N345" s="2" t="s">
        <v>458</v>
      </c>
      <c r="O345" s="2" t="s">
        <v>459</v>
      </c>
      <c r="P345" s="2" t="s">
        <v>2807</v>
      </c>
      <c r="Q345" s="2" t="s">
        <v>2808</v>
      </c>
      <c r="R345" s="2" t="s">
        <v>2797</v>
      </c>
      <c r="T345" s="2" t="s">
        <v>463</v>
      </c>
      <c r="U345" s="2" t="s">
        <v>464</v>
      </c>
      <c r="V345" s="2" t="s">
        <v>2798</v>
      </c>
      <c r="W345" s="2" t="s">
        <v>2799</v>
      </c>
      <c r="X345" s="2" t="s">
        <v>2800</v>
      </c>
      <c r="Y345" s="2" t="s">
        <v>467</v>
      </c>
      <c r="Z345" s="2" t="s">
        <v>468</v>
      </c>
      <c r="AA345" s="2" t="s">
        <v>469</v>
      </c>
      <c r="AC345" s="2" t="s">
        <v>470</v>
      </c>
      <c r="AD345" s="2" t="s">
        <v>68</v>
      </c>
      <c r="AE345" s="2" t="s">
        <v>69</v>
      </c>
      <c r="AF345" s="2" t="s">
        <v>70</v>
      </c>
      <c r="AG345" s="2" t="s">
        <v>2801</v>
      </c>
      <c r="AK345" s="2" t="s">
        <v>2802</v>
      </c>
      <c r="AM345" s="2" t="s">
        <v>72</v>
      </c>
      <c r="AN345" s="2" t="s">
        <v>473</v>
      </c>
      <c r="AP345" s="2" t="s">
        <v>2705</v>
      </c>
      <c r="AU345" s="2" t="s">
        <v>75</v>
      </c>
      <c r="AV345" s="2" t="s">
        <v>475</v>
      </c>
      <c r="AW345" s="2" t="s">
        <v>476</v>
      </c>
      <c r="AX345" s="2" t="s">
        <v>477</v>
      </c>
      <c r="AZ345" s="2" t="s">
        <v>478</v>
      </c>
    </row>
    <row r="346" spans="1:52" s="3" customFormat="1" x14ac:dyDescent="0.35">
      <c r="A346" s="2" t="s">
        <v>2809</v>
      </c>
      <c r="B346" s="4">
        <v>248494</v>
      </c>
      <c r="C346" s="2" t="s">
        <v>2810</v>
      </c>
      <c r="D346" s="2">
        <f t="shared" si="5"/>
        <v>4</v>
      </c>
      <c r="F346" s="2" t="s">
        <v>2645</v>
      </c>
      <c r="G346" s="2" t="s">
        <v>53</v>
      </c>
      <c r="H346" s="4">
        <v>15</v>
      </c>
      <c r="I346" s="4">
        <v>1</v>
      </c>
      <c r="J346" s="5">
        <v>525000</v>
      </c>
      <c r="L346" s="5">
        <v>525000</v>
      </c>
      <c r="M346" s="2" t="s">
        <v>55</v>
      </c>
      <c r="N346" s="2" t="s">
        <v>458</v>
      </c>
      <c r="O346" s="2" t="s">
        <v>459</v>
      </c>
      <c r="P346" s="2" t="s">
        <v>84</v>
      </c>
      <c r="Q346" s="2" t="s">
        <v>85</v>
      </c>
      <c r="R346" s="2" t="s">
        <v>2812</v>
      </c>
      <c r="T346" s="2" t="s">
        <v>2813</v>
      </c>
      <c r="U346" s="2" t="s">
        <v>2814</v>
      </c>
      <c r="V346" s="2" t="s">
        <v>2815</v>
      </c>
      <c r="W346" s="2" t="s">
        <v>2816</v>
      </c>
      <c r="X346" s="2" t="s">
        <v>2817</v>
      </c>
      <c r="Y346" s="2" t="s">
        <v>2818</v>
      </c>
      <c r="Z346" s="2" t="s">
        <v>2819</v>
      </c>
      <c r="AA346" s="2" t="s">
        <v>2820</v>
      </c>
      <c r="AB346" s="2" t="s">
        <v>2821</v>
      </c>
      <c r="AC346" s="2" t="s">
        <v>2822</v>
      </c>
      <c r="AD346" s="2" t="s">
        <v>68</v>
      </c>
      <c r="AE346" s="2" t="s">
        <v>69</v>
      </c>
      <c r="AF346" s="2" t="s">
        <v>97</v>
      </c>
      <c r="AG346" s="2" t="s">
        <v>2823</v>
      </c>
      <c r="AK346" s="2" t="s">
        <v>2824</v>
      </c>
      <c r="AM346" s="2" t="s">
        <v>72</v>
      </c>
      <c r="AN346" s="2" t="s">
        <v>595</v>
      </c>
      <c r="AP346" s="2" t="s">
        <v>101</v>
      </c>
      <c r="AS346" s="2" t="s">
        <v>2825</v>
      </c>
      <c r="AT346" s="2" t="s">
        <v>102</v>
      </c>
      <c r="AU346" s="2" t="s">
        <v>75</v>
      </c>
      <c r="AV346" s="2" t="s">
        <v>2826</v>
      </c>
      <c r="AW346" s="2" t="s">
        <v>2827</v>
      </c>
      <c r="AX346" s="2" t="s">
        <v>477</v>
      </c>
      <c r="AZ346" s="2" t="s">
        <v>478</v>
      </c>
    </row>
    <row r="347" spans="1:52" s="3" customFormat="1" x14ac:dyDescent="0.35">
      <c r="A347" s="2" t="s">
        <v>2828</v>
      </c>
      <c r="B347" s="4">
        <v>248492</v>
      </c>
      <c r="C347" s="2" t="s">
        <v>2829</v>
      </c>
      <c r="D347" s="2">
        <f t="shared" si="5"/>
        <v>4</v>
      </c>
      <c r="F347" s="2" t="s">
        <v>2645</v>
      </c>
      <c r="G347" s="2" t="s">
        <v>53</v>
      </c>
      <c r="H347" s="4">
        <v>1</v>
      </c>
      <c r="I347" s="4">
        <v>1</v>
      </c>
      <c r="J347" s="5">
        <v>140000</v>
      </c>
      <c r="L347" s="5">
        <v>131390</v>
      </c>
      <c r="M347" s="2" t="s">
        <v>55</v>
      </c>
      <c r="N347" s="2" t="s">
        <v>458</v>
      </c>
      <c r="O347" s="2" t="s">
        <v>459</v>
      </c>
      <c r="P347" s="2" t="s">
        <v>2830</v>
      </c>
      <c r="Q347" s="2" t="s">
        <v>2831</v>
      </c>
      <c r="R347" s="2" t="s">
        <v>2832</v>
      </c>
      <c r="T347" s="2" t="s">
        <v>2833</v>
      </c>
      <c r="U347" s="2" t="s">
        <v>2834</v>
      </c>
      <c r="V347" s="2" t="s">
        <v>2835</v>
      </c>
      <c r="W347" s="2" t="s">
        <v>2836</v>
      </c>
      <c r="X347" s="2" t="s">
        <v>2837</v>
      </c>
      <c r="Y347" s="2" t="s">
        <v>2838</v>
      </c>
      <c r="Z347" s="2" t="s">
        <v>2839</v>
      </c>
      <c r="AA347" s="2" t="s">
        <v>2840</v>
      </c>
      <c r="AB347" s="2" t="s">
        <v>2841</v>
      </c>
      <c r="AC347" s="2" t="s">
        <v>2842</v>
      </c>
      <c r="AD347" s="2" t="s">
        <v>1402</v>
      </c>
      <c r="AE347" s="2" t="s">
        <v>1403</v>
      </c>
      <c r="AF347" s="2" t="s">
        <v>70</v>
      </c>
      <c r="AG347" s="2" t="s">
        <v>2830</v>
      </c>
      <c r="AK347" s="2" t="s">
        <v>2843</v>
      </c>
      <c r="AM347" s="2" t="s">
        <v>72</v>
      </c>
      <c r="AN347" s="2" t="s">
        <v>1046</v>
      </c>
      <c r="AP347" s="2" t="s">
        <v>2705</v>
      </c>
      <c r="AU347" s="2" t="s">
        <v>75</v>
      </c>
      <c r="AV347" s="2" t="s">
        <v>2844</v>
      </c>
      <c r="AW347" s="2" t="s">
        <v>2845</v>
      </c>
      <c r="AX347" s="2" t="s">
        <v>477</v>
      </c>
      <c r="AZ347" s="2" t="s">
        <v>478</v>
      </c>
    </row>
    <row r="348" spans="1:52" s="3" customFormat="1" x14ac:dyDescent="0.35">
      <c r="A348" s="2" t="s">
        <v>2846</v>
      </c>
      <c r="B348" s="4">
        <v>248486</v>
      </c>
      <c r="C348" s="2" t="s">
        <v>2847</v>
      </c>
      <c r="D348" s="2">
        <f t="shared" si="5"/>
        <v>4</v>
      </c>
      <c r="F348" s="2" t="s">
        <v>2645</v>
      </c>
      <c r="G348" s="2" t="s">
        <v>53</v>
      </c>
      <c r="H348" s="4">
        <v>1</v>
      </c>
      <c r="I348" s="4">
        <v>1</v>
      </c>
      <c r="J348" s="5">
        <v>100000</v>
      </c>
      <c r="K348" s="2" t="s">
        <v>2726</v>
      </c>
      <c r="L348" s="4">
        <v>0</v>
      </c>
      <c r="N348" s="2" t="s">
        <v>2726</v>
      </c>
      <c r="O348" s="2" t="s">
        <v>2727</v>
      </c>
      <c r="P348" s="2" t="s">
        <v>2848</v>
      </c>
      <c r="Q348" s="2" t="s">
        <v>2849</v>
      </c>
      <c r="R348" s="2" t="s">
        <v>2812</v>
      </c>
      <c r="T348" s="2" t="s">
        <v>2850</v>
      </c>
      <c r="U348" s="2" t="s">
        <v>2851</v>
      </c>
      <c r="V348" s="2" t="s">
        <v>2815</v>
      </c>
      <c r="W348" s="2" t="s">
        <v>2852</v>
      </c>
      <c r="X348" s="2" t="s">
        <v>2852</v>
      </c>
      <c r="Y348" s="2" t="s">
        <v>2853</v>
      </c>
      <c r="Z348" s="2" t="s">
        <v>2854</v>
      </c>
      <c r="AA348" s="2" t="s">
        <v>66</v>
      </c>
      <c r="AB348" s="2" t="s">
        <v>2855</v>
      </c>
      <c r="AC348" s="2" t="s">
        <v>2856</v>
      </c>
      <c r="AD348" s="2" t="s">
        <v>68</v>
      </c>
      <c r="AE348" s="2" t="s">
        <v>69</v>
      </c>
      <c r="AF348" s="2" t="s">
        <v>70</v>
      </c>
      <c r="AG348" s="2" t="s">
        <v>55</v>
      </c>
      <c r="AK348" s="2" t="s">
        <v>2857</v>
      </c>
      <c r="AM348" s="2" t="s">
        <v>72</v>
      </c>
      <c r="AN348" s="2" t="s">
        <v>595</v>
      </c>
      <c r="AP348" s="2" t="s">
        <v>2858</v>
      </c>
      <c r="AU348" s="2" t="s">
        <v>75</v>
      </c>
      <c r="AV348" s="2" t="s">
        <v>2859</v>
      </c>
      <c r="AW348" s="2" t="s">
        <v>2860</v>
      </c>
      <c r="AZ348" s="2" t="s">
        <v>478</v>
      </c>
    </row>
    <row r="349" spans="1:52" s="3" customFormat="1" x14ac:dyDescent="0.35">
      <c r="A349" s="2" t="s">
        <v>2846</v>
      </c>
      <c r="B349" s="4">
        <v>248486</v>
      </c>
      <c r="C349" s="2" t="s">
        <v>2847</v>
      </c>
      <c r="D349" s="2">
        <f t="shared" si="5"/>
        <v>4</v>
      </c>
      <c r="F349" s="2" t="s">
        <v>2645</v>
      </c>
      <c r="G349" s="2" t="s">
        <v>53</v>
      </c>
      <c r="H349" s="4">
        <v>1</v>
      </c>
      <c r="I349" s="4">
        <v>1</v>
      </c>
      <c r="J349" s="5">
        <v>100000</v>
      </c>
      <c r="K349" s="2" t="s">
        <v>2726</v>
      </c>
      <c r="L349" s="4">
        <v>0</v>
      </c>
      <c r="N349" s="2" t="s">
        <v>2726</v>
      </c>
      <c r="O349" s="2" t="s">
        <v>2727</v>
      </c>
      <c r="P349" s="2" t="s">
        <v>2848</v>
      </c>
      <c r="Q349" s="2" t="s">
        <v>2861</v>
      </c>
      <c r="R349" s="2" t="s">
        <v>2812</v>
      </c>
      <c r="T349" s="2" t="s">
        <v>2850</v>
      </c>
      <c r="U349" s="2" t="s">
        <v>2851</v>
      </c>
      <c r="V349" s="2" t="s">
        <v>2815</v>
      </c>
      <c r="W349" s="2" t="s">
        <v>2852</v>
      </c>
      <c r="X349" s="2" t="s">
        <v>2852</v>
      </c>
      <c r="Y349" s="2" t="s">
        <v>2853</v>
      </c>
      <c r="Z349" s="2" t="s">
        <v>2854</v>
      </c>
      <c r="AA349" s="2" t="s">
        <v>66</v>
      </c>
      <c r="AB349" s="2" t="s">
        <v>2855</v>
      </c>
      <c r="AC349" s="2" t="s">
        <v>2856</v>
      </c>
      <c r="AD349" s="2" t="s">
        <v>68</v>
      </c>
      <c r="AE349" s="2" t="s">
        <v>69</v>
      </c>
      <c r="AF349" s="2" t="s">
        <v>70</v>
      </c>
      <c r="AG349" s="2" t="s">
        <v>55</v>
      </c>
      <c r="AK349" s="2" t="s">
        <v>2857</v>
      </c>
      <c r="AM349" s="2" t="s">
        <v>72</v>
      </c>
      <c r="AN349" s="2" t="s">
        <v>595</v>
      </c>
      <c r="AP349" s="2" t="s">
        <v>2862</v>
      </c>
      <c r="AU349" s="2" t="s">
        <v>75</v>
      </c>
      <c r="AV349" s="2" t="s">
        <v>2859</v>
      </c>
      <c r="AW349" s="2" t="s">
        <v>2860</v>
      </c>
      <c r="AZ349" s="2" t="s">
        <v>478</v>
      </c>
    </row>
    <row r="350" spans="1:52" s="3" customFormat="1" x14ac:dyDescent="0.35">
      <c r="A350" s="2" t="s">
        <v>2846</v>
      </c>
      <c r="B350" s="4">
        <v>248486</v>
      </c>
      <c r="C350" s="2" t="s">
        <v>2847</v>
      </c>
      <c r="D350" s="2">
        <f t="shared" si="5"/>
        <v>4</v>
      </c>
      <c r="F350" s="2" t="s">
        <v>2645</v>
      </c>
      <c r="G350" s="2" t="s">
        <v>53</v>
      </c>
      <c r="H350" s="4">
        <v>1</v>
      </c>
      <c r="I350" s="4">
        <v>1</v>
      </c>
      <c r="J350" s="5">
        <v>100000</v>
      </c>
      <c r="K350" s="2" t="s">
        <v>2726</v>
      </c>
      <c r="L350" s="4">
        <v>0</v>
      </c>
      <c r="N350" s="2" t="s">
        <v>2726</v>
      </c>
      <c r="O350" s="2" t="s">
        <v>2727</v>
      </c>
      <c r="P350" s="2" t="s">
        <v>2848</v>
      </c>
      <c r="Q350" s="2" t="s">
        <v>2863</v>
      </c>
      <c r="R350" s="2" t="s">
        <v>2812</v>
      </c>
      <c r="T350" s="2" t="s">
        <v>2850</v>
      </c>
      <c r="U350" s="2" t="s">
        <v>2851</v>
      </c>
      <c r="V350" s="2" t="s">
        <v>2815</v>
      </c>
      <c r="W350" s="2" t="s">
        <v>2852</v>
      </c>
      <c r="X350" s="2" t="s">
        <v>2852</v>
      </c>
      <c r="Y350" s="2" t="s">
        <v>2853</v>
      </c>
      <c r="Z350" s="2" t="s">
        <v>2854</v>
      </c>
      <c r="AA350" s="2" t="s">
        <v>66</v>
      </c>
      <c r="AB350" s="2" t="s">
        <v>2855</v>
      </c>
      <c r="AC350" s="2" t="s">
        <v>2856</v>
      </c>
      <c r="AD350" s="2" t="s">
        <v>68</v>
      </c>
      <c r="AE350" s="2" t="s">
        <v>69</v>
      </c>
      <c r="AF350" s="2" t="s">
        <v>70</v>
      </c>
      <c r="AG350" s="2" t="s">
        <v>55</v>
      </c>
      <c r="AK350" s="2" t="s">
        <v>2857</v>
      </c>
      <c r="AM350" s="2" t="s">
        <v>72</v>
      </c>
      <c r="AN350" s="2" t="s">
        <v>595</v>
      </c>
      <c r="AP350" s="2" t="s">
        <v>2864</v>
      </c>
      <c r="AU350" s="2" t="s">
        <v>75</v>
      </c>
      <c r="AV350" s="2" t="s">
        <v>2859</v>
      </c>
      <c r="AW350" s="2" t="s">
        <v>2860</v>
      </c>
      <c r="AZ350" s="2" t="s">
        <v>478</v>
      </c>
    </row>
    <row r="351" spans="1:52" s="3" customFormat="1" x14ac:dyDescent="0.35">
      <c r="A351" s="2" t="s">
        <v>2846</v>
      </c>
      <c r="B351" s="4">
        <v>248486</v>
      </c>
      <c r="C351" s="2" t="s">
        <v>2847</v>
      </c>
      <c r="D351" s="2">
        <f t="shared" si="5"/>
        <v>4</v>
      </c>
      <c r="F351" s="2" t="s">
        <v>2645</v>
      </c>
      <c r="G351" s="2" t="s">
        <v>53</v>
      </c>
      <c r="H351" s="4">
        <v>1</v>
      </c>
      <c r="I351" s="4">
        <v>1</v>
      </c>
      <c r="J351" s="4">
        <v>0</v>
      </c>
      <c r="K351" s="2" t="s">
        <v>2726</v>
      </c>
      <c r="L351" s="4">
        <v>0</v>
      </c>
      <c r="N351" s="2" t="s">
        <v>2726</v>
      </c>
      <c r="O351" s="2" t="s">
        <v>2727</v>
      </c>
      <c r="P351" s="2" t="s">
        <v>2848</v>
      </c>
      <c r="Q351" s="2" t="s">
        <v>2865</v>
      </c>
      <c r="R351" s="2" t="s">
        <v>2812</v>
      </c>
      <c r="T351" s="2" t="s">
        <v>2850</v>
      </c>
      <c r="U351" s="2" t="s">
        <v>2851</v>
      </c>
      <c r="V351" s="2" t="s">
        <v>2815</v>
      </c>
      <c r="W351" s="2" t="s">
        <v>2852</v>
      </c>
      <c r="X351" s="2" t="s">
        <v>2852</v>
      </c>
      <c r="Y351" s="2" t="s">
        <v>2853</v>
      </c>
      <c r="Z351" s="2" t="s">
        <v>2854</v>
      </c>
      <c r="AA351" s="2" t="s">
        <v>66</v>
      </c>
      <c r="AB351" s="2" t="s">
        <v>2855</v>
      </c>
      <c r="AC351" s="2" t="s">
        <v>2856</v>
      </c>
      <c r="AD351" s="2" t="s">
        <v>68</v>
      </c>
      <c r="AE351" s="2" t="s">
        <v>69</v>
      </c>
      <c r="AF351" s="2" t="s">
        <v>70</v>
      </c>
      <c r="AG351" s="2" t="s">
        <v>55</v>
      </c>
      <c r="AK351" s="2" t="s">
        <v>2857</v>
      </c>
      <c r="AM351" s="2" t="s">
        <v>72</v>
      </c>
      <c r="AN351" s="2" t="s">
        <v>595</v>
      </c>
      <c r="AP351" s="2" t="s">
        <v>2705</v>
      </c>
      <c r="AU351" s="2" t="s">
        <v>75</v>
      </c>
      <c r="AV351" s="2" t="s">
        <v>2859</v>
      </c>
      <c r="AW351" s="2" t="s">
        <v>2860</v>
      </c>
      <c r="AZ351" s="2" t="s">
        <v>478</v>
      </c>
    </row>
    <row r="352" spans="1:52" s="3" customFormat="1" x14ac:dyDescent="0.35">
      <c r="A352" s="2" t="s">
        <v>2866</v>
      </c>
      <c r="B352" s="4">
        <v>248482</v>
      </c>
      <c r="C352" s="2" t="s">
        <v>2867</v>
      </c>
      <c r="D352" s="2">
        <f t="shared" si="5"/>
        <v>4</v>
      </c>
      <c r="F352" s="2" t="s">
        <v>2645</v>
      </c>
      <c r="G352" s="2" t="s">
        <v>53</v>
      </c>
      <c r="H352" s="4">
        <v>6</v>
      </c>
      <c r="I352" s="4">
        <v>1</v>
      </c>
      <c r="J352" s="5">
        <v>17100</v>
      </c>
      <c r="K352" s="2" t="s">
        <v>1252</v>
      </c>
      <c r="L352" s="5">
        <v>17100</v>
      </c>
      <c r="M352" s="2" t="s">
        <v>55</v>
      </c>
      <c r="N352" s="2" t="s">
        <v>1253</v>
      </c>
      <c r="O352" s="2" t="s">
        <v>1254</v>
      </c>
      <c r="P352" s="2" t="s">
        <v>58</v>
      </c>
      <c r="Q352" s="2" t="s">
        <v>59</v>
      </c>
      <c r="R352" s="2" t="s">
        <v>2141</v>
      </c>
      <c r="T352" s="2" t="s">
        <v>2142</v>
      </c>
      <c r="U352" s="2" t="s">
        <v>2143</v>
      </c>
      <c r="V352" s="2" t="s">
        <v>2144</v>
      </c>
      <c r="W352" s="2" t="s">
        <v>2868</v>
      </c>
      <c r="X352" s="2" t="s">
        <v>2869</v>
      </c>
      <c r="Y352" s="2" t="s">
        <v>2147</v>
      </c>
      <c r="Z352" s="2" t="s">
        <v>2148</v>
      </c>
      <c r="AA352" s="2" t="s">
        <v>2149</v>
      </c>
      <c r="AB352" s="2" t="s">
        <v>2150</v>
      </c>
      <c r="AC352" s="2" t="s">
        <v>2151</v>
      </c>
      <c r="AD352" s="2" t="s">
        <v>68</v>
      </c>
      <c r="AE352" s="2" t="s">
        <v>69</v>
      </c>
      <c r="AF352" s="2" t="s">
        <v>70</v>
      </c>
      <c r="AG352" s="2" t="s">
        <v>2870</v>
      </c>
      <c r="AK352" s="2" t="s">
        <v>2871</v>
      </c>
      <c r="AM352" s="2" t="s">
        <v>72</v>
      </c>
      <c r="AN352" s="2" t="s">
        <v>473</v>
      </c>
      <c r="AP352" s="2" t="s">
        <v>74</v>
      </c>
      <c r="AU352" s="2" t="s">
        <v>75</v>
      </c>
      <c r="AV352" s="2" t="s">
        <v>2154</v>
      </c>
      <c r="AW352" s="2" t="s">
        <v>2155</v>
      </c>
      <c r="AX352" s="2" t="s">
        <v>477</v>
      </c>
      <c r="AZ352" s="2" t="s">
        <v>478</v>
      </c>
    </row>
    <row r="353" spans="1:52" s="3" customFormat="1" x14ac:dyDescent="0.35">
      <c r="A353" s="2" t="s">
        <v>2872</v>
      </c>
      <c r="B353" s="4">
        <v>248478</v>
      </c>
      <c r="C353" s="2" t="s">
        <v>2873</v>
      </c>
      <c r="D353" s="2">
        <f t="shared" si="5"/>
        <v>4</v>
      </c>
      <c r="F353" s="2" t="s">
        <v>2645</v>
      </c>
      <c r="G353" s="2" t="s">
        <v>53</v>
      </c>
      <c r="H353" s="4">
        <v>1</v>
      </c>
      <c r="I353" s="4">
        <v>1</v>
      </c>
      <c r="J353" s="5">
        <v>50000</v>
      </c>
      <c r="L353" s="5">
        <v>281550</v>
      </c>
      <c r="M353" s="2" t="s">
        <v>55</v>
      </c>
      <c r="N353" s="2" t="s">
        <v>458</v>
      </c>
      <c r="O353" s="2" t="s">
        <v>459</v>
      </c>
      <c r="P353" s="2" t="s">
        <v>2874</v>
      </c>
      <c r="Q353" s="2" t="s">
        <v>2875</v>
      </c>
      <c r="R353" s="2" t="s">
        <v>2876</v>
      </c>
      <c r="T353" s="2" t="s">
        <v>2877</v>
      </c>
      <c r="U353" s="2" t="s">
        <v>2878</v>
      </c>
      <c r="V353" s="2" t="s">
        <v>2879</v>
      </c>
      <c r="W353" s="2" t="s">
        <v>2880</v>
      </c>
      <c r="X353" s="2" t="s">
        <v>2881</v>
      </c>
      <c r="Y353" s="2" t="s">
        <v>2882</v>
      </c>
      <c r="Z353" s="2" t="s">
        <v>2883</v>
      </c>
      <c r="AA353" s="2" t="s">
        <v>2884</v>
      </c>
      <c r="AC353" s="2" t="s">
        <v>2885</v>
      </c>
      <c r="AD353" s="2" t="s">
        <v>2886</v>
      </c>
      <c r="AE353" s="2" t="s">
        <v>2887</v>
      </c>
      <c r="AF353" s="2" t="s">
        <v>70</v>
      </c>
      <c r="AG353" s="2" t="s">
        <v>2874</v>
      </c>
      <c r="AK353" s="2" t="s">
        <v>2888</v>
      </c>
      <c r="AM353" s="2" t="s">
        <v>72</v>
      </c>
      <c r="AN353" s="2" t="s">
        <v>232</v>
      </c>
      <c r="AP353" s="2" t="s">
        <v>2889</v>
      </c>
      <c r="AT353" s="2" t="s">
        <v>2890</v>
      </c>
      <c r="AU353" s="2" t="s">
        <v>75</v>
      </c>
      <c r="AV353" s="2" t="s">
        <v>2891</v>
      </c>
      <c r="AW353" s="2" t="s">
        <v>2892</v>
      </c>
      <c r="AX353" s="2" t="s">
        <v>477</v>
      </c>
      <c r="AZ353" s="2" t="s">
        <v>478</v>
      </c>
    </row>
    <row r="354" spans="1:52" s="3" customFormat="1" x14ac:dyDescent="0.35">
      <c r="A354" s="2" t="s">
        <v>2872</v>
      </c>
      <c r="B354" s="4">
        <v>248478</v>
      </c>
      <c r="C354" s="2" t="s">
        <v>2873</v>
      </c>
      <c r="D354" s="2">
        <f t="shared" si="5"/>
        <v>4</v>
      </c>
      <c r="F354" s="2" t="s">
        <v>2645</v>
      </c>
      <c r="G354" s="2" t="s">
        <v>53</v>
      </c>
      <c r="H354" s="4">
        <v>1</v>
      </c>
      <c r="I354" s="4">
        <v>1</v>
      </c>
      <c r="J354" s="5">
        <v>50000</v>
      </c>
      <c r="L354" s="5">
        <v>281550</v>
      </c>
      <c r="M354" s="2" t="s">
        <v>55</v>
      </c>
      <c r="N354" s="2" t="s">
        <v>458</v>
      </c>
      <c r="O354" s="2" t="s">
        <v>459</v>
      </c>
      <c r="P354" s="2" t="s">
        <v>2874</v>
      </c>
      <c r="Q354" s="2" t="s">
        <v>2893</v>
      </c>
      <c r="R354" s="2" t="s">
        <v>2876</v>
      </c>
      <c r="T354" s="2" t="s">
        <v>2877</v>
      </c>
      <c r="U354" s="2" t="s">
        <v>2878</v>
      </c>
      <c r="V354" s="2" t="s">
        <v>2879</v>
      </c>
      <c r="W354" s="2" t="s">
        <v>2880</v>
      </c>
      <c r="X354" s="2" t="s">
        <v>2881</v>
      </c>
      <c r="Y354" s="2" t="s">
        <v>2882</v>
      </c>
      <c r="Z354" s="2" t="s">
        <v>2883</v>
      </c>
      <c r="AA354" s="2" t="s">
        <v>2884</v>
      </c>
      <c r="AC354" s="2" t="s">
        <v>2885</v>
      </c>
      <c r="AD354" s="2" t="s">
        <v>2886</v>
      </c>
      <c r="AE354" s="2" t="s">
        <v>2887</v>
      </c>
      <c r="AF354" s="2" t="s">
        <v>70</v>
      </c>
      <c r="AG354" s="2" t="s">
        <v>2874</v>
      </c>
      <c r="AK354" s="2" t="s">
        <v>2888</v>
      </c>
      <c r="AM354" s="2" t="s">
        <v>72</v>
      </c>
      <c r="AN354" s="2" t="s">
        <v>232</v>
      </c>
      <c r="AP354" s="2" t="s">
        <v>2894</v>
      </c>
      <c r="AT354" s="2" t="s">
        <v>2890</v>
      </c>
      <c r="AU354" s="2" t="s">
        <v>75</v>
      </c>
      <c r="AV354" s="2" t="s">
        <v>2891</v>
      </c>
      <c r="AW354" s="2" t="s">
        <v>2892</v>
      </c>
      <c r="AX354" s="2" t="s">
        <v>477</v>
      </c>
      <c r="AZ354" s="2" t="s">
        <v>478</v>
      </c>
    </row>
    <row r="355" spans="1:52" s="3" customFormat="1" x14ac:dyDescent="0.35">
      <c r="A355" s="2" t="s">
        <v>2872</v>
      </c>
      <c r="B355" s="4">
        <v>248478</v>
      </c>
      <c r="C355" s="2" t="s">
        <v>2873</v>
      </c>
      <c r="D355" s="2">
        <f t="shared" si="5"/>
        <v>4</v>
      </c>
      <c r="F355" s="2" t="s">
        <v>2645</v>
      </c>
      <c r="G355" s="2" t="s">
        <v>53</v>
      </c>
      <c r="H355" s="4">
        <v>1</v>
      </c>
      <c r="I355" s="4">
        <v>1</v>
      </c>
      <c r="J355" s="5">
        <v>50000</v>
      </c>
      <c r="L355" s="5">
        <v>281550</v>
      </c>
      <c r="M355" s="2" t="s">
        <v>55</v>
      </c>
      <c r="N355" s="2" t="s">
        <v>458</v>
      </c>
      <c r="O355" s="2" t="s">
        <v>459</v>
      </c>
      <c r="P355" s="2" t="s">
        <v>2874</v>
      </c>
      <c r="Q355" s="2" t="s">
        <v>2895</v>
      </c>
      <c r="R355" s="2" t="s">
        <v>2876</v>
      </c>
      <c r="T355" s="2" t="s">
        <v>2877</v>
      </c>
      <c r="U355" s="2" t="s">
        <v>2878</v>
      </c>
      <c r="V355" s="2" t="s">
        <v>2879</v>
      </c>
      <c r="W355" s="2" t="s">
        <v>2880</v>
      </c>
      <c r="X355" s="2" t="s">
        <v>2881</v>
      </c>
      <c r="Y355" s="2" t="s">
        <v>2882</v>
      </c>
      <c r="Z355" s="2" t="s">
        <v>2883</v>
      </c>
      <c r="AA355" s="2" t="s">
        <v>2884</v>
      </c>
      <c r="AC355" s="2" t="s">
        <v>2885</v>
      </c>
      <c r="AD355" s="2" t="s">
        <v>2886</v>
      </c>
      <c r="AE355" s="2" t="s">
        <v>2887</v>
      </c>
      <c r="AF355" s="2" t="s">
        <v>70</v>
      </c>
      <c r="AG355" s="2" t="s">
        <v>2874</v>
      </c>
      <c r="AK355" s="2" t="s">
        <v>2888</v>
      </c>
      <c r="AM355" s="2" t="s">
        <v>72</v>
      </c>
      <c r="AN355" s="2" t="s">
        <v>232</v>
      </c>
      <c r="AP355" s="2" t="s">
        <v>2896</v>
      </c>
      <c r="AT355" s="2" t="s">
        <v>2890</v>
      </c>
      <c r="AU355" s="2" t="s">
        <v>75</v>
      </c>
      <c r="AV355" s="2" t="s">
        <v>2891</v>
      </c>
      <c r="AW355" s="2" t="s">
        <v>2892</v>
      </c>
      <c r="AX355" s="2" t="s">
        <v>477</v>
      </c>
      <c r="AZ355" s="2" t="s">
        <v>478</v>
      </c>
    </row>
    <row r="356" spans="1:52" s="3" customFormat="1" x14ac:dyDescent="0.35">
      <c r="A356" s="2" t="s">
        <v>2872</v>
      </c>
      <c r="B356" s="4">
        <v>248478</v>
      </c>
      <c r="C356" s="2" t="s">
        <v>2873</v>
      </c>
      <c r="D356" s="2">
        <f t="shared" si="5"/>
        <v>4</v>
      </c>
      <c r="F356" s="2" t="s">
        <v>2645</v>
      </c>
      <c r="G356" s="2" t="s">
        <v>53</v>
      </c>
      <c r="H356" s="4">
        <v>1</v>
      </c>
      <c r="I356" s="4">
        <v>1</v>
      </c>
      <c r="J356" s="5">
        <v>50000</v>
      </c>
      <c r="L356" s="5">
        <v>281550</v>
      </c>
      <c r="M356" s="2" t="s">
        <v>55</v>
      </c>
      <c r="N356" s="2" t="s">
        <v>458</v>
      </c>
      <c r="O356" s="2" t="s">
        <v>459</v>
      </c>
      <c r="P356" s="2" t="s">
        <v>2874</v>
      </c>
      <c r="Q356" s="2" t="s">
        <v>2897</v>
      </c>
      <c r="R356" s="2" t="s">
        <v>2876</v>
      </c>
      <c r="T356" s="2" t="s">
        <v>2877</v>
      </c>
      <c r="U356" s="2" t="s">
        <v>2878</v>
      </c>
      <c r="V356" s="2" t="s">
        <v>2879</v>
      </c>
      <c r="W356" s="2" t="s">
        <v>2880</v>
      </c>
      <c r="X356" s="2" t="s">
        <v>2881</v>
      </c>
      <c r="Y356" s="2" t="s">
        <v>2882</v>
      </c>
      <c r="Z356" s="2" t="s">
        <v>2883</v>
      </c>
      <c r="AA356" s="2" t="s">
        <v>2884</v>
      </c>
      <c r="AC356" s="2" t="s">
        <v>2885</v>
      </c>
      <c r="AD356" s="2" t="s">
        <v>2886</v>
      </c>
      <c r="AE356" s="2" t="s">
        <v>2887</v>
      </c>
      <c r="AF356" s="2" t="s">
        <v>70</v>
      </c>
      <c r="AG356" s="2" t="s">
        <v>2874</v>
      </c>
      <c r="AK356" s="2" t="s">
        <v>2888</v>
      </c>
      <c r="AM356" s="2" t="s">
        <v>72</v>
      </c>
      <c r="AN356" s="2" t="s">
        <v>232</v>
      </c>
      <c r="AP356" s="2" t="s">
        <v>2898</v>
      </c>
      <c r="AT356" s="2" t="s">
        <v>2890</v>
      </c>
      <c r="AU356" s="2" t="s">
        <v>75</v>
      </c>
      <c r="AV356" s="2" t="s">
        <v>2891</v>
      </c>
      <c r="AW356" s="2" t="s">
        <v>2892</v>
      </c>
      <c r="AX356" s="2" t="s">
        <v>477</v>
      </c>
      <c r="AZ356" s="2" t="s">
        <v>478</v>
      </c>
    </row>
    <row r="357" spans="1:52" s="3" customFormat="1" x14ac:dyDescent="0.35">
      <c r="A357" s="2" t="s">
        <v>2872</v>
      </c>
      <c r="B357" s="4">
        <v>248478</v>
      </c>
      <c r="C357" s="2" t="s">
        <v>2873</v>
      </c>
      <c r="D357" s="2">
        <f t="shared" si="5"/>
        <v>4</v>
      </c>
      <c r="F357" s="2" t="s">
        <v>2645</v>
      </c>
      <c r="G357" s="2" t="s">
        <v>53</v>
      </c>
      <c r="H357" s="4">
        <v>1</v>
      </c>
      <c r="I357" s="4">
        <v>1</v>
      </c>
      <c r="J357" s="5">
        <v>50000</v>
      </c>
      <c r="L357" s="5">
        <v>281550</v>
      </c>
      <c r="M357" s="2" t="s">
        <v>55</v>
      </c>
      <c r="N357" s="2" t="s">
        <v>458</v>
      </c>
      <c r="O357" s="2" t="s">
        <v>459</v>
      </c>
      <c r="P357" s="2" t="s">
        <v>2874</v>
      </c>
      <c r="Q357" s="2" t="s">
        <v>2899</v>
      </c>
      <c r="R357" s="2" t="s">
        <v>2876</v>
      </c>
      <c r="T357" s="2" t="s">
        <v>2877</v>
      </c>
      <c r="U357" s="2" t="s">
        <v>2878</v>
      </c>
      <c r="V357" s="2" t="s">
        <v>2879</v>
      </c>
      <c r="W357" s="2" t="s">
        <v>2880</v>
      </c>
      <c r="X357" s="2" t="s">
        <v>2881</v>
      </c>
      <c r="Y357" s="2" t="s">
        <v>2882</v>
      </c>
      <c r="Z357" s="2" t="s">
        <v>2883</v>
      </c>
      <c r="AA357" s="2" t="s">
        <v>2884</v>
      </c>
      <c r="AC357" s="2" t="s">
        <v>2885</v>
      </c>
      <c r="AD357" s="2" t="s">
        <v>2886</v>
      </c>
      <c r="AE357" s="2" t="s">
        <v>2887</v>
      </c>
      <c r="AF357" s="2" t="s">
        <v>70</v>
      </c>
      <c r="AG357" s="2" t="s">
        <v>2874</v>
      </c>
      <c r="AK357" s="2" t="s">
        <v>2888</v>
      </c>
      <c r="AM357" s="2" t="s">
        <v>72</v>
      </c>
      <c r="AN357" s="2" t="s">
        <v>232</v>
      </c>
      <c r="AP357" s="2" t="s">
        <v>2900</v>
      </c>
      <c r="AT357" s="2" t="s">
        <v>2890</v>
      </c>
      <c r="AU357" s="2" t="s">
        <v>75</v>
      </c>
      <c r="AV357" s="2" t="s">
        <v>2891</v>
      </c>
      <c r="AW357" s="2" t="s">
        <v>2892</v>
      </c>
      <c r="AX357" s="2" t="s">
        <v>477</v>
      </c>
      <c r="AZ357" s="2" t="s">
        <v>478</v>
      </c>
    </row>
    <row r="358" spans="1:52" s="3" customFormat="1" x14ac:dyDescent="0.35">
      <c r="A358" s="2" t="s">
        <v>2872</v>
      </c>
      <c r="B358" s="4">
        <v>248478</v>
      </c>
      <c r="C358" s="2" t="s">
        <v>2873</v>
      </c>
      <c r="D358" s="2">
        <f t="shared" si="5"/>
        <v>4</v>
      </c>
      <c r="F358" s="2" t="s">
        <v>2645</v>
      </c>
      <c r="G358" s="2" t="s">
        <v>53</v>
      </c>
      <c r="H358" s="4">
        <v>1</v>
      </c>
      <c r="I358" s="4">
        <v>1</v>
      </c>
      <c r="J358" s="5">
        <v>50000</v>
      </c>
      <c r="L358" s="5">
        <v>281550</v>
      </c>
      <c r="M358" s="2" t="s">
        <v>55</v>
      </c>
      <c r="N358" s="2" t="s">
        <v>458</v>
      </c>
      <c r="O358" s="2" t="s">
        <v>459</v>
      </c>
      <c r="P358" s="2" t="s">
        <v>2874</v>
      </c>
      <c r="Q358" s="2" t="s">
        <v>2901</v>
      </c>
      <c r="R358" s="2" t="s">
        <v>2876</v>
      </c>
      <c r="T358" s="2" t="s">
        <v>2877</v>
      </c>
      <c r="U358" s="2" t="s">
        <v>2878</v>
      </c>
      <c r="V358" s="2" t="s">
        <v>2879</v>
      </c>
      <c r="W358" s="2" t="s">
        <v>2880</v>
      </c>
      <c r="X358" s="2" t="s">
        <v>2881</v>
      </c>
      <c r="Y358" s="2" t="s">
        <v>2882</v>
      </c>
      <c r="Z358" s="2" t="s">
        <v>2883</v>
      </c>
      <c r="AA358" s="2" t="s">
        <v>2884</v>
      </c>
      <c r="AC358" s="2" t="s">
        <v>2885</v>
      </c>
      <c r="AD358" s="2" t="s">
        <v>2886</v>
      </c>
      <c r="AE358" s="2" t="s">
        <v>2887</v>
      </c>
      <c r="AF358" s="2" t="s">
        <v>70</v>
      </c>
      <c r="AG358" s="2" t="s">
        <v>2874</v>
      </c>
      <c r="AK358" s="2" t="s">
        <v>2888</v>
      </c>
      <c r="AM358" s="2" t="s">
        <v>72</v>
      </c>
      <c r="AN358" s="2" t="s">
        <v>232</v>
      </c>
      <c r="AP358" s="2" t="s">
        <v>2902</v>
      </c>
      <c r="AT358" s="2" t="s">
        <v>2890</v>
      </c>
      <c r="AU358" s="2" t="s">
        <v>75</v>
      </c>
      <c r="AV358" s="2" t="s">
        <v>2891</v>
      </c>
      <c r="AW358" s="2" t="s">
        <v>2892</v>
      </c>
      <c r="AX358" s="2" t="s">
        <v>477</v>
      </c>
      <c r="AZ358" s="2" t="s">
        <v>478</v>
      </c>
    </row>
    <row r="359" spans="1:52" s="3" customFormat="1" x14ac:dyDescent="0.35">
      <c r="A359" s="2" t="s">
        <v>2903</v>
      </c>
      <c r="B359" s="4">
        <v>248475</v>
      </c>
      <c r="C359" s="2" t="s">
        <v>2904</v>
      </c>
      <c r="D359" s="2">
        <f t="shared" si="5"/>
        <v>4</v>
      </c>
      <c r="F359" s="2" t="s">
        <v>2645</v>
      </c>
      <c r="G359" s="2" t="s">
        <v>53</v>
      </c>
      <c r="H359" s="4">
        <v>1</v>
      </c>
      <c r="I359" s="4">
        <v>1</v>
      </c>
      <c r="J359" s="5">
        <v>215000</v>
      </c>
      <c r="L359" s="5">
        <v>201777.5</v>
      </c>
      <c r="N359" s="2" t="s">
        <v>458</v>
      </c>
      <c r="O359" s="2" t="s">
        <v>459</v>
      </c>
      <c r="P359" s="2" t="s">
        <v>2905</v>
      </c>
      <c r="Q359" s="2" t="s">
        <v>2906</v>
      </c>
      <c r="R359" s="2" t="s">
        <v>2907</v>
      </c>
      <c r="T359" s="2" t="s">
        <v>2908</v>
      </c>
      <c r="U359" s="2" t="s">
        <v>2909</v>
      </c>
      <c r="V359" s="2" t="s">
        <v>2910</v>
      </c>
      <c r="W359" s="2" t="s">
        <v>2911</v>
      </c>
      <c r="X359" s="2" t="s">
        <v>2912</v>
      </c>
      <c r="Y359" s="2" t="s">
        <v>2913</v>
      </c>
      <c r="Z359" s="2" t="s">
        <v>2914</v>
      </c>
      <c r="AA359" s="2" t="s">
        <v>2915</v>
      </c>
      <c r="AC359" s="2" t="s">
        <v>2916</v>
      </c>
      <c r="AD359" s="2" t="s">
        <v>2917</v>
      </c>
      <c r="AE359" s="2" t="s">
        <v>96</v>
      </c>
      <c r="AF359" s="2" t="s">
        <v>70</v>
      </c>
      <c r="AG359" s="2" t="s">
        <v>55</v>
      </c>
      <c r="AK359" s="2" t="s">
        <v>2918</v>
      </c>
      <c r="AM359" s="2" t="s">
        <v>72</v>
      </c>
      <c r="AN359" s="2" t="s">
        <v>403</v>
      </c>
      <c r="AP359" s="2" t="s">
        <v>2705</v>
      </c>
      <c r="AU359" s="2" t="s">
        <v>75</v>
      </c>
      <c r="AV359" s="2" t="s">
        <v>2919</v>
      </c>
      <c r="AW359" s="2" t="s">
        <v>2920</v>
      </c>
      <c r="AZ359" s="2" t="s">
        <v>478</v>
      </c>
    </row>
    <row r="360" spans="1:52" s="3" customFormat="1" x14ac:dyDescent="0.35">
      <c r="A360" s="2" t="s">
        <v>2921</v>
      </c>
      <c r="B360" s="4">
        <v>248459</v>
      </c>
      <c r="C360" s="2" t="s">
        <v>2922</v>
      </c>
      <c r="D360" s="2">
        <f t="shared" si="5"/>
        <v>4</v>
      </c>
      <c r="F360" s="2" t="s">
        <v>2645</v>
      </c>
      <c r="G360" s="2" t="s">
        <v>53</v>
      </c>
      <c r="H360" s="4">
        <v>1</v>
      </c>
      <c r="I360" s="4">
        <v>1</v>
      </c>
      <c r="J360" s="5">
        <v>80000</v>
      </c>
      <c r="L360" s="5">
        <v>187700</v>
      </c>
      <c r="M360" s="2" t="s">
        <v>55</v>
      </c>
      <c r="N360" s="2" t="s">
        <v>458</v>
      </c>
      <c r="O360" s="2" t="s">
        <v>459</v>
      </c>
      <c r="P360" s="2" t="s">
        <v>2923</v>
      </c>
      <c r="Q360" s="2" t="s">
        <v>2924</v>
      </c>
      <c r="R360" s="2" t="s">
        <v>2925</v>
      </c>
      <c r="T360" s="2" t="s">
        <v>2926</v>
      </c>
      <c r="U360" s="2" t="s">
        <v>2927</v>
      </c>
      <c r="V360" s="2" t="s">
        <v>2928</v>
      </c>
      <c r="W360" s="2" t="s">
        <v>2929</v>
      </c>
      <c r="X360" s="2" t="s">
        <v>2930</v>
      </c>
      <c r="Y360" s="2" t="s">
        <v>2931</v>
      </c>
      <c r="Z360" s="2" t="s">
        <v>2932</v>
      </c>
      <c r="AA360" s="2" t="s">
        <v>2933</v>
      </c>
      <c r="AB360" s="2" t="s">
        <v>2934</v>
      </c>
      <c r="AC360" s="2" t="s">
        <v>2555</v>
      </c>
      <c r="AD360" s="2" t="s">
        <v>2556</v>
      </c>
      <c r="AE360" s="2" t="s">
        <v>69</v>
      </c>
      <c r="AF360" s="2" t="s">
        <v>70</v>
      </c>
      <c r="AG360" s="2" t="s">
        <v>2935</v>
      </c>
      <c r="AK360" s="2" t="s">
        <v>2936</v>
      </c>
      <c r="AM360" s="2" t="s">
        <v>72</v>
      </c>
      <c r="AN360" s="2" t="s">
        <v>283</v>
      </c>
      <c r="AP360" s="2" t="s">
        <v>2699</v>
      </c>
      <c r="AU360" s="2" t="s">
        <v>75</v>
      </c>
      <c r="AV360" s="2" t="s">
        <v>2937</v>
      </c>
      <c r="AW360" s="2" t="s">
        <v>2938</v>
      </c>
      <c r="AX360" s="2" t="s">
        <v>477</v>
      </c>
      <c r="AZ360" s="2" t="s">
        <v>478</v>
      </c>
    </row>
    <row r="361" spans="1:52" s="3" customFormat="1" x14ac:dyDescent="0.35">
      <c r="A361" s="2" t="s">
        <v>2921</v>
      </c>
      <c r="B361" s="4">
        <v>248459</v>
      </c>
      <c r="C361" s="2" t="s">
        <v>2922</v>
      </c>
      <c r="D361" s="2">
        <f t="shared" si="5"/>
        <v>4</v>
      </c>
      <c r="F361" s="2" t="s">
        <v>2645</v>
      </c>
      <c r="G361" s="2" t="s">
        <v>53</v>
      </c>
      <c r="H361" s="4">
        <v>1</v>
      </c>
      <c r="I361" s="4">
        <v>1</v>
      </c>
      <c r="J361" s="5">
        <v>120000</v>
      </c>
      <c r="L361" s="5">
        <v>187700</v>
      </c>
      <c r="M361" s="2" t="s">
        <v>55</v>
      </c>
      <c r="N361" s="2" t="s">
        <v>458</v>
      </c>
      <c r="O361" s="2" t="s">
        <v>459</v>
      </c>
      <c r="P361" s="2" t="s">
        <v>2923</v>
      </c>
      <c r="Q361" s="2" t="s">
        <v>2939</v>
      </c>
      <c r="R361" s="2" t="s">
        <v>2925</v>
      </c>
      <c r="T361" s="2" t="s">
        <v>2926</v>
      </c>
      <c r="U361" s="2" t="s">
        <v>2927</v>
      </c>
      <c r="V361" s="2" t="s">
        <v>2928</v>
      </c>
      <c r="W361" s="2" t="s">
        <v>2929</v>
      </c>
      <c r="X361" s="2" t="s">
        <v>2930</v>
      </c>
      <c r="Y361" s="2" t="s">
        <v>2931</v>
      </c>
      <c r="Z361" s="2" t="s">
        <v>2932</v>
      </c>
      <c r="AA361" s="2" t="s">
        <v>2933</v>
      </c>
      <c r="AB361" s="2" t="s">
        <v>2934</v>
      </c>
      <c r="AC361" s="2" t="s">
        <v>2555</v>
      </c>
      <c r="AD361" s="2" t="s">
        <v>2556</v>
      </c>
      <c r="AE361" s="2" t="s">
        <v>69</v>
      </c>
      <c r="AF361" s="2" t="s">
        <v>70</v>
      </c>
      <c r="AG361" s="2" t="s">
        <v>2935</v>
      </c>
      <c r="AK361" s="2" t="s">
        <v>2936</v>
      </c>
      <c r="AM361" s="2" t="s">
        <v>72</v>
      </c>
      <c r="AN361" s="2" t="s">
        <v>283</v>
      </c>
      <c r="AP361" s="2" t="s">
        <v>2940</v>
      </c>
      <c r="AU361" s="2" t="s">
        <v>75</v>
      </c>
      <c r="AV361" s="2" t="s">
        <v>2937</v>
      </c>
      <c r="AW361" s="2" t="s">
        <v>2938</v>
      </c>
      <c r="AX361" s="2" t="s">
        <v>477</v>
      </c>
      <c r="AZ361" s="2" t="s">
        <v>478</v>
      </c>
    </row>
    <row r="362" spans="1:52" s="3" customFormat="1" x14ac:dyDescent="0.35">
      <c r="A362" s="2" t="s">
        <v>2941</v>
      </c>
      <c r="B362" s="4">
        <v>248448</v>
      </c>
      <c r="C362" s="2" t="s">
        <v>2942</v>
      </c>
      <c r="D362" s="2">
        <f t="shared" si="5"/>
        <v>4</v>
      </c>
      <c r="F362" s="2" t="s">
        <v>2645</v>
      </c>
      <c r="G362" s="2" t="s">
        <v>53</v>
      </c>
      <c r="H362" s="4">
        <v>1</v>
      </c>
      <c r="I362" s="4">
        <v>1</v>
      </c>
      <c r="J362" s="5">
        <v>1050000</v>
      </c>
      <c r="L362" s="5">
        <v>1050000</v>
      </c>
      <c r="M362" s="2" t="s">
        <v>55</v>
      </c>
      <c r="N362" s="2" t="s">
        <v>458</v>
      </c>
      <c r="O362" s="2" t="s">
        <v>459</v>
      </c>
      <c r="P362" s="2" t="s">
        <v>2943</v>
      </c>
      <c r="Q362" s="2" t="s">
        <v>2944</v>
      </c>
      <c r="R362" s="2" t="s">
        <v>2945</v>
      </c>
      <c r="T362" s="2" t="s">
        <v>2946</v>
      </c>
      <c r="U362" s="2" t="s">
        <v>2947</v>
      </c>
      <c r="V362" s="2" t="s">
        <v>2948</v>
      </c>
      <c r="W362" s="2" t="s">
        <v>2949</v>
      </c>
      <c r="X362" s="2" t="s">
        <v>2950</v>
      </c>
      <c r="Y362" s="2" t="s">
        <v>2951</v>
      </c>
      <c r="Z362" s="2" t="s">
        <v>2952</v>
      </c>
      <c r="AA362" s="2" t="s">
        <v>2953</v>
      </c>
      <c r="AB362" s="2" t="s">
        <v>2954</v>
      </c>
      <c r="AC362" s="2" t="s">
        <v>2955</v>
      </c>
      <c r="AD362" s="2" t="s">
        <v>2956</v>
      </c>
      <c r="AE362" s="2" t="s">
        <v>69</v>
      </c>
      <c r="AF362" s="2" t="s">
        <v>97</v>
      </c>
      <c r="AG362" s="2" t="s">
        <v>2943</v>
      </c>
      <c r="AK362" s="2" t="s">
        <v>2957</v>
      </c>
      <c r="AM362" s="2" t="s">
        <v>72</v>
      </c>
      <c r="AN362" s="2" t="s">
        <v>403</v>
      </c>
      <c r="AP362" s="2" t="s">
        <v>2958</v>
      </c>
      <c r="AS362" s="2" t="s">
        <v>2959</v>
      </c>
      <c r="AT362" s="2" t="s">
        <v>102</v>
      </c>
      <c r="AU362" s="2" t="s">
        <v>75</v>
      </c>
      <c r="AV362" s="2" t="s">
        <v>2960</v>
      </c>
      <c r="AW362" s="2" t="s">
        <v>2961</v>
      </c>
      <c r="AX362" s="2" t="s">
        <v>477</v>
      </c>
      <c r="AZ362" s="2" t="s">
        <v>478</v>
      </c>
    </row>
    <row r="363" spans="1:52" s="3" customFormat="1" x14ac:dyDescent="0.35">
      <c r="A363" s="2" t="s">
        <v>2962</v>
      </c>
      <c r="B363" s="4">
        <v>248438</v>
      </c>
      <c r="C363" s="2" t="s">
        <v>2963</v>
      </c>
      <c r="D363" s="2">
        <f t="shared" si="5"/>
        <v>4</v>
      </c>
      <c r="F363" s="2" t="s">
        <v>2645</v>
      </c>
      <c r="G363" s="2" t="s">
        <v>53</v>
      </c>
      <c r="H363" s="4">
        <v>1</v>
      </c>
      <c r="I363" s="4">
        <v>1</v>
      </c>
      <c r="J363" s="4">
        <v>0</v>
      </c>
      <c r="L363" s="4">
        <v>0</v>
      </c>
      <c r="M363" s="2" t="s">
        <v>55</v>
      </c>
      <c r="N363" s="2" t="s">
        <v>56</v>
      </c>
      <c r="O363" s="2" t="s">
        <v>57</v>
      </c>
      <c r="P363" s="2" t="s">
        <v>1051</v>
      </c>
      <c r="Q363" s="2" t="s">
        <v>1052</v>
      </c>
      <c r="R363" s="2" t="s">
        <v>2627</v>
      </c>
      <c r="S363" s="2" t="s">
        <v>2628</v>
      </c>
      <c r="V363" s="2" t="s">
        <v>2629</v>
      </c>
      <c r="W363" s="2" t="s">
        <v>2630</v>
      </c>
      <c r="Y363" s="2" t="s">
        <v>64</v>
      </c>
      <c r="Z363" s="2" t="s">
        <v>65</v>
      </c>
      <c r="AA363" s="2" t="s">
        <v>66</v>
      </c>
      <c r="AC363" s="2" t="s">
        <v>67</v>
      </c>
      <c r="AD363" s="2" t="s">
        <v>68</v>
      </c>
      <c r="AE363" s="2" t="s">
        <v>69</v>
      </c>
      <c r="AF363" s="2" t="s">
        <v>70</v>
      </c>
      <c r="AG363" s="2" t="s">
        <v>1051</v>
      </c>
      <c r="AK363" s="2" t="s">
        <v>2964</v>
      </c>
      <c r="AM363" s="2" t="s">
        <v>72</v>
      </c>
      <c r="AN363" s="2" t="s">
        <v>403</v>
      </c>
      <c r="AP363" s="2" t="s">
        <v>1058</v>
      </c>
      <c r="AU363" s="2" t="s">
        <v>75</v>
      </c>
      <c r="AW363" s="2" t="s">
        <v>2631</v>
      </c>
      <c r="AZ363" s="2" t="s">
        <v>116</v>
      </c>
    </row>
    <row r="364" spans="1:52" s="3" customFormat="1" x14ac:dyDescent="0.35">
      <c r="A364" s="2" t="s">
        <v>2965</v>
      </c>
      <c r="B364" s="4">
        <v>248428</v>
      </c>
      <c r="C364" s="2" t="s">
        <v>2966</v>
      </c>
      <c r="D364" s="2">
        <f t="shared" si="5"/>
        <v>4</v>
      </c>
      <c r="F364" s="2" t="s">
        <v>2645</v>
      </c>
      <c r="G364" s="2" t="s">
        <v>53</v>
      </c>
      <c r="H364" s="4">
        <v>1</v>
      </c>
      <c r="I364" s="4">
        <v>1</v>
      </c>
      <c r="J364" s="5">
        <v>108000</v>
      </c>
      <c r="K364" s="2" t="s">
        <v>2726</v>
      </c>
      <c r="L364" s="4">
        <v>0</v>
      </c>
      <c r="N364" s="2" t="s">
        <v>2726</v>
      </c>
      <c r="O364" s="2" t="s">
        <v>2727</v>
      </c>
      <c r="P364" s="2" t="s">
        <v>2967</v>
      </c>
      <c r="Q364" s="2" t="s">
        <v>2968</v>
      </c>
      <c r="R364" s="2" t="s">
        <v>2969</v>
      </c>
      <c r="T364" s="2" t="s">
        <v>2970</v>
      </c>
      <c r="U364" s="2" t="s">
        <v>2971</v>
      </c>
      <c r="V364" s="2" t="s">
        <v>2972</v>
      </c>
      <c r="W364" s="2" t="s">
        <v>2973</v>
      </c>
      <c r="X364" s="2" t="s">
        <v>2974</v>
      </c>
      <c r="Y364" s="2" t="s">
        <v>2975</v>
      </c>
      <c r="Z364" s="2" t="s">
        <v>2976</v>
      </c>
      <c r="AA364" s="2" t="s">
        <v>2977</v>
      </c>
      <c r="AC364" s="2" t="s">
        <v>2978</v>
      </c>
      <c r="AD364" s="2" t="s">
        <v>2979</v>
      </c>
      <c r="AE364" s="2" t="s">
        <v>2980</v>
      </c>
      <c r="AF364" s="2" t="s">
        <v>70</v>
      </c>
      <c r="AG364" s="2" t="s">
        <v>55</v>
      </c>
      <c r="AK364" s="2" t="s">
        <v>2981</v>
      </c>
      <c r="AM364" s="2" t="s">
        <v>72</v>
      </c>
      <c r="AN364" s="2" t="s">
        <v>283</v>
      </c>
      <c r="AP364" s="2" t="s">
        <v>2982</v>
      </c>
      <c r="AU364" s="2" t="s">
        <v>75</v>
      </c>
      <c r="AV364" s="2" t="s">
        <v>2983</v>
      </c>
      <c r="AW364" s="2" t="s">
        <v>2984</v>
      </c>
      <c r="AZ364" s="2" t="s">
        <v>478</v>
      </c>
    </row>
    <row r="365" spans="1:52" s="3" customFormat="1" x14ac:dyDescent="0.35">
      <c r="A365" s="2" t="s">
        <v>2965</v>
      </c>
      <c r="B365" s="4">
        <v>248428</v>
      </c>
      <c r="C365" s="2" t="s">
        <v>2966</v>
      </c>
      <c r="D365" s="2">
        <f t="shared" si="5"/>
        <v>4</v>
      </c>
      <c r="F365" s="2" t="s">
        <v>2645</v>
      </c>
      <c r="G365" s="2" t="s">
        <v>53</v>
      </c>
      <c r="H365" s="4">
        <v>1</v>
      </c>
      <c r="I365" s="4">
        <v>1</v>
      </c>
      <c r="J365" s="5">
        <v>162000</v>
      </c>
      <c r="K365" s="2" t="s">
        <v>2726</v>
      </c>
      <c r="L365" s="4">
        <v>0</v>
      </c>
      <c r="N365" s="2" t="s">
        <v>2726</v>
      </c>
      <c r="O365" s="2" t="s">
        <v>2727</v>
      </c>
      <c r="P365" s="2" t="s">
        <v>2967</v>
      </c>
      <c r="Q365" s="2" t="s">
        <v>2985</v>
      </c>
      <c r="R365" s="2" t="s">
        <v>2969</v>
      </c>
      <c r="T365" s="2" t="s">
        <v>2970</v>
      </c>
      <c r="U365" s="2" t="s">
        <v>2971</v>
      </c>
      <c r="V365" s="2" t="s">
        <v>2972</v>
      </c>
      <c r="W365" s="2" t="s">
        <v>2973</v>
      </c>
      <c r="X365" s="2" t="s">
        <v>2974</v>
      </c>
      <c r="Y365" s="2" t="s">
        <v>2975</v>
      </c>
      <c r="Z365" s="2" t="s">
        <v>2976</v>
      </c>
      <c r="AA365" s="2" t="s">
        <v>2977</v>
      </c>
      <c r="AC365" s="2" t="s">
        <v>2978</v>
      </c>
      <c r="AD365" s="2" t="s">
        <v>2979</v>
      </c>
      <c r="AE365" s="2" t="s">
        <v>2980</v>
      </c>
      <c r="AF365" s="2" t="s">
        <v>70</v>
      </c>
      <c r="AG365" s="2" t="s">
        <v>55</v>
      </c>
      <c r="AK365" s="2" t="s">
        <v>2981</v>
      </c>
      <c r="AM365" s="2" t="s">
        <v>72</v>
      </c>
      <c r="AN365" s="2" t="s">
        <v>283</v>
      </c>
      <c r="AP365" s="2" t="s">
        <v>2858</v>
      </c>
      <c r="AU365" s="2" t="s">
        <v>75</v>
      </c>
      <c r="AV365" s="2" t="s">
        <v>2983</v>
      </c>
      <c r="AW365" s="2" t="s">
        <v>2984</v>
      </c>
      <c r="AZ365" s="2" t="s">
        <v>478</v>
      </c>
    </row>
    <row r="366" spans="1:52" s="3" customFormat="1" x14ac:dyDescent="0.35">
      <c r="A366" s="2" t="s">
        <v>2965</v>
      </c>
      <c r="B366" s="4">
        <v>248428</v>
      </c>
      <c r="C366" s="2" t="s">
        <v>2966</v>
      </c>
      <c r="D366" s="2">
        <f t="shared" si="5"/>
        <v>4</v>
      </c>
      <c r="F366" s="2" t="s">
        <v>2645</v>
      </c>
      <c r="G366" s="2" t="s">
        <v>53</v>
      </c>
      <c r="H366" s="4">
        <v>1</v>
      </c>
      <c r="I366" s="4">
        <v>1</v>
      </c>
      <c r="J366" s="4">
        <v>0</v>
      </c>
      <c r="K366" s="2" t="s">
        <v>2726</v>
      </c>
      <c r="L366" s="4">
        <v>0</v>
      </c>
      <c r="N366" s="2" t="s">
        <v>2726</v>
      </c>
      <c r="O366" s="2" t="s">
        <v>2727</v>
      </c>
      <c r="P366" s="2" t="s">
        <v>2967</v>
      </c>
      <c r="Q366" s="2" t="s">
        <v>2986</v>
      </c>
      <c r="R366" s="2" t="s">
        <v>2969</v>
      </c>
      <c r="T366" s="2" t="s">
        <v>2970</v>
      </c>
      <c r="U366" s="2" t="s">
        <v>2971</v>
      </c>
      <c r="V366" s="2" t="s">
        <v>2972</v>
      </c>
      <c r="W366" s="2" t="s">
        <v>2973</v>
      </c>
      <c r="X366" s="2" t="s">
        <v>2974</v>
      </c>
      <c r="Y366" s="2" t="s">
        <v>2975</v>
      </c>
      <c r="Z366" s="2" t="s">
        <v>2976</v>
      </c>
      <c r="AA366" s="2" t="s">
        <v>2977</v>
      </c>
      <c r="AC366" s="2" t="s">
        <v>2978</v>
      </c>
      <c r="AD366" s="2" t="s">
        <v>2979</v>
      </c>
      <c r="AE366" s="2" t="s">
        <v>2980</v>
      </c>
      <c r="AF366" s="2" t="s">
        <v>70</v>
      </c>
      <c r="AG366" s="2" t="s">
        <v>55</v>
      </c>
      <c r="AK366" s="2" t="s">
        <v>2981</v>
      </c>
      <c r="AM366" s="2" t="s">
        <v>72</v>
      </c>
      <c r="AN366" s="2" t="s">
        <v>283</v>
      </c>
      <c r="AP366" s="2" t="s">
        <v>2705</v>
      </c>
      <c r="AU366" s="2" t="s">
        <v>75</v>
      </c>
      <c r="AV366" s="2" t="s">
        <v>2983</v>
      </c>
      <c r="AW366" s="2" t="s">
        <v>2984</v>
      </c>
      <c r="AZ366" s="2" t="s">
        <v>478</v>
      </c>
    </row>
    <row r="367" spans="1:52" s="3" customFormat="1" x14ac:dyDescent="0.35">
      <c r="A367" s="2" t="s">
        <v>2987</v>
      </c>
      <c r="B367" s="4">
        <v>248416</v>
      </c>
      <c r="C367" s="2" t="s">
        <v>2988</v>
      </c>
      <c r="D367" s="2">
        <f t="shared" si="5"/>
        <v>4</v>
      </c>
      <c r="F367" s="2" t="s">
        <v>2645</v>
      </c>
      <c r="G367" s="2" t="s">
        <v>53</v>
      </c>
      <c r="H367" s="4">
        <v>1</v>
      </c>
      <c r="I367" s="4">
        <v>1</v>
      </c>
      <c r="J367" s="4">
        <v>0</v>
      </c>
      <c r="L367" s="4">
        <v>0</v>
      </c>
      <c r="M367" s="2" t="s">
        <v>55</v>
      </c>
      <c r="N367" s="2" t="s">
        <v>56</v>
      </c>
      <c r="O367" s="2" t="s">
        <v>57</v>
      </c>
      <c r="P367" s="2" t="s">
        <v>106</v>
      </c>
      <c r="Q367" s="2" t="s">
        <v>107</v>
      </c>
      <c r="R367" s="2" t="s">
        <v>2989</v>
      </c>
      <c r="S367" s="2" t="s">
        <v>2990</v>
      </c>
      <c r="V367" s="2" t="s">
        <v>2991</v>
      </c>
      <c r="W367" s="2" t="s">
        <v>2992</v>
      </c>
      <c r="Y367" s="2" t="s">
        <v>64</v>
      </c>
      <c r="Z367" s="2" t="s">
        <v>65</v>
      </c>
      <c r="AA367" s="2" t="s">
        <v>66</v>
      </c>
      <c r="AC367" s="2" t="s">
        <v>67</v>
      </c>
      <c r="AD367" s="2" t="s">
        <v>68</v>
      </c>
      <c r="AE367" s="2" t="s">
        <v>69</v>
      </c>
      <c r="AF367" s="2" t="s">
        <v>70</v>
      </c>
      <c r="AG367" s="2" t="s">
        <v>106</v>
      </c>
      <c r="AK367" s="2" t="s">
        <v>2993</v>
      </c>
      <c r="AM367" s="2" t="s">
        <v>72</v>
      </c>
      <c r="AN367" s="2" t="s">
        <v>1046</v>
      </c>
      <c r="AP367" s="2" t="s">
        <v>113</v>
      </c>
      <c r="AT367" s="2" t="s">
        <v>114</v>
      </c>
      <c r="AU367" s="2" t="s">
        <v>75</v>
      </c>
      <c r="AW367" s="2" t="s">
        <v>2994</v>
      </c>
      <c r="AZ367" s="2" t="s">
        <v>116</v>
      </c>
    </row>
    <row r="368" spans="1:52" s="3" customFormat="1" x14ac:dyDescent="0.35">
      <c r="A368" s="2" t="s">
        <v>2995</v>
      </c>
      <c r="B368" s="4">
        <v>248408</v>
      </c>
      <c r="C368" s="2" t="s">
        <v>2996</v>
      </c>
      <c r="D368" s="2">
        <f t="shared" si="5"/>
        <v>4</v>
      </c>
      <c r="F368" s="2" t="s">
        <v>2645</v>
      </c>
      <c r="G368" s="2" t="s">
        <v>53</v>
      </c>
      <c r="H368" s="4">
        <v>1</v>
      </c>
      <c r="I368" s="4">
        <v>1</v>
      </c>
      <c r="J368" s="4">
        <v>0</v>
      </c>
      <c r="L368" s="4">
        <v>0</v>
      </c>
      <c r="M368" s="2" t="s">
        <v>55</v>
      </c>
      <c r="N368" s="2" t="s">
        <v>56</v>
      </c>
      <c r="O368" s="2" t="s">
        <v>57</v>
      </c>
      <c r="P368" s="2" t="s">
        <v>106</v>
      </c>
      <c r="Q368" s="2" t="s">
        <v>107</v>
      </c>
      <c r="R368" s="2" t="s">
        <v>2997</v>
      </c>
      <c r="S368" s="2" t="s">
        <v>2998</v>
      </c>
      <c r="V368" s="2" t="s">
        <v>2999</v>
      </c>
      <c r="W368" s="2" t="s">
        <v>3000</v>
      </c>
      <c r="Y368" s="2" t="s">
        <v>64</v>
      </c>
      <c r="Z368" s="2" t="s">
        <v>205</v>
      </c>
      <c r="AA368" s="2" t="s">
        <v>66</v>
      </c>
      <c r="AC368" s="2" t="s">
        <v>67</v>
      </c>
      <c r="AD368" s="2" t="s">
        <v>68</v>
      </c>
      <c r="AE368" s="2" t="s">
        <v>69</v>
      </c>
      <c r="AF368" s="2" t="s">
        <v>70</v>
      </c>
      <c r="AG368" s="2" t="s">
        <v>106</v>
      </c>
      <c r="AK368" s="2" t="s">
        <v>3001</v>
      </c>
      <c r="AM368" s="2" t="s">
        <v>72</v>
      </c>
      <c r="AN368" s="2" t="s">
        <v>1046</v>
      </c>
      <c r="AP368" s="2" t="s">
        <v>113</v>
      </c>
      <c r="AT368" s="2" t="s">
        <v>114</v>
      </c>
      <c r="AU368" s="2" t="s">
        <v>75</v>
      </c>
      <c r="AW368" s="2" t="s">
        <v>3002</v>
      </c>
      <c r="AZ368" s="2" t="s">
        <v>116</v>
      </c>
    </row>
    <row r="369" spans="1:52" s="3" customFormat="1" x14ac:dyDescent="0.35">
      <c r="A369" s="2" t="s">
        <v>3003</v>
      </c>
      <c r="B369" s="4">
        <v>248406</v>
      </c>
      <c r="C369" s="2" t="s">
        <v>3004</v>
      </c>
      <c r="D369" s="2">
        <f t="shared" si="5"/>
        <v>4</v>
      </c>
      <c r="F369" s="2" t="s">
        <v>2645</v>
      </c>
      <c r="G369" s="2" t="s">
        <v>53</v>
      </c>
      <c r="H369" s="4">
        <v>1</v>
      </c>
      <c r="I369" s="4">
        <v>1</v>
      </c>
      <c r="J369" s="5">
        <v>2700</v>
      </c>
      <c r="K369" s="2" t="s">
        <v>80</v>
      </c>
      <c r="L369" s="5">
        <v>2700</v>
      </c>
      <c r="M369" s="2" t="s">
        <v>3005</v>
      </c>
      <c r="N369" s="2" t="s">
        <v>1658</v>
      </c>
      <c r="O369" s="2" t="s">
        <v>83</v>
      </c>
      <c r="P369" s="2" t="s">
        <v>2634</v>
      </c>
      <c r="Q369" s="2" t="s">
        <v>2635</v>
      </c>
      <c r="R369" s="2" t="s">
        <v>3006</v>
      </c>
      <c r="S369" s="2" t="s">
        <v>3007</v>
      </c>
      <c r="V369" s="2" t="s">
        <v>3008</v>
      </c>
      <c r="W369" s="2" t="s">
        <v>3009</v>
      </c>
      <c r="Y369" s="2" t="s">
        <v>3010</v>
      </c>
      <c r="Z369" s="2" t="s">
        <v>3011</v>
      </c>
      <c r="AA369" s="2" t="s">
        <v>3012</v>
      </c>
      <c r="AB369" s="2" t="s">
        <v>3013</v>
      </c>
      <c r="AC369" s="2" t="s">
        <v>3014</v>
      </c>
      <c r="AD369" s="2" t="s">
        <v>68</v>
      </c>
      <c r="AE369" s="2" t="s">
        <v>69</v>
      </c>
      <c r="AF369" s="2" t="s">
        <v>70</v>
      </c>
      <c r="AK369" s="2" t="s">
        <v>3015</v>
      </c>
      <c r="AL369" s="2" t="s">
        <v>3016</v>
      </c>
      <c r="AM369" s="2" t="s">
        <v>72</v>
      </c>
      <c r="AN369" s="2" t="s">
        <v>73</v>
      </c>
      <c r="AP369" s="2" t="s">
        <v>2644</v>
      </c>
      <c r="AU369" s="2" t="s">
        <v>75</v>
      </c>
      <c r="AV369" s="2" t="s">
        <v>2645</v>
      </c>
      <c r="AW369" s="2" t="s">
        <v>3017</v>
      </c>
      <c r="AZ369" s="2" t="s">
        <v>77</v>
      </c>
    </row>
    <row r="370" spans="1:52" s="3" customFormat="1" x14ac:dyDescent="0.35">
      <c r="A370" s="2" t="s">
        <v>3018</v>
      </c>
      <c r="B370" s="4">
        <v>248404</v>
      </c>
      <c r="C370" s="2" t="s">
        <v>3019</v>
      </c>
      <c r="D370" s="2">
        <f t="shared" si="5"/>
        <v>4</v>
      </c>
      <c r="F370" s="2" t="s">
        <v>2645</v>
      </c>
      <c r="G370" s="2" t="s">
        <v>53</v>
      </c>
      <c r="H370" s="4">
        <v>1</v>
      </c>
      <c r="I370" s="4">
        <v>1</v>
      </c>
      <c r="J370" s="4">
        <v>0</v>
      </c>
      <c r="L370" s="4">
        <v>0</v>
      </c>
      <c r="M370" s="2" t="s">
        <v>55</v>
      </c>
      <c r="N370" s="2" t="s">
        <v>56</v>
      </c>
      <c r="O370" s="2" t="s">
        <v>57</v>
      </c>
      <c r="P370" s="2" t="s">
        <v>106</v>
      </c>
      <c r="Q370" s="2" t="s">
        <v>107</v>
      </c>
      <c r="R370" s="2" t="s">
        <v>3020</v>
      </c>
      <c r="S370" s="2" t="s">
        <v>3021</v>
      </c>
      <c r="V370" s="2" t="s">
        <v>3022</v>
      </c>
      <c r="W370" s="2" t="s">
        <v>3023</v>
      </c>
      <c r="Y370" s="2" t="s">
        <v>64</v>
      </c>
      <c r="Z370" s="2" t="s">
        <v>65</v>
      </c>
      <c r="AA370" s="2" t="s">
        <v>66</v>
      </c>
      <c r="AC370" s="2" t="s">
        <v>67</v>
      </c>
      <c r="AD370" s="2" t="s">
        <v>68</v>
      </c>
      <c r="AE370" s="2" t="s">
        <v>69</v>
      </c>
      <c r="AF370" s="2" t="s">
        <v>70</v>
      </c>
      <c r="AG370" s="2" t="s">
        <v>106</v>
      </c>
      <c r="AK370" s="2" t="s">
        <v>3024</v>
      </c>
      <c r="AM370" s="2" t="s">
        <v>72</v>
      </c>
      <c r="AN370" s="2" t="s">
        <v>1046</v>
      </c>
      <c r="AP370" s="2" t="s">
        <v>113</v>
      </c>
      <c r="AT370" s="2" t="s">
        <v>114</v>
      </c>
      <c r="AU370" s="2" t="s">
        <v>75</v>
      </c>
      <c r="AW370" s="2" t="s">
        <v>3025</v>
      </c>
      <c r="AZ370" s="2" t="s">
        <v>116</v>
      </c>
    </row>
    <row r="371" spans="1:52" s="3" customFormat="1" x14ac:dyDescent="0.35">
      <c r="A371" s="2" t="s">
        <v>3026</v>
      </c>
      <c r="B371" s="4">
        <v>248403</v>
      </c>
      <c r="C371" s="2" t="s">
        <v>3027</v>
      </c>
      <c r="D371" s="2">
        <f t="shared" si="5"/>
        <v>4</v>
      </c>
      <c r="F371" s="2" t="s">
        <v>2645</v>
      </c>
      <c r="G371" s="2" t="s">
        <v>53</v>
      </c>
      <c r="H371" s="4">
        <v>1</v>
      </c>
      <c r="I371" s="4">
        <v>1</v>
      </c>
      <c r="J371" s="4">
        <v>0</v>
      </c>
      <c r="L371" s="4">
        <v>0</v>
      </c>
      <c r="M371" s="2" t="s">
        <v>55</v>
      </c>
      <c r="N371" s="2" t="s">
        <v>56</v>
      </c>
      <c r="O371" s="2" t="s">
        <v>57</v>
      </c>
      <c r="P371" s="2" t="s">
        <v>106</v>
      </c>
      <c r="Q371" s="2" t="s">
        <v>107</v>
      </c>
      <c r="R371" s="2" t="s">
        <v>3028</v>
      </c>
      <c r="S371" s="2" t="s">
        <v>3029</v>
      </c>
      <c r="V371" s="2" t="s">
        <v>3030</v>
      </c>
      <c r="W371" s="2" t="s">
        <v>3031</v>
      </c>
      <c r="Y371" s="2" t="s">
        <v>64</v>
      </c>
      <c r="Z371" s="2" t="s">
        <v>65</v>
      </c>
      <c r="AA371" s="2" t="s">
        <v>66</v>
      </c>
      <c r="AC371" s="2" t="s">
        <v>67</v>
      </c>
      <c r="AD371" s="2" t="s">
        <v>68</v>
      </c>
      <c r="AE371" s="2" t="s">
        <v>69</v>
      </c>
      <c r="AF371" s="2" t="s">
        <v>70</v>
      </c>
      <c r="AG371" s="2" t="s">
        <v>106</v>
      </c>
      <c r="AK371" s="2" t="s">
        <v>3032</v>
      </c>
      <c r="AM371" s="2" t="s">
        <v>72</v>
      </c>
      <c r="AN371" s="2" t="s">
        <v>1046</v>
      </c>
      <c r="AP371" s="2" t="s">
        <v>113</v>
      </c>
      <c r="AT371" s="2" t="s">
        <v>114</v>
      </c>
      <c r="AU371" s="2" t="s">
        <v>75</v>
      </c>
      <c r="AW371" s="2" t="s">
        <v>3033</v>
      </c>
      <c r="AZ371" s="2" t="s">
        <v>116</v>
      </c>
    </row>
    <row r="372" spans="1:52" s="3" customFormat="1" x14ac:dyDescent="0.35">
      <c r="A372" s="2" t="s">
        <v>3034</v>
      </c>
      <c r="B372" s="4">
        <v>248402</v>
      </c>
      <c r="C372" s="2" t="s">
        <v>3035</v>
      </c>
      <c r="D372" s="2">
        <f t="shared" si="5"/>
        <v>4</v>
      </c>
      <c r="G372" s="2" t="s">
        <v>53</v>
      </c>
      <c r="H372" s="4">
        <v>1</v>
      </c>
      <c r="I372" s="4">
        <v>1</v>
      </c>
      <c r="J372" s="4">
        <v>0</v>
      </c>
      <c r="L372" s="4">
        <v>0</v>
      </c>
      <c r="M372" s="2" t="s">
        <v>55</v>
      </c>
      <c r="N372" s="2" t="s">
        <v>56</v>
      </c>
      <c r="O372" s="2" t="s">
        <v>57</v>
      </c>
      <c r="P372" s="2" t="s">
        <v>499</v>
      </c>
      <c r="Q372" s="2" t="s">
        <v>500</v>
      </c>
      <c r="R372" s="2" t="s">
        <v>3036</v>
      </c>
      <c r="S372" s="2" t="s">
        <v>3037</v>
      </c>
      <c r="V372" s="2" t="s">
        <v>3038</v>
      </c>
      <c r="W372" s="2" t="s">
        <v>3039</v>
      </c>
      <c r="Y372" s="2" t="s">
        <v>64</v>
      </c>
      <c r="Z372" s="2" t="s">
        <v>65</v>
      </c>
      <c r="AA372" s="2" t="s">
        <v>66</v>
      </c>
      <c r="AC372" s="2" t="s">
        <v>67</v>
      </c>
      <c r="AD372" s="2" t="s">
        <v>68</v>
      </c>
      <c r="AE372" s="2" t="s">
        <v>69</v>
      </c>
      <c r="AF372" s="2" t="s">
        <v>70</v>
      </c>
      <c r="AG372" s="2" t="s">
        <v>499</v>
      </c>
      <c r="AK372" s="2" t="s">
        <v>3040</v>
      </c>
      <c r="AM372" s="2" t="s">
        <v>72</v>
      </c>
      <c r="AN372" s="2" t="s">
        <v>473</v>
      </c>
      <c r="AP372" s="2" t="s">
        <v>74</v>
      </c>
      <c r="AU372" s="2" t="s">
        <v>75</v>
      </c>
      <c r="AW372" s="2" t="s">
        <v>3041</v>
      </c>
      <c r="AZ372" s="2" t="s">
        <v>116</v>
      </c>
    </row>
    <row r="373" spans="1:52" s="3" customFormat="1" x14ac:dyDescent="0.35">
      <c r="A373" s="2" t="s">
        <v>3042</v>
      </c>
      <c r="B373" s="4">
        <v>248401</v>
      </c>
      <c r="C373" s="2" t="s">
        <v>3043</v>
      </c>
      <c r="D373" s="2">
        <f t="shared" si="5"/>
        <v>4</v>
      </c>
      <c r="F373" s="2" t="s">
        <v>2645</v>
      </c>
      <c r="G373" s="2" t="s">
        <v>53</v>
      </c>
      <c r="H373" s="4">
        <v>2</v>
      </c>
      <c r="I373" s="4">
        <v>1</v>
      </c>
      <c r="J373" s="5">
        <v>5400</v>
      </c>
      <c r="K373" s="2" t="s">
        <v>80</v>
      </c>
      <c r="L373" s="5">
        <v>5400</v>
      </c>
      <c r="M373" s="2" t="s">
        <v>3044</v>
      </c>
      <c r="N373" s="2" t="s">
        <v>1658</v>
      </c>
      <c r="O373" s="2" t="s">
        <v>484</v>
      </c>
      <c r="P373" s="2" t="s">
        <v>2634</v>
      </c>
      <c r="Q373" s="2" t="s">
        <v>2635</v>
      </c>
      <c r="R373" s="2" t="s">
        <v>3045</v>
      </c>
      <c r="S373" s="2" t="s">
        <v>3046</v>
      </c>
      <c r="V373" s="2" t="s">
        <v>3047</v>
      </c>
      <c r="W373" s="2" t="s">
        <v>3048</v>
      </c>
      <c r="Y373" s="2" t="s">
        <v>3049</v>
      </c>
      <c r="Z373" s="2" t="s">
        <v>3050</v>
      </c>
      <c r="AA373" s="2" t="s">
        <v>3051</v>
      </c>
      <c r="AB373" s="2" t="s">
        <v>3052</v>
      </c>
      <c r="AC373" s="2" t="s">
        <v>3053</v>
      </c>
      <c r="AD373" s="2" t="s">
        <v>68</v>
      </c>
      <c r="AE373" s="2" t="s">
        <v>69</v>
      </c>
      <c r="AF373" s="2" t="s">
        <v>70</v>
      </c>
      <c r="AK373" s="2" t="s">
        <v>3054</v>
      </c>
      <c r="AL373" s="2" t="s">
        <v>3016</v>
      </c>
      <c r="AM373" s="2" t="s">
        <v>72</v>
      </c>
      <c r="AN373" s="2" t="s">
        <v>73</v>
      </c>
      <c r="AP373" s="2" t="s">
        <v>2644</v>
      </c>
      <c r="AU373" s="2" t="s">
        <v>75</v>
      </c>
      <c r="AV373" s="2" t="s">
        <v>2369</v>
      </c>
      <c r="AW373" s="2" t="s">
        <v>3055</v>
      </c>
      <c r="AZ373" s="2" t="s">
        <v>77</v>
      </c>
    </row>
    <row r="374" spans="1:52" s="3" customFormat="1" x14ac:dyDescent="0.35">
      <c r="A374" s="2" t="s">
        <v>3056</v>
      </c>
      <c r="B374" s="4">
        <v>248400</v>
      </c>
      <c r="C374" s="2" t="s">
        <v>3057</v>
      </c>
      <c r="D374" s="2">
        <f t="shared" si="5"/>
        <v>4</v>
      </c>
      <c r="F374" s="2" t="s">
        <v>2645</v>
      </c>
      <c r="G374" s="2" t="s">
        <v>53</v>
      </c>
      <c r="H374" s="4">
        <v>1</v>
      </c>
      <c r="I374" s="4">
        <v>1</v>
      </c>
      <c r="J374" s="4">
        <v>0</v>
      </c>
      <c r="L374" s="4">
        <v>0</v>
      </c>
      <c r="M374" s="2" t="s">
        <v>55</v>
      </c>
      <c r="N374" s="2" t="s">
        <v>56</v>
      </c>
      <c r="O374" s="2" t="s">
        <v>57</v>
      </c>
      <c r="P374" s="2" t="s">
        <v>106</v>
      </c>
      <c r="Q374" s="2" t="s">
        <v>107</v>
      </c>
      <c r="R374" s="2" t="s">
        <v>3058</v>
      </c>
      <c r="S374" s="2" t="s">
        <v>3059</v>
      </c>
      <c r="V374" s="2" t="s">
        <v>3060</v>
      </c>
      <c r="W374" s="2" t="s">
        <v>3061</v>
      </c>
      <c r="Y374" s="2" t="s">
        <v>64</v>
      </c>
      <c r="Z374" s="2" t="s">
        <v>65</v>
      </c>
      <c r="AA374" s="2" t="s">
        <v>66</v>
      </c>
      <c r="AC374" s="2" t="s">
        <v>67</v>
      </c>
      <c r="AD374" s="2" t="s">
        <v>68</v>
      </c>
      <c r="AE374" s="2" t="s">
        <v>69</v>
      </c>
      <c r="AF374" s="2" t="s">
        <v>70</v>
      </c>
      <c r="AG374" s="2" t="s">
        <v>106</v>
      </c>
      <c r="AK374" s="2" t="s">
        <v>3062</v>
      </c>
      <c r="AM374" s="2" t="s">
        <v>72</v>
      </c>
      <c r="AN374" s="2" t="s">
        <v>73</v>
      </c>
      <c r="AP374" s="2" t="s">
        <v>113</v>
      </c>
      <c r="AT374" s="2" t="s">
        <v>114</v>
      </c>
      <c r="AU374" s="2" t="s">
        <v>75</v>
      </c>
      <c r="AV374" s="2" t="s">
        <v>3063</v>
      </c>
      <c r="AW374" s="2" t="s">
        <v>3064</v>
      </c>
      <c r="AZ374" s="2" t="s">
        <v>116</v>
      </c>
    </row>
    <row r="375" spans="1:52" s="3" customFormat="1" x14ac:dyDescent="0.35">
      <c r="A375" s="2" t="s">
        <v>3065</v>
      </c>
      <c r="B375" s="4">
        <v>248399</v>
      </c>
      <c r="C375" s="2" t="s">
        <v>3066</v>
      </c>
      <c r="D375" s="2">
        <f t="shared" si="5"/>
        <v>4</v>
      </c>
      <c r="F375" s="2" t="s">
        <v>2645</v>
      </c>
      <c r="G375" s="2" t="s">
        <v>53</v>
      </c>
      <c r="H375" s="4">
        <v>1</v>
      </c>
      <c r="I375" s="4">
        <v>1</v>
      </c>
      <c r="J375" s="4">
        <v>0</v>
      </c>
      <c r="L375" s="4">
        <v>0</v>
      </c>
      <c r="M375" s="2" t="s">
        <v>55</v>
      </c>
      <c r="N375" s="2" t="s">
        <v>56</v>
      </c>
      <c r="O375" s="2" t="s">
        <v>57</v>
      </c>
      <c r="P375" s="2" t="s">
        <v>1051</v>
      </c>
      <c r="Q375" s="2" t="s">
        <v>1052</v>
      </c>
      <c r="R375" s="2" t="s">
        <v>3067</v>
      </c>
      <c r="S375" s="2" t="s">
        <v>3068</v>
      </c>
      <c r="V375" s="2" t="s">
        <v>3069</v>
      </c>
      <c r="W375" s="2" t="s">
        <v>3070</v>
      </c>
      <c r="Y375" s="2" t="s">
        <v>64</v>
      </c>
      <c r="Z375" s="2" t="s">
        <v>205</v>
      </c>
      <c r="AA375" s="2" t="s">
        <v>66</v>
      </c>
      <c r="AC375" s="2" t="s">
        <v>67</v>
      </c>
      <c r="AD375" s="2" t="s">
        <v>68</v>
      </c>
      <c r="AE375" s="2" t="s">
        <v>69</v>
      </c>
      <c r="AF375" s="2" t="s">
        <v>70</v>
      </c>
      <c r="AG375" s="2" t="s">
        <v>1051</v>
      </c>
      <c r="AK375" s="2" t="s">
        <v>3071</v>
      </c>
      <c r="AM375" s="2" t="s">
        <v>72</v>
      </c>
      <c r="AN375" s="2" t="s">
        <v>473</v>
      </c>
      <c r="AP375" s="2" t="s">
        <v>1058</v>
      </c>
      <c r="AU375" s="2" t="s">
        <v>75</v>
      </c>
      <c r="AW375" s="2" t="s">
        <v>3072</v>
      </c>
      <c r="AZ375" s="2" t="s">
        <v>116</v>
      </c>
    </row>
    <row r="376" spans="1:52" s="3" customFormat="1" x14ac:dyDescent="0.35">
      <c r="A376" s="2" t="s">
        <v>3073</v>
      </c>
      <c r="B376" s="4">
        <v>248398</v>
      </c>
      <c r="C376" s="2" t="s">
        <v>3074</v>
      </c>
      <c r="D376" s="2">
        <f t="shared" si="5"/>
        <v>4</v>
      </c>
      <c r="F376" s="2" t="s">
        <v>2645</v>
      </c>
      <c r="G376" s="2" t="s">
        <v>53</v>
      </c>
      <c r="H376" s="4">
        <v>2</v>
      </c>
      <c r="I376" s="4">
        <v>1</v>
      </c>
      <c r="J376" s="5">
        <v>70000</v>
      </c>
      <c r="L376" s="5">
        <v>70000</v>
      </c>
      <c r="M376" s="2" t="s">
        <v>55</v>
      </c>
      <c r="N376" s="2" t="s">
        <v>458</v>
      </c>
      <c r="O376" s="2" t="s">
        <v>459</v>
      </c>
      <c r="P376" s="2" t="s">
        <v>3075</v>
      </c>
      <c r="Q376" s="2" t="s">
        <v>3076</v>
      </c>
      <c r="R376" s="2" t="s">
        <v>3077</v>
      </c>
      <c r="T376" s="2" t="s">
        <v>3078</v>
      </c>
      <c r="U376" s="2" t="s">
        <v>3079</v>
      </c>
      <c r="V376" s="2" t="s">
        <v>3080</v>
      </c>
      <c r="W376" s="2" t="s">
        <v>3081</v>
      </c>
      <c r="X376" s="2" t="s">
        <v>3082</v>
      </c>
      <c r="Y376" s="2" t="s">
        <v>3083</v>
      </c>
      <c r="Z376" s="2" t="s">
        <v>3084</v>
      </c>
      <c r="AA376" s="2" t="s">
        <v>3085</v>
      </c>
      <c r="AC376" s="2" t="s">
        <v>3086</v>
      </c>
      <c r="AD376" s="2" t="s">
        <v>2556</v>
      </c>
      <c r="AE376" s="2" t="s">
        <v>69</v>
      </c>
      <c r="AF376" s="2" t="s">
        <v>97</v>
      </c>
      <c r="AG376" s="2" t="s">
        <v>3075</v>
      </c>
      <c r="AK376" s="2" t="s">
        <v>3087</v>
      </c>
      <c r="AM376" s="2" t="s">
        <v>72</v>
      </c>
      <c r="AN376" s="2" t="s">
        <v>73</v>
      </c>
      <c r="AP376" s="2" t="s">
        <v>3088</v>
      </c>
      <c r="AS376" s="2" t="s">
        <v>3089</v>
      </c>
      <c r="AT376" s="2" t="s">
        <v>102</v>
      </c>
      <c r="AU376" s="2" t="s">
        <v>75</v>
      </c>
      <c r="AV376" s="2" t="s">
        <v>3090</v>
      </c>
      <c r="AW376" s="2" t="s">
        <v>3091</v>
      </c>
      <c r="AX376" s="2" t="s">
        <v>477</v>
      </c>
      <c r="AZ376" s="2" t="s">
        <v>478</v>
      </c>
    </row>
    <row r="377" spans="1:52" s="3" customFormat="1" x14ac:dyDescent="0.35">
      <c r="A377" s="2" t="s">
        <v>3092</v>
      </c>
      <c r="B377" s="4">
        <v>248397</v>
      </c>
      <c r="C377" s="2" t="s">
        <v>3093</v>
      </c>
      <c r="D377" s="2">
        <f t="shared" si="5"/>
        <v>4</v>
      </c>
      <c r="F377" s="2" t="s">
        <v>2645</v>
      </c>
      <c r="G377" s="2" t="s">
        <v>53</v>
      </c>
      <c r="H377" s="4">
        <v>3</v>
      </c>
      <c r="I377" s="4">
        <v>1</v>
      </c>
      <c r="J377" s="5">
        <v>6150</v>
      </c>
      <c r="L377" s="5">
        <v>6150</v>
      </c>
      <c r="M377" s="2" t="s">
        <v>55</v>
      </c>
      <c r="N377" s="2" t="s">
        <v>458</v>
      </c>
      <c r="O377" s="2" t="s">
        <v>459</v>
      </c>
      <c r="P377" s="2" t="s">
        <v>509</v>
      </c>
      <c r="Q377" s="2" t="s">
        <v>510</v>
      </c>
      <c r="R377" s="2" t="s">
        <v>462</v>
      </c>
      <c r="T377" s="2" t="s">
        <v>463</v>
      </c>
      <c r="U377" s="2" t="s">
        <v>464</v>
      </c>
      <c r="V377" s="2" t="s">
        <v>465</v>
      </c>
      <c r="W377" s="2" t="s">
        <v>2800</v>
      </c>
      <c r="X377" s="2" t="s">
        <v>3094</v>
      </c>
      <c r="Y377" s="2" t="s">
        <v>467</v>
      </c>
      <c r="Z377" s="2" t="s">
        <v>468</v>
      </c>
      <c r="AA377" s="2" t="s">
        <v>469</v>
      </c>
      <c r="AC377" s="2" t="s">
        <v>470</v>
      </c>
      <c r="AD377" s="2" t="s">
        <v>68</v>
      </c>
      <c r="AE377" s="2" t="s">
        <v>69</v>
      </c>
      <c r="AF377" s="2" t="s">
        <v>70</v>
      </c>
      <c r="AG377" s="2" t="s">
        <v>3095</v>
      </c>
      <c r="AK377" s="2" t="s">
        <v>3096</v>
      </c>
      <c r="AM377" s="2" t="s">
        <v>72</v>
      </c>
      <c r="AN377" s="2" t="s">
        <v>473</v>
      </c>
      <c r="AP377" s="2" t="s">
        <v>74</v>
      </c>
      <c r="AU377" s="2" t="s">
        <v>75</v>
      </c>
      <c r="AV377" s="2" t="s">
        <v>475</v>
      </c>
      <c r="AW377" s="2" t="s">
        <v>476</v>
      </c>
      <c r="AX377" s="2" t="s">
        <v>477</v>
      </c>
      <c r="AZ377" s="2" t="s">
        <v>478</v>
      </c>
    </row>
    <row r="378" spans="1:52" s="3" customFormat="1" x14ac:dyDescent="0.35">
      <c r="A378" s="2" t="s">
        <v>3097</v>
      </c>
      <c r="B378" s="4">
        <v>248341</v>
      </c>
      <c r="C378" s="2" t="s">
        <v>3098</v>
      </c>
      <c r="D378" s="2">
        <f t="shared" si="5"/>
        <v>4</v>
      </c>
      <c r="F378" s="2" t="s">
        <v>2826</v>
      </c>
      <c r="G378" s="2" t="s">
        <v>53</v>
      </c>
      <c r="H378" s="4">
        <v>1</v>
      </c>
      <c r="I378" s="4">
        <v>1</v>
      </c>
      <c r="J378" s="4">
        <v>0</v>
      </c>
      <c r="L378" s="4">
        <v>0</v>
      </c>
      <c r="M378" s="2" t="s">
        <v>55</v>
      </c>
      <c r="N378" s="2" t="s">
        <v>56</v>
      </c>
      <c r="O378" s="2" t="s">
        <v>57</v>
      </c>
      <c r="P378" s="2" t="s">
        <v>106</v>
      </c>
      <c r="Q378" s="2" t="s">
        <v>107</v>
      </c>
      <c r="R378" s="2" t="s">
        <v>3099</v>
      </c>
      <c r="S378" s="2" t="s">
        <v>3100</v>
      </c>
      <c r="V378" s="2" t="s">
        <v>3101</v>
      </c>
      <c r="W378" s="2" t="s">
        <v>3102</v>
      </c>
      <c r="Y378" s="2" t="s">
        <v>64</v>
      </c>
      <c r="Z378" s="2" t="s">
        <v>65</v>
      </c>
      <c r="AA378" s="2" t="s">
        <v>66</v>
      </c>
      <c r="AC378" s="2" t="s">
        <v>67</v>
      </c>
      <c r="AD378" s="2" t="s">
        <v>68</v>
      </c>
      <c r="AE378" s="2" t="s">
        <v>69</v>
      </c>
      <c r="AF378" s="2" t="s">
        <v>70</v>
      </c>
      <c r="AG378" s="2" t="s">
        <v>106</v>
      </c>
      <c r="AK378" s="2" t="s">
        <v>3103</v>
      </c>
      <c r="AM378" s="2" t="s">
        <v>72</v>
      </c>
      <c r="AN378" s="2" t="s">
        <v>473</v>
      </c>
      <c r="AP378" s="2" t="s">
        <v>113</v>
      </c>
      <c r="AT378" s="2" t="s">
        <v>114</v>
      </c>
      <c r="AU378" s="2" t="s">
        <v>75</v>
      </c>
      <c r="AV378" s="2" t="s">
        <v>1915</v>
      </c>
      <c r="AW378" s="2" t="s">
        <v>3104</v>
      </c>
      <c r="AZ378" s="2" t="s">
        <v>116</v>
      </c>
    </row>
    <row r="379" spans="1:52" s="3" customFormat="1" x14ac:dyDescent="0.35">
      <c r="A379" s="2" t="s">
        <v>3105</v>
      </c>
      <c r="B379" s="4">
        <v>248339</v>
      </c>
      <c r="C379" s="2" t="s">
        <v>3106</v>
      </c>
      <c r="D379" s="2">
        <f t="shared" si="5"/>
        <v>4</v>
      </c>
      <c r="G379" s="2" t="s">
        <v>53</v>
      </c>
      <c r="H379" s="4">
        <v>1</v>
      </c>
      <c r="I379" s="4">
        <v>1</v>
      </c>
      <c r="J379" s="4">
        <v>0</v>
      </c>
      <c r="L379" s="4">
        <v>0</v>
      </c>
      <c r="M379" s="2" t="s">
        <v>55</v>
      </c>
      <c r="N379" s="2" t="s">
        <v>56</v>
      </c>
      <c r="O379" s="2" t="s">
        <v>57</v>
      </c>
      <c r="P379" s="2" t="s">
        <v>499</v>
      </c>
      <c r="Q379" s="2" t="s">
        <v>500</v>
      </c>
      <c r="R379" s="2" t="s">
        <v>3107</v>
      </c>
      <c r="S379" s="2" t="s">
        <v>3108</v>
      </c>
      <c r="V379" s="2" t="s">
        <v>3109</v>
      </c>
      <c r="W379" s="2" t="s">
        <v>3110</v>
      </c>
      <c r="Y379" s="2" t="s">
        <v>64</v>
      </c>
      <c r="Z379" s="2" t="s">
        <v>65</v>
      </c>
      <c r="AA379" s="2" t="s">
        <v>66</v>
      </c>
      <c r="AC379" s="2" t="s">
        <v>67</v>
      </c>
      <c r="AD379" s="2" t="s">
        <v>68</v>
      </c>
      <c r="AE379" s="2" t="s">
        <v>69</v>
      </c>
      <c r="AF379" s="2" t="s">
        <v>70</v>
      </c>
      <c r="AG379" s="2" t="s">
        <v>499</v>
      </c>
      <c r="AK379" s="2" t="s">
        <v>3111</v>
      </c>
      <c r="AM379" s="2" t="s">
        <v>72</v>
      </c>
      <c r="AN379" s="2" t="s">
        <v>73</v>
      </c>
      <c r="AP379" s="2" t="s">
        <v>74</v>
      </c>
      <c r="AU379" s="2" t="s">
        <v>75</v>
      </c>
      <c r="AW379" s="2" t="s">
        <v>3112</v>
      </c>
      <c r="AZ379" s="2" t="s">
        <v>116</v>
      </c>
    </row>
    <row r="380" spans="1:52" s="3" customFormat="1" x14ac:dyDescent="0.35">
      <c r="A380" s="2" t="s">
        <v>3113</v>
      </c>
      <c r="B380" s="4">
        <v>248337</v>
      </c>
      <c r="C380" s="2" t="s">
        <v>3114</v>
      </c>
      <c r="D380" s="2">
        <f t="shared" si="5"/>
        <v>4</v>
      </c>
      <c r="F380" s="2" t="s">
        <v>2826</v>
      </c>
      <c r="G380" s="2" t="s">
        <v>53</v>
      </c>
      <c r="H380" s="4">
        <v>1</v>
      </c>
      <c r="I380" s="4">
        <v>1</v>
      </c>
      <c r="J380" s="4">
        <v>0</v>
      </c>
      <c r="L380" s="4">
        <v>0</v>
      </c>
      <c r="M380" s="2" t="s">
        <v>55</v>
      </c>
      <c r="N380" s="2" t="s">
        <v>56</v>
      </c>
      <c r="O380" s="2" t="s">
        <v>57</v>
      </c>
      <c r="P380" s="2" t="s">
        <v>106</v>
      </c>
      <c r="Q380" s="2" t="s">
        <v>107</v>
      </c>
      <c r="R380" s="2" t="s">
        <v>3115</v>
      </c>
      <c r="S380" s="2" t="s">
        <v>3116</v>
      </c>
      <c r="V380" s="2" t="s">
        <v>3117</v>
      </c>
      <c r="W380" s="2" t="s">
        <v>3118</v>
      </c>
      <c r="Y380" s="2" t="s">
        <v>64</v>
      </c>
      <c r="Z380" s="2" t="s">
        <v>65</v>
      </c>
      <c r="AA380" s="2" t="s">
        <v>66</v>
      </c>
      <c r="AC380" s="2" t="s">
        <v>67</v>
      </c>
      <c r="AD380" s="2" t="s">
        <v>68</v>
      </c>
      <c r="AE380" s="2" t="s">
        <v>69</v>
      </c>
      <c r="AF380" s="2" t="s">
        <v>70</v>
      </c>
      <c r="AG380" s="2" t="s">
        <v>106</v>
      </c>
      <c r="AK380" s="2" t="s">
        <v>3119</v>
      </c>
      <c r="AM380" s="2" t="s">
        <v>72</v>
      </c>
      <c r="AN380" s="2" t="s">
        <v>1046</v>
      </c>
      <c r="AP380" s="2" t="s">
        <v>113</v>
      </c>
      <c r="AT380" s="2" t="s">
        <v>114</v>
      </c>
      <c r="AU380" s="2" t="s">
        <v>75</v>
      </c>
      <c r="AW380" s="2" t="s">
        <v>3120</v>
      </c>
      <c r="AZ380" s="2" t="s">
        <v>116</v>
      </c>
    </row>
    <row r="381" spans="1:52" s="3" customFormat="1" x14ac:dyDescent="0.35">
      <c r="A381" s="2" t="s">
        <v>3121</v>
      </c>
      <c r="B381" s="4">
        <v>248336</v>
      </c>
      <c r="C381" s="2" t="s">
        <v>3122</v>
      </c>
      <c r="D381" s="2">
        <f t="shared" si="5"/>
        <v>4</v>
      </c>
      <c r="G381" s="2" t="s">
        <v>53</v>
      </c>
      <c r="H381" s="4">
        <v>1</v>
      </c>
      <c r="I381" s="4">
        <v>1</v>
      </c>
      <c r="J381" s="4">
        <v>0</v>
      </c>
      <c r="L381" s="4">
        <v>0</v>
      </c>
      <c r="M381" s="2" t="s">
        <v>55</v>
      </c>
      <c r="N381" s="2" t="s">
        <v>56</v>
      </c>
      <c r="O381" s="2" t="s">
        <v>57</v>
      </c>
      <c r="P381" s="2" t="s">
        <v>499</v>
      </c>
      <c r="Q381" s="2" t="s">
        <v>500</v>
      </c>
      <c r="R381" s="2" t="s">
        <v>3123</v>
      </c>
      <c r="S381" s="2" t="s">
        <v>3124</v>
      </c>
      <c r="V381" s="2" t="s">
        <v>3125</v>
      </c>
      <c r="W381" s="2" t="s">
        <v>3126</v>
      </c>
      <c r="Y381" s="2" t="s">
        <v>64</v>
      </c>
      <c r="Z381" s="2" t="s">
        <v>65</v>
      </c>
      <c r="AA381" s="2" t="s">
        <v>66</v>
      </c>
      <c r="AC381" s="2" t="s">
        <v>67</v>
      </c>
      <c r="AD381" s="2" t="s">
        <v>68</v>
      </c>
      <c r="AE381" s="2" t="s">
        <v>69</v>
      </c>
      <c r="AF381" s="2" t="s">
        <v>70</v>
      </c>
      <c r="AG381" s="2" t="s">
        <v>499</v>
      </c>
      <c r="AK381" s="2" t="s">
        <v>3127</v>
      </c>
      <c r="AM381" s="2" t="s">
        <v>72</v>
      </c>
      <c r="AN381" s="2" t="s">
        <v>473</v>
      </c>
      <c r="AP381" s="2" t="s">
        <v>74</v>
      </c>
      <c r="AU381" s="2" t="s">
        <v>75</v>
      </c>
      <c r="AV381" s="2" t="s">
        <v>2645</v>
      </c>
      <c r="AW381" s="2" t="s">
        <v>3128</v>
      </c>
      <c r="AZ381" s="2" t="s">
        <v>116</v>
      </c>
    </row>
    <row r="382" spans="1:52" s="3" customFormat="1" x14ac:dyDescent="0.35">
      <c r="A382" s="2" t="s">
        <v>3129</v>
      </c>
      <c r="B382" s="4">
        <v>248334</v>
      </c>
      <c r="C382" s="2" t="s">
        <v>3130</v>
      </c>
      <c r="D382" s="2">
        <f t="shared" si="5"/>
        <v>4</v>
      </c>
      <c r="F382" s="2" t="s">
        <v>2826</v>
      </c>
      <c r="G382" s="2" t="s">
        <v>53</v>
      </c>
      <c r="H382" s="4">
        <v>1</v>
      </c>
      <c r="I382" s="4">
        <v>1</v>
      </c>
      <c r="J382" s="4">
        <v>0</v>
      </c>
      <c r="L382" s="4">
        <v>0</v>
      </c>
      <c r="M382" s="2" t="s">
        <v>55</v>
      </c>
      <c r="N382" s="2" t="s">
        <v>56</v>
      </c>
      <c r="O382" s="2" t="s">
        <v>57</v>
      </c>
      <c r="P382" s="2" t="s">
        <v>3131</v>
      </c>
      <c r="Q382" s="2" t="s">
        <v>3132</v>
      </c>
      <c r="R382" s="2" t="s">
        <v>3133</v>
      </c>
      <c r="S382" s="2" t="s">
        <v>3134</v>
      </c>
      <c r="V382" s="2" t="s">
        <v>3135</v>
      </c>
      <c r="W382" s="2" t="s">
        <v>3136</v>
      </c>
      <c r="Y382" s="2" t="s">
        <v>3137</v>
      </c>
      <c r="Z382" s="2" t="s">
        <v>3138</v>
      </c>
      <c r="AA382" s="2" t="s">
        <v>2459</v>
      </c>
      <c r="AC382" s="2" t="s">
        <v>3139</v>
      </c>
      <c r="AD382" s="2" t="s">
        <v>3140</v>
      </c>
      <c r="AE382" s="2" t="s">
        <v>3141</v>
      </c>
      <c r="AF382" s="2" t="s">
        <v>70</v>
      </c>
      <c r="AG382" s="2" t="s">
        <v>3142</v>
      </c>
      <c r="AK382" s="2" t="s">
        <v>3143</v>
      </c>
      <c r="AM382" s="2" t="s">
        <v>72</v>
      </c>
      <c r="AN382" s="2" t="s">
        <v>232</v>
      </c>
      <c r="AP382" s="2" t="s">
        <v>3144</v>
      </c>
      <c r="AT382" s="2" t="s">
        <v>114</v>
      </c>
      <c r="AU382" s="2" t="s">
        <v>75</v>
      </c>
      <c r="AW382" s="2" t="s">
        <v>3145</v>
      </c>
      <c r="AZ382" s="2" t="s">
        <v>116</v>
      </c>
    </row>
    <row r="383" spans="1:52" s="3" customFormat="1" x14ac:dyDescent="0.35">
      <c r="A383" s="2" t="s">
        <v>3146</v>
      </c>
      <c r="B383" s="4">
        <v>248320</v>
      </c>
      <c r="C383" s="2" t="s">
        <v>3147</v>
      </c>
      <c r="D383" s="2">
        <f t="shared" si="5"/>
        <v>4</v>
      </c>
      <c r="F383" s="2" t="s">
        <v>2645</v>
      </c>
      <c r="G383" s="2" t="s">
        <v>53</v>
      </c>
      <c r="H383" s="4">
        <v>16</v>
      </c>
      <c r="I383" s="4">
        <v>1</v>
      </c>
      <c r="J383" s="5">
        <v>37500</v>
      </c>
      <c r="L383" s="5">
        <v>35193.75</v>
      </c>
      <c r="M383" s="2" t="s">
        <v>55</v>
      </c>
      <c r="N383" s="2" t="s">
        <v>458</v>
      </c>
      <c r="O383" s="2" t="s">
        <v>459</v>
      </c>
      <c r="P383" s="2" t="s">
        <v>3149</v>
      </c>
      <c r="Q383" s="2" t="s">
        <v>3150</v>
      </c>
      <c r="R383" s="2" t="s">
        <v>3151</v>
      </c>
      <c r="T383" s="2" t="s">
        <v>3152</v>
      </c>
      <c r="U383" s="2" t="s">
        <v>3153</v>
      </c>
      <c r="V383" s="2" t="s">
        <v>3154</v>
      </c>
      <c r="W383" s="2" t="s">
        <v>3155</v>
      </c>
      <c r="X383" s="2" t="s">
        <v>3155</v>
      </c>
      <c r="Y383" s="2" t="s">
        <v>3156</v>
      </c>
      <c r="Z383" s="2" t="s">
        <v>3157</v>
      </c>
      <c r="AA383" s="2" t="s">
        <v>3158</v>
      </c>
      <c r="AC383" s="2" t="s">
        <v>2842</v>
      </c>
      <c r="AD383" s="2" t="s">
        <v>3159</v>
      </c>
      <c r="AE383" s="2" t="s">
        <v>3160</v>
      </c>
      <c r="AF383" s="2" t="s">
        <v>70</v>
      </c>
      <c r="AG383" s="2" t="s">
        <v>3149</v>
      </c>
      <c r="AK383" s="2" t="s">
        <v>3161</v>
      </c>
      <c r="AM383" s="2" t="s">
        <v>72</v>
      </c>
      <c r="AN383" s="2" t="s">
        <v>232</v>
      </c>
      <c r="AP383" s="2" t="s">
        <v>2705</v>
      </c>
      <c r="AT383" s="2" t="s">
        <v>114</v>
      </c>
      <c r="AU383" s="2" t="s">
        <v>75</v>
      </c>
      <c r="AV383" s="2" t="s">
        <v>3162</v>
      </c>
      <c r="AW383" s="2" t="s">
        <v>3163</v>
      </c>
      <c r="AX383" s="2" t="s">
        <v>477</v>
      </c>
      <c r="AZ383" s="2" t="s">
        <v>478</v>
      </c>
    </row>
    <row r="384" spans="1:52" s="3" customFormat="1" x14ac:dyDescent="0.35">
      <c r="A384" s="2" t="s">
        <v>3164</v>
      </c>
      <c r="B384" s="4">
        <v>248315</v>
      </c>
      <c r="C384" s="2" t="s">
        <v>3165</v>
      </c>
      <c r="D384" s="2">
        <f t="shared" si="5"/>
        <v>4</v>
      </c>
      <c r="F384" s="2" t="s">
        <v>2645</v>
      </c>
      <c r="G384" s="2" t="s">
        <v>53</v>
      </c>
      <c r="H384" s="4">
        <v>1</v>
      </c>
      <c r="I384" s="4">
        <v>1</v>
      </c>
      <c r="J384" s="5">
        <v>35000</v>
      </c>
      <c r="L384" s="5">
        <v>32847.5</v>
      </c>
      <c r="M384" s="2" t="s">
        <v>55</v>
      </c>
      <c r="N384" s="2" t="s">
        <v>458</v>
      </c>
      <c r="O384" s="2" t="s">
        <v>459</v>
      </c>
      <c r="P384" s="2" t="s">
        <v>3166</v>
      </c>
      <c r="Q384" s="2" t="s">
        <v>3167</v>
      </c>
      <c r="R384" s="2" t="s">
        <v>3168</v>
      </c>
      <c r="T384" s="2" t="s">
        <v>1035</v>
      </c>
      <c r="U384" s="2" t="s">
        <v>1036</v>
      </c>
      <c r="V384" s="2" t="s">
        <v>3169</v>
      </c>
      <c r="W384" s="2" t="s">
        <v>3170</v>
      </c>
      <c r="X384" s="2" t="s">
        <v>2420</v>
      </c>
      <c r="Y384" s="2" t="s">
        <v>1040</v>
      </c>
      <c r="Z384" s="2" t="s">
        <v>3171</v>
      </c>
      <c r="AA384" s="2" t="s">
        <v>1042</v>
      </c>
      <c r="AB384" s="2" t="s">
        <v>3172</v>
      </c>
      <c r="AC384" s="2" t="s">
        <v>3173</v>
      </c>
      <c r="AD384" s="2" t="s">
        <v>68</v>
      </c>
      <c r="AE384" s="2" t="s">
        <v>69</v>
      </c>
      <c r="AF384" s="2" t="s">
        <v>70</v>
      </c>
      <c r="AG384" s="2" t="s">
        <v>3166</v>
      </c>
      <c r="AK384" s="2" t="s">
        <v>3174</v>
      </c>
      <c r="AM384" s="2" t="s">
        <v>72</v>
      </c>
      <c r="AN384" s="2" t="s">
        <v>1046</v>
      </c>
      <c r="AP384" s="2" t="s">
        <v>3175</v>
      </c>
      <c r="AU384" s="2" t="s">
        <v>75</v>
      </c>
      <c r="AV384" s="2" t="s">
        <v>1047</v>
      </c>
      <c r="AW384" s="2" t="s">
        <v>1048</v>
      </c>
      <c r="AX384" s="2" t="s">
        <v>477</v>
      </c>
      <c r="AZ384" s="2" t="s">
        <v>478</v>
      </c>
    </row>
    <row r="385" spans="1:52" s="3" customFormat="1" x14ac:dyDescent="0.35">
      <c r="A385" s="2" t="s">
        <v>3176</v>
      </c>
      <c r="B385" s="4">
        <v>248301</v>
      </c>
      <c r="C385" s="2" t="s">
        <v>3177</v>
      </c>
      <c r="D385" s="2">
        <f t="shared" si="5"/>
        <v>4</v>
      </c>
      <c r="F385" s="2" t="s">
        <v>2826</v>
      </c>
      <c r="G385" s="2" t="s">
        <v>53</v>
      </c>
      <c r="H385" s="4">
        <v>1</v>
      </c>
      <c r="I385" s="4">
        <v>1</v>
      </c>
      <c r="J385" s="5">
        <v>35000</v>
      </c>
      <c r="K385" s="2" t="s">
        <v>1814</v>
      </c>
      <c r="L385" s="5">
        <v>35000</v>
      </c>
      <c r="N385" s="2" t="s">
        <v>1814</v>
      </c>
      <c r="O385" s="2" t="s">
        <v>1815</v>
      </c>
      <c r="P385" s="2" t="s">
        <v>84</v>
      </c>
      <c r="Q385" s="2" t="s">
        <v>85</v>
      </c>
      <c r="R385" s="2" t="s">
        <v>2814</v>
      </c>
      <c r="S385" s="2" t="s">
        <v>3178</v>
      </c>
      <c r="T385" s="2" t="s">
        <v>2813</v>
      </c>
      <c r="U385" s="2" t="s">
        <v>2814</v>
      </c>
      <c r="V385" s="2" t="s">
        <v>3179</v>
      </c>
      <c r="W385" s="2" t="s">
        <v>3180</v>
      </c>
      <c r="Y385" s="2" t="s">
        <v>2818</v>
      </c>
      <c r="Z385" s="2" t="s">
        <v>2819</v>
      </c>
      <c r="AA385" s="2" t="s">
        <v>2820</v>
      </c>
      <c r="AB385" s="2" t="s">
        <v>3181</v>
      </c>
      <c r="AC385" s="2" t="s">
        <v>2822</v>
      </c>
      <c r="AD385" s="2" t="s">
        <v>68</v>
      </c>
      <c r="AE385" s="2" t="s">
        <v>69</v>
      </c>
      <c r="AF385" s="2" t="s">
        <v>97</v>
      </c>
      <c r="AK385" s="2" t="s">
        <v>3182</v>
      </c>
      <c r="AL385" s="2" t="s">
        <v>99</v>
      </c>
      <c r="AM385" s="2" t="s">
        <v>72</v>
      </c>
      <c r="AN385" s="2" t="s">
        <v>595</v>
      </c>
      <c r="AP385" s="2" t="s">
        <v>101</v>
      </c>
      <c r="AS385" s="2" t="s">
        <v>3183</v>
      </c>
      <c r="AT385" s="2" t="s">
        <v>102</v>
      </c>
      <c r="AU385" s="2" t="s">
        <v>75</v>
      </c>
      <c r="AV385" s="2" t="s">
        <v>2826</v>
      </c>
      <c r="AW385" s="2" t="s">
        <v>2827</v>
      </c>
      <c r="AZ385" s="2" t="s">
        <v>77</v>
      </c>
    </row>
    <row r="386" spans="1:52" s="3" customFormat="1" x14ac:dyDescent="0.35">
      <c r="A386" s="2" t="s">
        <v>3184</v>
      </c>
      <c r="B386" s="4">
        <v>248300</v>
      </c>
      <c r="C386" s="2" t="s">
        <v>3185</v>
      </c>
      <c r="D386" s="2">
        <f t="shared" si="5"/>
        <v>4</v>
      </c>
      <c r="F386" s="2" t="s">
        <v>2826</v>
      </c>
      <c r="G386" s="2" t="s">
        <v>53</v>
      </c>
      <c r="H386" s="4">
        <v>1</v>
      </c>
      <c r="I386" s="4">
        <v>1</v>
      </c>
      <c r="J386" s="5">
        <v>35000</v>
      </c>
      <c r="K386" s="2" t="s">
        <v>1814</v>
      </c>
      <c r="L386" s="5">
        <v>35000</v>
      </c>
      <c r="N386" s="2" t="s">
        <v>1814</v>
      </c>
      <c r="O386" s="2" t="s">
        <v>1815</v>
      </c>
      <c r="P386" s="2" t="s">
        <v>84</v>
      </c>
      <c r="Q386" s="2" t="s">
        <v>85</v>
      </c>
      <c r="R386" s="2" t="s">
        <v>2814</v>
      </c>
      <c r="S386" s="2" t="s">
        <v>3186</v>
      </c>
      <c r="T386" s="2" t="s">
        <v>2813</v>
      </c>
      <c r="U386" s="2" t="s">
        <v>2814</v>
      </c>
      <c r="V386" s="2" t="s">
        <v>3179</v>
      </c>
      <c r="W386" s="2" t="s">
        <v>3180</v>
      </c>
      <c r="Y386" s="2" t="s">
        <v>2818</v>
      </c>
      <c r="Z386" s="2" t="s">
        <v>2819</v>
      </c>
      <c r="AA386" s="2" t="s">
        <v>2820</v>
      </c>
      <c r="AB386" s="2" t="s">
        <v>3181</v>
      </c>
      <c r="AC386" s="2" t="s">
        <v>2822</v>
      </c>
      <c r="AD386" s="2" t="s">
        <v>68</v>
      </c>
      <c r="AE386" s="2" t="s">
        <v>69</v>
      </c>
      <c r="AF386" s="2" t="s">
        <v>97</v>
      </c>
      <c r="AK386" s="2" t="s">
        <v>3187</v>
      </c>
      <c r="AL386" s="2" t="s">
        <v>99</v>
      </c>
      <c r="AM386" s="2" t="s">
        <v>72</v>
      </c>
      <c r="AN386" s="2" t="s">
        <v>595</v>
      </c>
      <c r="AP386" s="2" t="s">
        <v>101</v>
      </c>
      <c r="AS386" s="2" t="s">
        <v>3188</v>
      </c>
      <c r="AT386" s="2" t="s">
        <v>102</v>
      </c>
      <c r="AU386" s="2" t="s">
        <v>75</v>
      </c>
      <c r="AV386" s="2" t="s">
        <v>2826</v>
      </c>
      <c r="AW386" s="2" t="s">
        <v>2827</v>
      </c>
      <c r="AZ386" s="2" t="s">
        <v>77</v>
      </c>
    </row>
    <row r="387" spans="1:52" s="3" customFormat="1" x14ac:dyDescent="0.35">
      <c r="A387" s="2" t="s">
        <v>3189</v>
      </c>
      <c r="B387" s="4">
        <v>248299</v>
      </c>
      <c r="C387" s="2" t="s">
        <v>3190</v>
      </c>
      <c r="D387" s="2">
        <f t="shared" ref="D387:D450" si="6">MONTH(C387)</f>
        <v>4</v>
      </c>
      <c r="F387" s="2" t="s">
        <v>2826</v>
      </c>
      <c r="G387" s="2" t="s">
        <v>53</v>
      </c>
      <c r="H387" s="4">
        <v>1</v>
      </c>
      <c r="I387" s="4">
        <v>1</v>
      </c>
      <c r="J387" s="5">
        <v>35000</v>
      </c>
      <c r="K387" s="2" t="s">
        <v>1814</v>
      </c>
      <c r="L387" s="5">
        <v>35000</v>
      </c>
      <c r="N387" s="2" t="s">
        <v>1814</v>
      </c>
      <c r="O387" s="2" t="s">
        <v>1815</v>
      </c>
      <c r="P387" s="2" t="s">
        <v>84</v>
      </c>
      <c r="Q387" s="2" t="s">
        <v>85</v>
      </c>
      <c r="R387" s="2" t="s">
        <v>2814</v>
      </c>
      <c r="S387" s="2" t="s">
        <v>3191</v>
      </c>
      <c r="T387" s="2" t="s">
        <v>2813</v>
      </c>
      <c r="U387" s="2" t="s">
        <v>2814</v>
      </c>
      <c r="V387" s="2" t="s">
        <v>3179</v>
      </c>
      <c r="W387" s="2" t="s">
        <v>3180</v>
      </c>
      <c r="Y387" s="2" t="s">
        <v>2818</v>
      </c>
      <c r="Z387" s="2" t="s">
        <v>2819</v>
      </c>
      <c r="AA387" s="2" t="s">
        <v>2820</v>
      </c>
      <c r="AB387" s="2" t="s">
        <v>3181</v>
      </c>
      <c r="AC387" s="2" t="s">
        <v>2822</v>
      </c>
      <c r="AD387" s="2" t="s">
        <v>68</v>
      </c>
      <c r="AE387" s="2" t="s">
        <v>69</v>
      </c>
      <c r="AF387" s="2" t="s">
        <v>97</v>
      </c>
      <c r="AK387" s="2" t="s">
        <v>3192</v>
      </c>
      <c r="AL387" s="2" t="s">
        <v>99</v>
      </c>
      <c r="AM387" s="2" t="s">
        <v>72</v>
      </c>
      <c r="AN387" s="2" t="s">
        <v>595</v>
      </c>
      <c r="AP387" s="2" t="s">
        <v>101</v>
      </c>
      <c r="AS387" s="2" t="s">
        <v>3193</v>
      </c>
      <c r="AT387" s="2" t="s">
        <v>102</v>
      </c>
      <c r="AU387" s="2" t="s">
        <v>75</v>
      </c>
      <c r="AV387" s="2" t="s">
        <v>2826</v>
      </c>
      <c r="AW387" s="2" t="s">
        <v>2827</v>
      </c>
      <c r="AZ387" s="2" t="s">
        <v>77</v>
      </c>
    </row>
    <row r="388" spans="1:52" s="3" customFormat="1" x14ac:dyDescent="0.35">
      <c r="A388" s="2" t="s">
        <v>3194</v>
      </c>
      <c r="B388" s="4">
        <v>248298</v>
      </c>
      <c r="C388" s="2" t="s">
        <v>3195</v>
      </c>
      <c r="D388" s="2">
        <f t="shared" si="6"/>
        <v>4</v>
      </c>
      <c r="F388" s="2" t="s">
        <v>2826</v>
      </c>
      <c r="G388" s="2" t="s">
        <v>53</v>
      </c>
      <c r="H388" s="4">
        <v>1</v>
      </c>
      <c r="I388" s="4">
        <v>1</v>
      </c>
      <c r="J388" s="5">
        <v>35000</v>
      </c>
      <c r="K388" s="2" t="s">
        <v>1814</v>
      </c>
      <c r="L388" s="5">
        <v>35000</v>
      </c>
      <c r="N388" s="2" t="s">
        <v>1814</v>
      </c>
      <c r="O388" s="2" t="s">
        <v>1815</v>
      </c>
      <c r="P388" s="2" t="s">
        <v>84</v>
      </c>
      <c r="Q388" s="2" t="s">
        <v>85</v>
      </c>
      <c r="R388" s="2" t="s">
        <v>2814</v>
      </c>
      <c r="S388" s="2" t="s">
        <v>3196</v>
      </c>
      <c r="T388" s="2" t="s">
        <v>2813</v>
      </c>
      <c r="U388" s="2" t="s">
        <v>2814</v>
      </c>
      <c r="V388" s="2" t="s">
        <v>3179</v>
      </c>
      <c r="W388" s="2" t="s">
        <v>3180</v>
      </c>
      <c r="Y388" s="2" t="s">
        <v>2818</v>
      </c>
      <c r="Z388" s="2" t="s">
        <v>2819</v>
      </c>
      <c r="AA388" s="2" t="s">
        <v>2820</v>
      </c>
      <c r="AB388" s="2" t="s">
        <v>3181</v>
      </c>
      <c r="AC388" s="2" t="s">
        <v>2822</v>
      </c>
      <c r="AD388" s="2" t="s">
        <v>68</v>
      </c>
      <c r="AE388" s="2" t="s">
        <v>69</v>
      </c>
      <c r="AF388" s="2" t="s">
        <v>97</v>
      </c>
      <c r="AK388" s="2" t="s">
        <v>3197</v>
      </c>
      <c r="AL388" s="2" t="s">
        <v>99</v>
      </c>
      <c r="AM388" s="2" t="s">
        <v>72</v>
      </c>
      <c r="AN388" s="2" t="s">
        <v>595</v>
      </c>
      <c r="AP388" s="2" t="s">
        <v>101</v>
      </c>
      <c r="AS388" s="2" t="s">
        <v>3198</v>
      </c>
      <c r="AT388" s="2" t="s">
        <v>102</v>
      </c>
      <c r="AU388" s="2" t="s">
        <v>75</v>
      </c>
      <c r="AV388" s="2" t="s">
        <v>2826</v>
      </c>
      <c r="AW388" s="2" t="s">
        <v>2827</v>
      </c>
      <c r="AZ388" s="2" t="s">
        <v>77</v>
      </c>
    </row>
    <row r="389" spans="1:52" s="3" customFormat="1" x14ac:dyDescent="0.35">
      <c r="A389" s="2" t="s">
        <v>3199</v>
      </c>
      <c r="B389" s="4">
        <v>248285</v>
      </c>
      <c r="C389" s="2" t="s">
        <v>3200</v>
      </c>
      <c r="D389" s="2">
        <f t="shared" si="6"/>
        <v>4</v>
      </c>
      <c r="F389" s="2" t="s">
        <v>2645</v>
      </c>
      <c r="G389" s="2" t="s">
        <v>53</v>
      </c>
      <c r="H389" s="4">
        <v>1</v>
      </c>
      <c r="I389" s="4">
        <v>1</v>
      </c>
      <c r="J389" s="5">
        <v>80000</v>
      </c>
      <c r="L389" s="5">
        <v>187700</v>
      </c>
      <c r="M389" s="2" t="s">
        <v>55</v>
      </c>
      <c r="N389" s="2" t="s">
        <v>458</v>
      </c>
      <c r="O389" s="2" t="s">
        <v>459</v>
      </c>
      <c r="P389" s="2" t="s">
        <v>3201</v>
      </c>
      <c r="Q389" s="2" t="s">
        <v>3202</v>
      </c>
      <c r="R389" s="2" t="s">
        <v>3203</v>
      </c>
      <c r="T389" s="2" t="s">
        <v>3204</v>
      </c>
      <c r="U389" s="2" t="s">
        <v>3205</v>
      </c>
      <c r="V389" s="2" t="s">
        <v>3206</v>
      </c>
      <c r="W389" s="2" t="s">
        <v>3207</v>
      </c>
      <c r="X389" s="2" t="s">
        <v>3208</v>
      </c>
      <c r="Y389" s="2" t="s">
        <v>3209</v>
      </c>
      <c r="Z389" s="2" t="s">
        <v>3210</v>
      </c>
      <c r="AA389" s="2" t="s">
        <v>3211</v>
      </c>
      <c r="AB389" s="2" t="s">
        <v>3212</v>
      </c>
      <c r="AC389" s="2" t="s">
        <v>3213</v>
      </c>
      <c r="AD389" s="2" t="s">
        <v>68</v>
      </c>
      <c r="AE389" s="2" t="s">
        <v>69</v>
      </c>
      <c r="AF389" s="2" t="s">
        <v>70</v>
      </c>
      <c r="AG389" s="2" t="s">
        <v>3214</v>
      </c>
      <c r="AK389" s="2" t="s">
        <v>3215</v>
      </c>
      <c r="AM389" s="2" t="s">
        <v>72</v>
      </c>
      <c r="AN389" s="2" t="s">
        <v>344</v>
      </c>
      <c r="AP389" s="2" t="s">
        <v>2705</v>
      </c>
      <c r="AU389" s="2" t="s">
        <v>75</v>
      </c>
      <c r="AV389" s="2" t="s">
        <v>3216</v>
      </c>
      <c r="AW389" s="2" t="s">
        <v>3217</v>
      </c>
      <c r="AX389" s="2" t="s">
        <v>477</v>
      </c>
      <c r="AZ389" s="2" t="s">
        <v>478</v>
      </c>
    </row>
    <row r="390" spans="1:52" s="3" customFormat="1" x14ac:dyDescent="0.35">
      <c r="A390" s="2" t="s">
        <v>3199</v>
      </c>
      <c r="B390" s="4">
        <v>248285</v>
      </c>
      <c r="C390" s="2" t="s">
        <v>3200</v>
      </c>
      <c r="D390" s="2">
        <f t="shared" si="6"/>
        <v>4</v>
      </c>
      <c r="F390" s="2" t="s">
        <v>2645</v>
      </c>
      <c r="G390" s="2" t="s">
        <v>53</v>
      </c>
      <c r="H390" s="4">
        <v>1</v>
      </c>
      <c r="I390" s="4">
        <v>1</v>
      </c>
      <c r="J390" s="5">
        <v>120000</v>
      </c>
      <c r="L390" s="5">
        <v>187700</v>
      </c>
      <c r="M390" s="2" t="s">
        <v>55</v>
      </c>
      <c r="N390" s="2" t="s">
        <v>458</v>
      </c>
      <c r="O390" s="2" t="s">
        <v>459</v>
      </c>
      <c r="P390" s="2" t="s">
        <v>3201</v>
      </c>
      <c r="Q390" s="2" t="s">
        <v>3218</v>
      </c>
      <c r="R390" s="2" t="s">
        <v>3203</v>
      </c>
      <c r="T390" s="2" t="s">
        <v>3204</v>
      </c>
      <c r="U390" s="2" t="s">
        <v>3205</v>
      </c>
      <c r="V390" s="2" t="s">
        <v>3206</v>
      </c>
      <c r="W390" s="2" t="s">
        <v>3207</v>
      </c>
      <c r="X390" s="2" t="s">
        <v>3208</v>
      </c>
      <c r="Y390" s="2" t="s">
        <v>3209</v>
      </c>
      <c r="Z390" s="2" t="s">
        <v>3210</v>
      </c>
      <c r="AA390" s="2" t="s">
        <v>3211</v>
      </c>
      <c r="AB390" s="2" t="s">
        <v>3212</v>
      </c>
      <c r="AC390" s="2" t="s">
        <v>3213</v>
      </c>
      <c r="AD390" s="2" t="s">
        <v>68</v>
      </c>
      <c r="AE390" s="2" t="s">
        <v>69</v>
      </c>
      <c r="AF390" s="2" t="s">
        <v>70</v>
      </c>
      <c r="AG390" s="2" t="s">
        <v>3214</v>
      </c>
      <c r="AK390" s="2" t="s">
        <v>3215</v>
      </c>
      <c r="AM390" s="2" t="s">
        <v>72</v>
      </c>
      <c r="AN390" s="2" t="s">
        <v>344</v>
      </c>
      <c r="AP390" s="2" t="s">
        <v>2705</v>
      </c>
      <c r="AU390" s="2" t="s">
        <v>75</v>
      </c>
      <c r="AV390" s="2" t="s">
        <v>3216</v>
      </c>
      <c r="AW390" s="2" t="s">
        <v>3217</v>
      </c>
      <c r="AX390" s="2" t="s">
        <v>477</v>
      </c>
      <c r="AZ390" s="2" t="s">
        <v>478</v>
      </c>
    </row>
    <row r="391" spans="1:52" s="3" customFormat="1" x14ac:dyDescent="0.35">
      <c r="A391" s="2" t="s">
        <v>3219</v>
      </c>
      <c r="B391" s="4">
        <v>248256</v>
      </c>
      <c r="C391" s="2" t="s">
        <v>3220</v>
      </c>
      <c r="D391" s="2">
        <f t="shared" si="6"/>
        <v>4</v>
      </c>
      <c r="F391" s="2" t="s">
        <v>2826</v>
      </c>
      <c r="G391" s="2" t="s">
        <v>53</v>
      </c>
      <c r="H391" s="4">
        <v>2</v>
      </c>
      <c r="I391" s="4">
        <v>1</v>
      </c>
      <c r="J391" s="5">
        <v>70000</v>
      </c>
      <c r="K391" s="2" t="s">
        <v>80</v>
      </c>
      <c r="L391" s="5">
        <v>70000</v>
      </c>
      <c r="M391" s="2" t="s">
        <v>3221</v>
      </c>
      <c r="N391" s="2" t="s">
        <v>1658</v>
      </c>
      <c r="O391" s="2" t="s">
        <v>484</v>
      </c>
      <c r="P391" s="2" t="s">
        <v>84</v>
      </c>
      <c r="Q391" s="2" t="s">
        <v>85</v>
      </c>
      <c r="R391" s="2" t="s">
        <v>3222</v>
      </c>
      <c r="S391" s="2" t="s">
        <v>3223</v>
      </c>
      <c r="V391" s="2" t="s">
        <v>3224</v>
      </c>
      <c r="W391" s="2" t="s">
        <v>3225</v>
      </c>
      <c r="Y391" s="2" t="s">
        <v>3226</v>
      </c>
      <c r="Z391" s="2" t="s">
        <v>3227</v>
      </c>
      <c r="AA391" s="2" t="s">
        <v>3228</v>
      </c>
      <c r="AB391" s="2" t="s">
        <v>3229</v>
      </c>
      <c r="AC391" s="2" t="s">
        <v>3230</v>
      </c>
      <c r="AD391" s="2" t="s">
        <v>68</v>
      </c>
      <c r="AE391" s="2" t="s">
        <v>69</v>
      </c>
      <c r="AF391" s="2" t="s">
        <v>97</v>
      </c>
      <c r="AK391" s="2" t="s">
        <v>3231</v>
      </c>
      <c r="AL391" s="2" t="s">
        <v>99</v>
      </c>
      <c r="AM391" s="2" t="s">
        <v>72</v>
      </c>
      <c r="AN391" s="2" t="s">
        <v>595</v>
      </c>
      <c r="AP391" s="2" t="s">
        <v>101</v>
      </c>
      <c r="AS391" s="2" t="s">
        <v>3232</v>
      </c>
      <c r="AT391" s="2" t="s">
        <v>102</v>
      </c>
      <c r="AU391" s="2" t="s">
        <v>75</v>
      </c>
      <c r="AV391" s="2" t="s">
        <v>2826</v>
      </c>
      <c r="AW391" s="2" t="s">
        <v>3233</v>
      </c>
      <c r="AZ391" s="2" t="s">
        <v>77</v>
      </c>
    </row>
    <row r="392" spans="1:52" s="3" customFormat="1" x14ac:dyDescent="0.35">
      <c r="A392" s="2" t="s">
        <v>3234</v>
      </c>
      <c r="B392" s="4">
        <v>248250</v>
      </c>
      <c r="C392" s="2" t="s">
        <v>3235</v>
      </c>
      <c r="D392" s="2">
        <f t="shared" si="6"/>
        <v>4</v>
      </c>
      <c r="F392" s="2" t="s">
        <v>2826</v>
      </c>
      <c r="G392" s="2" t="s">
        <v>53</v>
      </c>
      <c r="H392" s="4">
        <v>5</v>
      </c>
      <c r="I392" s="4">
        <v>1</v>
      </c>
      <c r="J392" s="5">
        <v>14250</v>
      </c>
      <c r="L392" s="5">
        <v>14250</v>
      </c>
      <c r="M392" s="2" t="s">
        <v>55</v>
      </c>
      <c r="N392" s="2" t="s">
        <v>458</v>
      </c>
      <c r="O392" s="2" t="s">
        <v>459</v>
      </c>
      <c r="P392" s="2" t="s">
        <v>58</v>
      </c>
      <c r="Q392" s="2" t="s">
        <v>59</v>
      </c>
      <c r="R392" s="2" t="s">
        <v>462</v>
      </c>
      <c r="T392" s="2" t="s">
        <v>463</v>
      </c>
      <c r="U392" s="2" t="s">
        <v>464</v>
      </c>
      <c r="V392" s="2" t="s">
        <v>465</v>
      </c>
      <c r="W392" s="2" t="s">
        <v>2800</v>
      </c>
      <c r="X392" s="2" t="s">
        <v>3094</v>
      </c>
      <c r="Y392" s="2" t="s">
        <v>467</v>
      </c>
      <c r="Z392" s="2" t="s">
        <v>468</v>
      </c>
      <c r="AA392" s="2" t="s">
        <v>469</v>
      </c>
      <c r="AC392" s="2" t="s">
        <v>470</v>
      </c>
      <c r="AD392" s="2" t="s">
        <v>68</v>
      </c>
      <c r="AE392" s="2" t="s">
        <v>69</v>
      </c>
      <c r="AF392" s="2" t="s">
        <v>70</v>
      </c>
      <c r="AG392" s="2" t="s">
        <v>3236</v>
      </c>
      <c r="AK392" s="2" t="s">
        <v>3237</v>
      </c>
      <c r="AM392" s="2" t="s">
        <v>72</v>
      </c>
      <c r="AN392" s="2" t="s">
        <v>473</v>
      </c>
      <c r="AP392" s="2" t="s">
        <v>74</v>
      </c>
      <c r="AU392" s="2" t="s">
        <v>75</v>
      </c>
      <c r="AV392" s="2" t="s">
        <v>475</v>
      </c>
      <c r="AW392" s="2" t="s">
        <v>476</v>
      </c>
      <c r="AX392" s="2" t="s">
        <v>477</v>
      </c>
      <c r="AZ392" s="2" t="s">
        <v>478</v>
      </c>
    </row>
    <row r="393" spans="1:52" s="3" customFormat="1" x14ac:dyDescent="0.35">
      <c r="A393" s="2" t="s">
        <v>3238</v>
      </c>
      <c r="B393" s="4">
        <v>248209</v>
      </c>
      <c r="C393" s="2" t="s">
        <v>3239</v>
      </c>
      <c r="D393" s="2">
        <f t="shared" si="6"/>
        <v>4</v>
      </c>
      <c r="F393" s="2" t="s">
        <v>3240</v>
      </c>
      <c r="G393" s="2" t="s">
        <v>53</v>
      </c>
      <c r="H393" s="4">
        <v>1</v>
      </c>
      <c r="I393" s="4">
        <v>1</v>
      </c>
      <c r="J393" s="5">
        <v>35000</v>
      </c>
      <c r="K393" s="2" t="s">
        <v>80</v>
      </c>
      <c r="L393" s="5">
        <v>35000</v>
      </c>
      <c r="M393" s="2" t="s">
        <v>3241</v>
      </c>
      <c r="N393" s="2" t="s">
        <v>1658</v>
      </c>
      <c r="O393" s="2" t="s">
        <v>83</v>
      </c>
      <c r="P393" s="2" t="s">
        <v>84</v>
      </c>
      <c r="Q393" s="2" t="s">
        <v>85</v>
      </c>
      <c r="R393" s="2" t="s">
        <v>3242</v>
      </c>
      <c r="S393" s="2" t="s">
        <v>3243</v>
      </c>
      <c r="V393" s="2" t="s">
        <v>3244</v>
      </c>
      <c r="W393" s="2" t="s">
        <v>3245</v>
      </c>
      <c r="Y393" s="2" t="s">
        <v>3246</v>
      </c>
      <c r="Z393" s="2" t="s">
        <v>3247</v>
      </c>
      <c r="AA393" s="2" t="s">
        <v>3248</v>
      </c>
      <c r="AC393" s="2" t="s">
        <v>3249</v>
      </c>
      <c r="AD393" s="2" t="s">
        <v>3140</v>
      </c>
      <c r="AE393" s="2" t="s">
        <v>3141</v>
      </c>
      <c r="AF393" s="2" t="s">
        <v>97</v>
      </c>
      <c r="AK393" s="2" t="s">
        <v>3250</v>
      </c>
      <c r="AL393" s="2" t="s">
        <v>99</v>
      </c>
      <c r="AM393" s="2" t="s">
        <v>72</v>
      </c>
      <c r="AN393" s="2" t="s">
        <v>595</v>
      </c>
      <c r="AP393" s="2" t="s">
        <v>101</v>
      </c>
      <c r="AS393" s="2" t="s">
        <v>3251</v>
      </c>
      <c r="AT393" s="2" t="s">
        <v>102</v>
      </c>
      <c r="AU393" s="2" t="s">
        <v>75</v>
      </c>
      <c r="AV393" s="2" t="s">
        <v>3252</v>
      </c>
      <c r="AW393" s="2" t="s">
        <v>3253</v>
      </c>
      <c r="AZ393" s="2" t="s">
        <v>77</v>
      </c>
    </row>
    <row r="394" spans="1:52" s="3" customFormat="1" x14ac:dyDescent="0.35">
      <c r="A394" s="2" t="s">
        <v>3254</v>
      </c>
      <c r="B394" s="4">
        <v>248169</v>
      </c>
      <c r="C394" s="2" t="s">
        <v>3255</v>
      </c>
      <c r="D394" s="2">
        <f t="shared" si="6"/>
        <v>4</v>
      </c>
      <c r="F394" s="2" t="s">
        <v>2826</v>
      </c>
      <c r="G394" s="2" t="s">
        <v>53</v>
      </c>
      <c r="H394" s="4">
        <v>1</v>
      </c>
      <c r="I394" s="4">
        <v>1</v>
      </c>
      <c r="J394" s="5">
        <v>64000</v>
      </c>
      <c r="L394" s="5">
        <v>150160</v>
      </c>
      <c r="M394" s="2" t="s">
        <v>55</v>
      </c>
      <c r="N394" s="2" t="s">
        <v>458</v>
      </c>
      <c r="O394" s="2" t="s">
        <v>459</v>
      </c>
      <c r="P394" s="2" t="s">
        <v>3256</v>
      </c>
      <c r="Q394" s="2" t="s">
        <v>3257</v>
      </c>
      <c r="R394" s="2" t="s">
        <v>1800</v>
      </c>
      <c r="T394" s="2" t="s">
        <v>3258</v>
      </c>
      <c r="U394" s="2" t="s">
        <v>3259</v>
      </c>
      <c r="V394" s="2" t="s">
        <v>1802</v>
      </c>
      <c r="W394" s="2" t="s">
        <v>3260</v>
      </c>
      <c r="X394" s="2" t="s">
        <v>3261</v>
      </c>
      <c r="Y394" s="2" t="s">
        <v>3262</v>
      </c>
      <c r="Z394" s="2" t="s">
        <v>3263</v>
      </c>
      <c r="AA394" s="2" t="s">
        <v>3264</v>
      </c>
      <c r="AB394" s="2" t="s">
        <v>3265</v>
      </c>
      <c r="AC394" s="2" t="s">
        <v>3266</v>
      </c>
      <c r="AD394" s="2" t="s">
        <v>68</v>
      </c>
      <c r="AE394" s="2" t="s">
        <v>69</v>
      </c>
      <c r="AF394" s="2" t="s">
        <v>70</v>
      </c>
      <c r="AG394" s="2" t="s">
        <v>3256</v>
      </c>
      <c r="AK394" s="2" t="s">
        <v>3267</v>
      </c>
      <c r="AM394" s="2" t="s">
        <v>72</v>
      </c>
      <c r="AN394" s="2" t="s">
        <v>283</v>
      </c>
      <c r="AP394" s="2" t="s">
        <v>2705</v>
      </c>
      <c r="AU394" s="2" t="s">
        <v>75</v>
      </c>
      <c r="AV394" s="2" t="s">
        <v>3268</v>
      </c>
      <c r="AW394" s="2" t="s">
        <v>3269</v>
      </c>
      <c r="AX394" s="2" t="s">
        <v>477</v>
      </c>
      <c r="AZ394" s="2" t="s">
        <v>478</v>
      </c>
    </row>
    <row r="395" spans="1:52" s="3" customFormat="1" x14ac:dyDescent="0.35">
      <c r="A395" s="2" t="s">
        <v>3254</v>
      </c>
      <c r="B395" s="4">
        <v>248169</v>
      </c>
      <c r="C395" s="2" t="s">
        <v>3255</v>
      </c>
      <c r="D395" s="2">
        <f t="shared" si="6"/>
        <v>4</v>
      </c>
      <c r="F395" s="2" t="s">
        <v>2826</v>
      </c>
      <c r="G395" s="2" t="s">
        <v>53</v>
      </c>
      <c r="H395" s="4">
        <v>1</v>
      </c>
      <c r="I395" s="4">
        <v>1</v>
      </c>
      <c r="J395" s="5">
        <v>96000</v>
      </c>
      <c r="L395" s="5">
        <v>150160</v>
      </c>
      <c r="M395" s="2" t="s">
        <v>55</v>
      </c>
      <c r="N395" s="2" t="s">
        <v>458</v>
      </c>
      <c r="O395" s="2" t="s">
        <v>459</v>
      </c>
      <c r="P395" s="2" t="s">
        <v>3256</v>
      </c>
      <c r="Q395" s="2" t="s">
        <v>3270</v>
      </c>
      <c r="R395" s="2" t="s">
        <v>1800</v>
      </c>
      <c r="T395" s="2" t="s">
        <v>3258</v>
      </c>
      <c r="U395" s="2" t="s">
        <v>3259</v>
      </c>
      <c r="V395" s="2" t="s">
        <v>1802</v>
      </c>
      <c r="W395" s="2" t="s">
        <v>3260</v>
      </c>
      <c r="X395" s="2" t="s">
        <v>3261</v>
      </c>
      <c r="Y395" s="2" t="s">
        <v>3262</v>
      </c>
      <c r="Z395" s="2" t="s">
        <v>3263</v>
      </c>
      <c r="AA395" s="2" t="s">
        <v>3264</v>
      </c>
      <c r="AB395" s="2" t="s">
        <v>3265</v>
      </c>
      <c r="AC395" s="2" t="s">
        <v>3266</v>
      </c>
      <c r="AD395" s="2" t="s">
        <v>68</v>
      </c>
      <c r="AE395" s="2" t="s">
        <v>69</v>
      </c>
      <c r="AF395" s="2" t="s">
        <v>70</v>
      </c>
      <c r="AG395" s="2" t="s">
        <v>3256</v>
      </c>
      <c r="AK395" s="2" t="s">
        <v>3267</v>
      </c>
      <c r="AM395" s="2" t="s">
        <v>72</v>
      </c>
      <c r="AN395" s="2" t="s">
        <v>283</v>
      </c>
      <c r="AP395" s="2" t="s">
        <v>2705</v>
      </c>
      <c r="AU395" s="2" t="s">
        <v>75</v>
      </c>
      <c r="AV395" s="2" t="s">
        <v>3268</v>
      </c>
      <c r="AW395" s="2" t="s">
        <v>3269</v>
      </c>
      <c r="AX395" s="2" t="s">
        <v>477</v>
      </c>
      <c r="AZ395" s="2" t="s">
        <v>478</v>
      </c>
    </row>
    <row r="396" spans="1:52" s="3" customFormat="1" x14ac:dyDescent="0.35">
      <c r="A396" s="2" t="s">
        <v>3271</v>
      </c>
      <c r="B396" s="4">
        <v>248164</v>
      </c>
      <c r="C396" s="2" t="s">
        <v>3272</v>
      </c>
      <c r="D396" s="2">
        <f t="shared" si="6"/>
        <v>4</v>
      </c>
      <c r="F396" s="2" t="s">
        <v>3240</v>
      </c>
      <c r="G396" s="2" t="s">
        <v>53</v>
      </c>
      <c r="H396" s="4">
        <v>9</v>
      </c>
      <c r="I396" s="4">
        <v>1</v>
      </c>
      <c r="J396" s="5">
        <v>25200</v>
      </c>
      <c r="K396" s="2" t="s">
        <v>80</v>
      </c>
      <c r="L396" s="5">
        <v>25200</v>
      </c>
      <c r="M396" s="2" t="s">
        <v>3273</v>
      </c>
      <c r="N396" s="2" t="s">
        <v>1658</v>
      </c>
      <c r="O396" s="2" t="s">
        <v>83</v>
      </c>
      <c r="P396" s="2" t="s">
        <v>58</v>
      </c>
      <c r="Q396" s="2" t="s">
        <v>59</v>
      </c>
      <c r="R396" s="2" t="s">
        <v>3274</v>
      </c>
      <c r="S396" s="2" t="s">
        <v>3275</v>
      </c>
      <c r="V396" s="2" t="s">
        <v>3276</v>
      </c>
      <c r="W396" s="2" t="s">
        <v>3277</v>
      </c>
      <c r="Y396" s="2" t="s">
        <v>3278</v>
      </c>
      <c r="Z396" s="2" t="s">
        <v>3279</v>
      </c>
      <c r="AA396" s="2" t="s">
        <v>3280</v>
      </c>
      <c r="AB396" s="2" t="s">
        <v>3281</v>
      </c>
      <c r="AC396" s="2" t="s">
        <v>3282</v>
      </c>
      <c r="AD396" s="2" t="s">
        <v>3283</v>
      </c>
      <c r="AE396" s="2" t="s">
        <v>3284</v>
      </c>
      <c r="AF396" s="2" t="s">
        <v>70</v>
      </c>
      <c r="AK396" s="2" t="s">
        <v>3285</v>
      </c>
      <c r="AL396" s="2" t="s">
        <v>3286</v>
      </c>
      <c r="AM396" s="2" t="s">
        <v>72</v>
      </c>
      <c r="AN396" s="2" t="s">
        <v>73</v>
      </c>
      <c r="AP396" s="2" t="s">
        <v>74</v>
      </c>
      <c r="AU396" s="2" t="s">
        <v>75</v>
      </c>
      <c r="AV396" s="2" t="s">
        <v>3240</v>
      </c>
      <c r="AW396" s="2" t="s">
        <v>3287</v>
      </c>
      <c r="AZ396" s="2" t="s">
        <v>77</v>
      </c>
    </row>
    <row r="397" spans="1:52" s="3" customFormat="1" x14ac:dyDescent="0.35">
      <c r="A397" s="2" t="s">
        <v>3288</v>
      </c>
      <c r="B397" s="4">
        <v>248150</v>
      </c>
      <c r="C397" s="2" t="s">
        <v>3289</v>
      </c>
      <c r="D397" s="2">
        <f t="shared" si="6"/>
        <v>4</v>
      </c>
      <c r="F397" s="2" t="s">
        <v>3240</v>
      </c>
      <c r="G397" s="2" t="s">
        <v>53</v>
      </c>
      <c r="H397" s="4">
        <v>1</v>
      </c>
      <c r="I397" s="4">
        <v>1</v>
      </c>
      <c r="J397" s="4">
        <v>0</v>
      </c>
      <c r="L397" s="4">
        <v>0</v>
      </c>
      <c r="M397" s="2" t="s">
        <v>55</v>
      </c>
      <c r="N397" s="2" t="s">
        <v>56</v>
      </c>
      <c r="O397" s="2" t="s">
        <v>57</v>
      </c>
      <c r="P397" s="2" t="s">
        <v>460</v>
      </c>
      <c r="Q397" s="2" t="s">
        <v>461</v>
      </c>
      <c r="R397" s="2" t="s">
        <v>3290</v>
      </c>
      <c r="S397" s="2" t="s">
        <v>3291</v>
      </c>
      <c r="V397" s="2" t="s">
        <v>3292</v>
      </c>
      <c r="W397" s="2" t="s">
        <v>3293</v>
      </c>
      <c r="Y397" s="2" t="s">
        <v>64</v>
      </c>
      <c r="Z397" s="2" t="s">
        <v>65</v>
      </c>
      <c r="AA397" s="2" t="s">
        <v>66</v>
      </c>
      <c r="AC397" s="2" t="s">
        <v>67</v>
      </c>
      <c r="AD397" s="2" t="s">
        <v>68</v>
      </c>
      <c r="AE397" s="2" t="s">
        <v>69</v>
      </c>
      <c r="AF397" s="2" t="s">
        <v>70</v>
      </c>
      <c r="AG397" s="2" t="s">
        <v>460</v>
      </c>
      <c r="AK397" s="2" t="s">
        <v>3294</v>
      </c>
      <c r="AM397" s="2" t="s">
        <v>72</v>
      </c>
      <c r="AN397" s="2" t="s">
        <v>1046</v>
      </c>
      <c r="AP397" s="2" t="s">
        <v>474</v>
      </c>
      <c r="AU397" s="2" t="s">
        <v>75</v>
      </c>
      <c r="AW397" s="2" t="s">
        <v>3295</v>
      </c>
      <c r="AZ397" s="2" t="s">
        <v>116</v>
      </c>
    </row>
    <row r="398" spans="1:52" s="3" customFormat="1" x14ac:dyDescent="0.35">
      <c r="A398" s="2" t="s">
        <v>3296</v>
      </c>
      <c r="B398" s="4">
        <v>248148</v>
      </c>
      <c r="C398" s="2" t="s">
        <v>3297</v>
      </c>
      <c r="D398" s="2">
        <f t="shared" si="6"/>
        <v>4</v>
      </c>
      <c r="F398" s="2" t="s">
        <v>3240</v>
      </c>
      <c r="G398" s="2" t="s">
        <v>53</v>
      </c>
      <c r="H398" s="4">
        <v>1</v>
      </c>
      <c r="I398" s="4">
        <v>1</v>
      </c>
      <c r="J398" s="4">
        <v>0</v>
      </c>
      <c r="L398" s="4">
        <v>0</v>
      </c>
      <c r="M398" s="2" t="s">
        <v>55</v>
      </c>
      <c r="N398" s="2" t="s">
        <v>56</v>
      </c>
      <c r="O398" s="2" t="s">
        <v>57</v>
      </c>
      <c r="P398" s="2" t="s">
        <v>460</v>
      </c>
      <c r="Q398" s="2" t="s">
        <v>461</v>
      </c>
      <c r="R398" s="2" t="s">
        <v>3298</v>
      </c>
      <c r="S398" s="2" t="s">
        <v>3299</v>
      </c>
      <c r="V398" s="2" t="s">
        <v>3300</v>
      </c>
      <c r="W398" s="2" t="s">
        <v>3301</v>
      </c>
      <c r="Y398" s="2" t="s">
        <v>64</v>
      </c>
      <c r="Z398" s="2" t="s">
        <v>3302</v>
      </c>
      <c r="AA398" s="2" t="s">
        <v>66</v>
      </c>
      <c r="AC398" s="2" t="s">
        <v>67</v>
      </c>
      <c r="AD398" s="2" t="s">
        <v>68</v>
      </c>
      <c r="AE398" s="2" t="s">
        <v>69</v>
      </c>
      <c r="AF398" s="2" t="s">
        <v>70</v>
      </c>
      <c r="AG398" s="2" t="s">
        <v>460</v>
      </c>
      <c r="AK398" s="2" t="s">
        <v>3303</v>
      </c>
      <c r="AM398" s="2" t="s">
        <v>72</v>
      </c>
      <c r="AN398" s="2" t="s">
        <v>1046</v>
      </c>
      <c r="AP398" s="2" t="s">
        <v>474</v>
      </c>
      <c r="AU398" s="2" t="s">
        <v>75</v>
      </c>
      <c r="AW398" s="2" t="s">
        <v>3304</v>
      </c>
      <c r="AZ398" s="2" t="s">
        <v>116</v>
      </c>
    </row>
    <row r="399" spans="1:52" s="3" customFormat="1" x14ac:dyDescent="0.35">
      <c r="A399" s="2" t="s">
        <v>3305</v>
      </c>
      <c r="B399" s="4">
        <v>248117</v>
      </c>
      <c r="C399" s="2" t="s">
        <v>3306</v>
      </c>
      <c r="D399" s="2">
        <f t="shared" si="6"/>
        <v>4</v>
      </c>
      <c r="F399" s="2" t="s">
        <v>3240</v>
      </c>
      <c r="G399" s="2" t="s">
        <v>53</v>
      </c>
      <c r="H399" s="4">
        <v>1</v>
      </c>
      <c r="I399" s="4">
        <v>1</v>
      </c>
      <c r="J399" s="5">
        <v>35000</v>
      </c>
      <c r="K399" s="2" t="s">
        <v>80</v>
      </c>
      <c r="L399" s="5">
        <v>35000</v>
      </c>
      <c r="M399" s="2" t="s">
        <v>3307</v>
      </c>
      <c r="N399" s="2" t="s">
        <v>1658</v>
      </c>
      <c r="O399" s="2" t="s">
        <v>3308</v>
      </c>
      <c r="P399" s="2" t="s">
        <v>84</v>
      </c>
      <c r="Q399" s="2" t="s">
        <v>85</v>
      </c>
      <c r="R399" s="2" t="s">
        <v>3309</v>
      </c>
      <c r="S399" s="2" t="s">
        <v>3310</v>
      </c>
      <c r="T399" s="2" t="s">
        <v>3311</v>
      </c>
      <c r="U399" s="2" t="s">
        <v>3312</v>
      </c>
      <c r="V399" s="2" t="s">
        <v>3313</v>
      </c>
      <c r="W399" s="2" t="s">
        <v>3314</v>
      </c>
      <c r="Y399" s="2" t="s">
        <v>3315</v>
      </c>
      <c r="Z399" s="2" t="s">
        <v>3316</v>
      </c>
      <c r="AA399" s="2" t="s">
        <v>3317</v>
      </c>
      <c r="AB399" s="2" t="s">
        <v>3318</v>
      </c>
      <c r="AC399" s="2" t="s">
        <v>3319</v>
      </c>
      <c r="AD399" s="2" t="s">
        <v>3140</v>
      </c>
      <c r="AE399" s="2" t="s">
        <v>3141</v>
      </c>
      <c r="AF399" s="2" t="s">
        <v>97</v>
      </c>
      <c r="AK399" s="2" t="s">
        <v>3320</v>
      </c>
      <c r="AL399" s="2" t="s">
        <v>99</v>
      </c>
      <c r="AM399" s="2" t="s">
        <v>72</v>
      </c>
      <c r="AN399" s="2" t="s">
        <v>595</v>
      </c>
      <c r="AP399" s="2" t="s">
        <v>101</v>
      </c>
      <c r="AS399" s="2" t="s">
        <v>3321</v>
      </c>
      <c r="AT399" s="2" t="s">
        <v>102</v>
      </c>
      <c r="AU399" s="2" t="s">
        <v>75</v>
      </c>
      <c r="AV399" s="2" t="s">
        <v>3322</v>
      </c>
      <c r="AW399" s="2" t="s">
        <v>3323</v>
      </c>
      <c r="AZ399" s="2" t="s">
        <v>77</v>
      </c>
    </row>
    <row r="400" spans="1:52" s="3" customFormat="1" x14ac:dyDescent="0.35">
      <c r="A400" s="2" t="s">
        <v>3324</v>
      </c>
      <c r="B400" s="4">
        <v>248114</v>
      </c>
      <c r="C400" s="2" t="s">
        <v>3325</v>
      </c>
      <c r="D400" s="2">
        <f t="shared" si="6"/>
        <v>4</v>
      </c>
      <c r="F400" s="2" t="s">
        <v>3240</v>
      </c>
      <c r="G400" s="2" t="s">
        <v>53</v>
      </c>
      <c r="H400" s="4">
        <v>1</v>
      </c>
      <c r="I400" s="4">
        <v>12</v>
      </c>
      <c r="J400" s="5">
        <v>35000</v>
      </c>
      <c r="K400" s="2" t="s">
        <v>80</v>
      </c>
      <c r="L400" s="5">
        <v>35000</v>
      </c>
      <c r="M400" s="2" t="s">
        <v>3326</v>
      </c>
      <c r="N400" s="2" t="s">
        <v>82</v>
      </c>
      <c r="O400" s="2" t="s">
        <v>83</v>
      </c>
      <c r="P400" s="2" t="s">
        <v>84</v>
      </c>
      <c r="Q400" s="2" t="s">
        <v>85</v>
      </c>
      <c r="R400" s="2" t="s">
        <v>3327</v>
      </c>
      <c r="S400" s="2" t="s">
        <v>3328</v>
      </c>
      <c r="T400" s="2" t="s">
        <v>3311</v>
      </c>
      <c r="U400" s="2" t="s">
        <v>3312</v>
      </c>
      <c r="V400" s="2" t="s">
        <v>3329</v>
      </c>
      <c r="W400" s="2" t="s">
        <v>3314</v>
      </c>
      <c r="Y400" s="2" t="s">
        <v>3315</v>
      </c>
      <c r="Z400" s="2" t="s">
        <v>3316</v>
      </c>
      <c r="AA400" s="2" t="s">
        <v>3317</v>
      </c>
      <c r="AB400" s="2" t="s">
        <v>3318</v>
      </c>
      <c r="AC400" s="2" t="s">
        <v>3319</v>
      </c>
      <c r="AD400" s="2" t="s">
        <v>3140</v>
      </c>
      <c r="AE400" s="2" t="s">
        <v>3141</v>
      </c>
      <c r="AF400" s="2" t="s">
        <v>97</v>
      </c>
      <c r="AK400" s="2" t="s">
        <v>3330</v>
      </c>
      <c r="AL400" s="2" t="s">
        <v>99</v>
      </c>
      <c r="AM400" s="2" t="s">
        <v>72</v>
      </c>
      <c r="AN400" s="2" t="s">
        <v>595</v>
      </c>
      <c r="AP400" s="2" t="s">
        <v>101</v>
      </c>
      <c r="AS400" s="2" t="s">
        <v>3331</v>
      </c>
      <c r="AT400" s="2" t="s">
        <v>102</v>
      </c>
      <c r="AU400" s="2" t="s">
        <v>75</v>
      </c>
      <c r="AV400" s="2" t="s">
        <v>3322</v>
      </c>
      <c r="AW400" s="2" t="s">
        <v>3323</v>
      </c>
      <c r="AZ400" s="2" t="s">
        <v>77</v>
      </c>
    </row>
    <row r="401" spans="1:52" s="3" customFormat="1" x14ac:dyDescent="0.35">
      <c r="A401" s="2" t="s">
        <v>3332</v>
      </c>
      <c r="B401" s="4">
        <v>248083</v>
      </c>
      <c r="C401" s="2" t="s">
        <v>3333</v>
      </c>
      <c r="D401" s="2">
        <f t="shared" si="6"/>
        <v>4</v>
      </c>
      <c r="F401" s="2" t="s">
        <v>3334</v>
      </c>
      <c r="G401" s="2" t="s">
        <v>53</v>
      </c>
      <c r="H401" s="4">
        <v>1</v>
      </c>
      <c r="I401" s="4">
        <v>0</v>
      </c>
      <c r="J401" s="4">
        <v>0</v>
      </c>
      <c r="L401" s="4">
        <v>0</v>
      </c>
      <c r="N401" s="2" t="s">
        <v>56</v>
      </c>
      <c r="O401" s="2" t="s">
        <v>57</v>
      </c>
      <c r="P401" s="2" t="s">
        <v>3335</v>
      </c>
      <c r="Q401" s="2" t="s">
        <v>3336</v>
      </c>
      <c r="R401" s="2" t="s">
        <v>2710</v>
      </c>
      <c r="S401" s="2" t="s">
        <v>3337</v>
      </c>
      <c r="V401" s="2" t="s">
        <v>3338</v>
      </c>
      <c r="W401" s="2" t="s">
        <v>2713</v>
      </c>
      <c r="Y401" s="2" t="s">
        <v>2853</v>
      </c>
      <c r="Z401" s="2" t="s">
        <v>65</v>
      </c>
      <c r="AA401" s="2" t="s">
        <v>66</v>
      </c>
      <c r="AC401" s="2" t="s">
        <v>67</v>
      </c>
      <c r="AD401" s="2" t="s">
        <v>68</v>
      </c>
      <c r="AE401" s="2" t="s">
        <v>69</v>
      </c>
      <c r="AF401" s="2" t="s">
        <v>70</v>
      </c>
      <c r="AK401" s="2" t="s">
        <v>3339</v>
      </c>
      <c r="AL401" s="2" t="s">
        <v>3340</v>
      </c>
      <c r="AM401" s="2" t="s">
        <v>72</v>
      </c>
      <c r="AN401" s="2" t="s">
        <v>73</v>
      </c>
      <c r="AP401" s="2" t="s">
        <v>3341</v>
      </c>
      <c r="AT401" s="2" t="s">
        <v>114</v>
      </c>
      <c r="AU401" s="2" t="s">
        <v>75</v>
      </c>
      <c r="AW401" s="2" t="s">
        <v>3342</v>
      </c>
      <c r="AZ401" s="2" t="s">
        <v>116</v>
      </c>
    </row>
    <row r="402" spans="1:52" s="3" customFormat="1" x14ac:dyDescent="0.35">
      <c r="A402" s="2" t="s">
        <v>3343</v>
      </c>
      <c r="B402" s="4">
        <v>248056</v>
      </c>
      <c r="C402" s="2" t="s">
        <v>3344</v>
      </c>
      <c r="D402" s="2">
        <f t="shared" si="6"/>
        <v>4</v>
      </c>
      <c r="F402" s="2" t="s">
        <v>3334</v>
      </c>
      <c r="G402" s="2" t="s">
        <v>53</v>
      </c>
      <c r="H402" s="4">
        <v>1</v>
      </c>
      <c r="I402" s="4">
        <v>1</v>
      </c>
      <c r="J402" s="4">
        <v>0</v>
      </c>
      <c r="L402" s="4">
        <v>0</v>
      </c>
      <c r="M402" s="2" t="s">
        <v>55</v>
      </c>
      <c r="N402" s="2" t="s">
        <v>56</v>
      </c>
      <c r="O402" s="2" t="s">
        <v>57</v>
      </c>
      <c r="P402" s="2" t="s">
        <v>460</v>
      </c>
      <c r="Q402" s="2" t="s">
        <v>461</v>
      </c>
      <c r="R402" s="2" t="s">
        <v>3345</v>
      </c>
      <c r="S402" s="2" t="s">
        <v>3346</v>
      </c>
      <c r="V402" s="2" t="s">
        <v>3347</v>
      </c>
      <c r="W402" s="2" t="s">
        <v>3348</v>
      </c>
      <c r="Y402" s="2" t="s">
        <v>3349</v>
      </c>
      <c r="Z402" s="2" t="s">
        <v>3350</v>
      </c>
      <c r="AA402" s="2" t="s">
        <v>3351</v>
      </c>
      <c r="AC402" s="2" t="s">
        <v>3139</v>
      </c>
      <c r="AD402" s="2" t="s">
        <v>3140</v>
      </c>
      <c r="AE402" s="2" t="s">
        <v>3141</v>
      </c>
      <c r="AF402" s="2" t="s">
        <v>70</v>
      </c>
      <c r="AG402" s="2" t="s">
        <v>3352</v>
      </c>
      <c r="AK402" s="2" t="s">
        <v>3353</v>
      </c>
      <c r="AM402" s="2" t="s">
        <v>72</v>
      </c>
      <c r="AN402" s="2" t="s">
        <v>232</v>
      </c>
      <c r="AP402" s="2" t="s">
        <v>474</v>
      </c>
      <c r="AU402" s="2" t="s">
        <v>75</v>
      </c>
      <c r="AW402" s="2" t="s">
        <v>3354</v>
      </c>
      <c r="AZ402" s="2" t="s">
        <v>116</v>
      </c>
    </row>
    <row r="403" spans="1:52" s="3" customFormat="1" x14ac:dyDescent="0.35">
      <c r="A403" s="2" t="s">
        <v>3355</v>
      </c>
      <c r="B403" s="4">
        <v>248052</v>
      </c>
      <c r="C403" s="2" t="s">
        <v>3356</v>
      </c>
      <c r="D403" s="2">
        <f t="shared" si="6"/>
        <v>4</v>
      </c>
      <c r="F403" s="2" t="s">
        <v>3334</v>
      </c>
      <c r="G403" s="2" t="s">
        <v>53</v>
      </c>
      <c r="H403" s="4">
        <v>27</v>
      </c>
      <c r="I403" s="4">
        <v>1</v>
      </c>
      <c r="J403" s="5">
        <v>76500</v>
      </c>
      <c r="L403" s="5">
        <v>76500</v>
      </c>
      <c r="M403" s="2" t="s">
        <v>55</v>
      </c>
      <c r="N403" s="2" t="s">
        <v>458</v>
      </c>
      <c r="O403" s="2" t="s">
        <v>459</v>
      </c>
      <c r="P403" s="2" t="s">
        <v>58</v>
      </c>
      <c r="Q403" s="2" t="s">
        <v>59</v>
      </c>
      <c r="R403" s="2" t="s">
        <v>3357</v>
      </c>
      <c r="T403" s="2" t="s">
        <v>3358</v>
      </c>
      <c r="U403" s="2" t="s">
        <v>3359</v>
      </c>
      <c r="V403" s="2" t="s">
        <v>3360</v>
      </c>
      <c r="W403" s="2" t="s">
        <v>3361</v>
      </c>
      <c r="X403" s="2" t="s">
        <v>3361</v>
      </c>
      <c r="Y403" s="2" t="s">
        <v>3362</v>
      </c>
      <c r="Z403" s="2" t="s">
        <v>3363</v>
      </c>
      <c r="AA403" s="2" t="s">
        <v>1624</v>
      </c>
      <c r="AB403" s="2" t="s">
        <v>3364</v>
      </c>
      <c r="AC403" s="2" t="s">
        <v>3365</v>
      </c>
      <c r="AD403" s="2" t="s">
        <v>3140</v>
      </c>
      <c r="AE403" s="2" t="s">
        <v>3141</v>
      </c>
      <c r="AF403" s="2" t="s">
        <v>70</v>
      </c>
      <c r="AG403" s="2" t="s">
        <v>58</v>
      </c>
      <c r="AK403" s="2" t="s">
        <v>3366</v>
      </c>
      <c r="AM403" s="2" t="s">
        <v>72</v>
      </c>
      <c r="AN403" s="2" t="s">
        <v>473</v>
      </c>
      <c r="AP403" s="2" t="s">
        <v>74</v>
      </c>
      <c r="AU403" s="2" t="s">
        <v>75</v>
      </c>
      <c r="AV403" s="2" t="s">
        <v>3367</v>
      </c>
      <c r="AW403" s="2" t="s">
        <v>3368</v>
      </c>
      <c r="AX403" s="2" t="s">
        <v>477</v>
      </c>
      <c r="AZ403" s="2" t="s">
        <v>478</v>
      </c>
    </row>
    <row r="404" spans="1:52" s="3" customFormat="1" x14ac:dyDescent="0.35">
      <c r="A404" s="2" t="s">
        <v>3369</v>
      </c>
      <c r="B404" s="4">
        <v>248024</v>
      </c>
      <c r="C404" s="2" t="s">
        <v>3370</v>
      </c>
      <c r="D404" s="2">
        <f t="shared" si="6"/>
        <v>4</v>
      </c>
      <c r="F404" s="2" t="s">
        <v>3334</v>
      </c>
      <c r="G404" s="2" t="s">
        <v>53</v>
      </c>
      <c r="H404" s="4">
        <v>1</v>
      </c>
      <c r="I404" s="4">
        <v>1</v>
      </c>
      <c r="J404" s="4">
        <v>0</v>
      </c>
      <c r="L404" s="4">
        <v>0</v>
      </c>
      <c r="M404" s="2" t="s">
        <v>55</v>
      </c>
      <c r="N404" s="2" t="s">
        <v>56</v>
      </c>
      <c r="O404" s="2" t="s">
        <v>57</v>
      </c>
      <c r="P404" s="2" t="s">
        <v>460</v>
      </c>
      <c r="Q404" s="2" t="s">
        <v>461</v>
      </c>
      <c r="R404" s="2" t="s">
        <v>3371</v>
      </c>
      <c r="S404" s="2" t="s">
        <v>3372</v>
      </c>
      <c r="V404" s="2" t="s">
        <v>3373</v>
      </c>
      <c r="W404" s="2" t="s">
        <v>3374</v>
      </c>
      <c r="Y404" s="2" t="s">
        <v>64</v>
      </c>
      <c r="Z404" s="2" t="s">
        <v>65</v>
      </c>
      <c r="AA404" s="2" t="s">
        <v>66</v>
      </c>
      <c r="AC404" s="2" t="s">
        <v>67</v>
      </c>
      <c r="AD404" s="2" t="s">
        <v>68</v>
      </c>
      <c r="AE404" s="2" t="s">
        <v>69</v>
      </c>
      <c r="AF404" s="2" t="s">
        <v>70</v>
      </c>
      <c r="AG404" s="2" t="s">
        <v>460</v>
      </c>
      <c r="AK404" s="2" t="s">
        <v>3375</v>
      </c>
      <c r="AM404" s="2" t="s">
        <v>72</v>
      </c>
      <c r="AN404" s="2" t="s">
        <v>344</v>
      </c>
      <c r="AP404" s="2" t="s">
        <v>474</v>
      </c>
      <c r="AU404" s="2" t="s">
        <v>75</v>
      </c>
      <c r="AW404" s="2" t="s">
        <v>3376</v>
      </c>
      <c r="AZ404" s="2" t="s">
        <v>116</v>
      </c>
    </row>
    <row r="405" spans="1:52" s="3" customFormat="1" x14ac:dyDescent="0.35">
      <c r="A405" s="2" t="s">
        <v>3377</v>
      </c>
      <c r="B405" s="4">
        <v>248021</v>
      </c>
      <c r="C405" s="2" t="s">
        <v>3378</v>
      </c>
      <c r="D405" s="2">
        <f t="shared" si="6"/>
        <v>4</v>
      </c>
      <c r="F405" s="2" t="s">
        <v>3334</v>
      </c>
      <c r="G405" s="2" t="s">
        <v>53</v>
      </c>
      <c r="H405" s="4">
        <v>1</v>
      </c>
      <c r="I405" s="4">
        <v>1</v>
      </c>
      <c r="J405" s="4">
        <v>0</v>
      </c>
      <c r="L405" s="4">
        <v>0</v>
      </c>
      <c r="M405" s="2" t="s">
        <v>55</v>
      </c>
      <c r="N405" s="2" t="s">
        <v>56</v>
      </c>
      <c r="O405" s="2" t="s">
        <v>57</v>
      </c>
      <c r="P405" s="2" t="s">
        <v>460</v>
      </c>
      <c r="Q405" s="2" t="s">
        <v>461</v>
      </c>
      <c r="R405" s="2" t="s">
        <v>3379</v>
      </c>
      <c r="S405" s="2" t="s">
        <v>3380</v>
      </c>
      <c r="V405" s="2" t="s">
        <v>3381</v>
      </c>
      <c r="W405" s="2" t="s">
        <v>3382</v>
      </c>
      <c r="Y405" s="2" t="s">
        <v>64</v>
      </c>
      <c r="Z405" s="2" t="s">
        <v>205</v>
      </c>
      <c r="AA405" s="2" t="s">
        <v>66</v>
      </c>
      <c r="AC405" s="2" t="s">
        <v>67</v>
      </c>
      <c r="AD405" s="2" t="s">
        <v>68</v>
      </c>
      <c r="AE405" s="2" t="s">
        <v>69</v>
      </c>
      <c r="AF405" s="2" t="s">
        <v>70</v>
      </c>
      <c r="AG405" s="2" t="s">
        <v>460</v>
      </c>
      <c r="AK405" s="2" t="s">
        <v>3383</v>
      </c>
      <c r="AM405" s="2" t="s">
        <v>72</v>
      </c>
      <c r="AN405" s="2" t="s">
        <v>403</v>
      </c>
      <c r="AP405" s="2" t="s">
        <v>474</v>
      </c>
      <c r="AU405" s="2" t="s">
        <v>75</v>
      </c>
      <c r="AW405" s="2" t="s">
        <v>3384</v>
      </c>
      <c r="AZ405" s="2" t="s">
        <v>116</v>
      </c>
    </row>
    <row r="406" spans="1:52" s="3" customFormat="1" x14ac:dyDescent="0.35">
      <c r="A406" s="2" t="s">
        <v>3385</v>
      </c>
      <c r="B406" s="4">
        <v>248006</v>
      </c>
      <c r="C406" s="2" t="s">
        <v>3386</v>
      </c>
      <c r="D406" s="2">
        <f t="shared" si="6"/>
        <v>4</v>
      </c>
      <c r="F406" s="2" t="s">
        <v>3334</v>
      </c>
      <c r="G406" s="2" t="s">
        <v>53</v>
      </c>
      <c r="H406" s="4">
        <v>1</v>
      </c>
      <c r="I406" s="4">
        <v>1</v>
      </c>
      <c r="J406" s="4">
        <v>0</v>
      </c>
      <c r="L406" s="4">
        <v>0</v>
      </c>
      <c r="M406" s="2" t="s">
        <v>55</v>
      </c>
      <c r="N406" s="2" t="s">
        <v>56</v>
      </c>
      <c r="O406" s="2" t="s">
        <v>57</v>
      </c>
      <c r="P406" s="2" t="s">
        <v>3131</v>
      </c>
      <c r="Q406" s="2" t="s">
        <v>3132</v>
      </c>
      <c r="R406" s="2" t="s">
        <v>3387</v>
      </c>
      <c r="S406" s="2" t="s">
        <v>3388</v>
      </c>
      <c r="V406" s="2" t="s">
        <v>3389</v>
      </c>
      <c r="W406" s="2" t="s">
        <v>3390</v>
      </c>
      <c r="Y406" s="2" t="s">
        <v>64</v>
      </c>
      <c r="Z406" s="2" t="s">
        <v>205</v>
      </c>
      <c r="AA406" s="2" t="s">
        <v>66</v>
      </c>
      <c r="AC406" s="2" t="s">
        <v>67</v>
      </c>
      <c r="AD406" s="2" t="s">
        <v>68</v>
      </c>
      <c r="AE406" s="2" t="s">
        <v>69</v>
      </c>
      <c r="AF406" s="2" t="s">
        <v>70</v>
      </c>
      <c r="AG406" s="2" t="s">
        <v>3131</v>
      </c>
      <c r="AK406" s="2" t="s">
        <v>3391</v>
      </c>
      <c r="AM406" s="2" t="s">
        <v>72</v>
      </c>
      <c r="AN406" s="2" t="s">
        <v>595</v>
      </c>
      <c r="AP406" s="2" t="s">
        <v>3144</v>
      </c>
      <c r="AT406" s="2" t="s">
        <v>114</v>
      </c>
      <c r="AU406" s="2" t="s">
        <v>75</v>
      </c>
      <c r="AV406" s="2" t="s">
        <v>3392</v>
      </c>
      <c r="AW406" s="2" t="s">
        <v>3393</v>
      </c>
      <c r="AZ406" s="2" t="s">
        <v>116</v>
      </c>
    </row>
    <row r="407" spans="1:52" s="3" customFormat="1" x14ac:dyDescent="0.35">
      <c r="A407" s="2" t="s">
        <v>3394</v>
      </c>
      <c r="B407" s="4">
        <v>247927</v>
      </c>
      <c r="C407" s="2" t="s">
        <v>3395</v>
      </c>
      <c r="D407" s="2">
        <f t="shared" si="6"/>
        <v>4</v>
      </c>
      <c r="F407" s="2" t="s">
        <v>3396</v>
      </c>
      <c r="G407" s="2" t="s">
        <v>53</v>
      </c>
      <c r="H407" s="4">
        <v>1</v>
      </c>
      <c r="I407" s="4">
        <v>1</v>
      </c>
      <c r="J407" s="5">
        <v>60000</v>
      </c>
      <c r="L407" s="5">
        <v>56310</v>
      </c>
      <c r="M407" s="2" t="s">
        <v>55</v>
      </c>
      <c r="N407" s="2" t="s">
        <v>458</v>
      </c>
      <c r="O407" s="2" t="s">
        <v>459</v>
      </c>
      <c r="P407" s="2" t="s">
        <v>3397</v>
      </c>
      <c r="Q407" s="2" t="s">
        <v>3398</v>
      </c>
      <c r="R407" s="2" t="s">
        <v>3399</v>
      </c>
      <c r="T407" s="2" t="s">
        <v>3400</v>
      </c>
      <c r="U407" s="2" t="s">
        <v>3401</v>
      </c>
      <c r="V407" s="2" t="s">
        <v>3402</v>
      </c>
      <c r="W407" s="2" t="s">
        <v>3403</v>
      </c>
      <c r="X407" s="2" t="s">
        <v>3404</v>
      </c>
      <c r="Y407" s="2" t="s">
        <v>3405</v>
      </c>
      <c r="Z407" s="2" t="s">
        <v>2148</v>
      </c>
      <c r="AA407" s="2" t="s">
        <v>3406</v>
      </c>
      <c r="AB407" s="2" t="s">
        <v>3407</v>
      </c>
      <c r="AC407" s="2" t="s">
        <v>2151</v>
      </c>
      <c r="AD407" s="2" t="s">
        <v>68</v>
      </c>
      <c r="AE407" s="2" t="s">
        <v>69</v>
      </c>
      <c r="AF407" s="2" t="s">
        <v>70</v>
      </c>
      <c r="AG407" s="2" t="s">
        <v>3397</v>
      </c>
      <c r="AK407" s="2" t="s">
        <v>3408</v>
      </c>
      <c r="AM407" s="2" t="s">
        <v>72</v>
      </c>
      <c r="AN407" s="2" t="s">
        <v>283</v>
      </c>
      <c r="AP407" s="2" t="s">
        <v>3240</v>
      </c>
      <c r="AU407" s="2" t="s">
        <v>75</v>
      </c>
      <c r="AV407" s="2" t="s">
        <v>3409</v>
      </c>
      <c r="AW407" s="2" t="s">
        <v>3410</v>
      </c>
      <c r="AX407" s="2" t="s">
        <v>477</v>
      </c>
      <c r="AZ407" s="2" t="s">
        <v>478</v>
      </c>
    </row>
    <row r="408" spans="1:52" s="3" customFormat="1" x14ac:dyDescent="0.35">
      <c r="A408" s="2" t="s">
        <v>3411</v>
      </c>
      <c r="B408" s="4">
        <v>247923</v>
      </c>
      <c r="C408" s="2" t="s">
        <v>3412</v>
      </c>
      <c r="D408" s="2">
        <f t="shared" si="6"/>
        <v>4</v>
      </c>
      <c r="F408" s="2" t="s">
        <v>3396</v>
      </c>
      <c r="G408" s="2" t="s">
        <v>53</v>
      </c>
      <c r="H408" s="4">
        <v>5</v>
      </c>
      <c r="I408" s="4">
        <v>12</v>
      </c>
      <c r="J408" s="5">
        <v>14250</v>
      </c>
      <c r="K408" s="2" t="s">
        <v>80</v>
      </c>
      <c r="L408" s="5">
        <v>14250</v>
      </c>
      <c r="M408" s="2" t="s">
        <v>3413</v>
      </c>
      <c r="N408" s="2" t="s">
        <v>82</v>
      </c>
      <c r="O408" s="2" t="s">
        <v>484</v>
      </c>
      <c r="P408" s="2" t="s">
        <v>58</v>
      </c>
      <c r="Q408" s="2" t="s">
        <v>59</v>
      </c>
      <c r="R408" s="2" t="s">
        <v>3414</v>
      </c>
      <c r="S408" s="2" t="s">
        <v>3415</v>
      </c>
      <c r="T408" s="2" t="s">
        <v>3416</v>
      </c>
      <c r="U408" s="2" t="s">
        <v>3414</v>
      </c>
      <c r="V408" s="2" t="s">
        <v>3417</v>
      </c>
      <c r="W408" s="2" t="s">
        <v>3418</v>
      </c>
      <c r="Y408" s="2" t="s">
        <v>3419</v>
      </c>
      <c r="Z408" s="2" t="s">
        <v>3420</v>
      </c>
      <c r="AA408" s="2" t="s">
        <v>3421</v>
      </c>
      <c r="AB408" s="2" t="s">
        <v>3422</v>
      </c>
      <c r="AC408" s="2" t="s">
        <v>3423</v>
      </c>
      <c r="AD408" s="2" t="s">
        <v>3424</v>
      </c>
      <c r="AE408" s="2" t="s">
        <v>3425</v>
      </c>
      <c r="AF408" s="2" t="s">
        <v>70</v>
      </c>
      <c r="AK408" s="2" t="s">
        <v>3426</v>
      </c>
      <c r="AL408" s="2" t="s">
        <v>3427</v>
      </c>
      <c r="AM408" s="2" t="s">
        <v>72</v>
      </c>
      <c r="AN408" s="2" t="s">
        <v>403</v>
      </c>
      <c r="AP408" s="2" t="s">
        <v>74</v>
      </c>
      <c r="AU408" s="2" t="s">
        <v>75</v>
      </c>
      <c r="AV408" s="2" t="s">
        <v>3428</v>
      </c>
      <c r="AW408" s="2" t="s">
        <v>3429</v>
      </c>
      <c r="AZ408" s="2" t="s">
        <v>77</v>
      </c>
    </row>
    <row r="409" spans="1:52" s="3" customFormat="1" x14ac:dyDescent="0.35">
      <c r="A409" s="2" t="s">
        <v>3430</v>
      </c>
      <c r="B409" s="4">
        <v>247917</v>
      </c>
      <c r="C409" s="2" t="s">
        <v>3431</v>
      </c>
      <c r="D409" s="2">
        <f t="shared" si="6"/>
        <v>4</v>
      </c>
      <c r="F409" s="2" t="s">
        <v>3396</v>
      </c>
      <c r="G409" s="2" t="s">
        <v>53</v>
      </c>
      <c r="H409" s="4">
        <v>1</v>
      </c>
      <c r="I409" s="4">
        <v>1</v>
      </c>
      <c r="J409" s="5">
        <v>2849.84</v>
      </c>
      <c r="K409" s="2" t="s">
        <v>80</v>
      </c>
      <c r="L409" s="5">
        <v>2849.84</v>
      </c>
      <c r="M409" s="2" t="s">
        <v>3432</v>
      </c>
      <c r="N409" s="2" t="s">
        <v>1658</v>
      </c>
      <c r="O409" s="2" t="s">
        <v>83</v>
      </c>
      <c r="P409" s="2" t="s">
        <v>58</v>
      </c>
      <c r="Q409" s="2" t="s">
        <v>59</v>
      </c>
      <c r="R409" s="2" t="s">
        <v>3433</v>
      </c>
      <c r="S409" s="2" t="s">
        <v>3434</v>
      </c>
      <c r="V409" s="2" t="s">
        <v>3435</v>
      </c>
      <c r="W409" s="2" t="s">
        <v>3436</v>
      </c>
      <c r="Y409" s="2" t="s">
        <v>3437</v>
      </c>
      <c r="Z409" s="2" t="s">
        <v>3438</v>
      </c>
      <c r="AA409" s="2" t="s">
        <v>3439</v>
      </c>
      <c r="AC409" s="2" t="s">
        <v>3440</v>
      </c>
      <c r="AD409" s="2" t="s">
        <v>3441</v>
      </c>
      <c r="AE409" s="2" t="s">
        <v>69</v>
      </c>
      <c r="AF409" s="2" t="s">
        <v>70</v>
      </c>
      <c r="AK409" s="2" t="s">
        <v>3442</v>
      </c>
      <c r="AL409" s="2" t="s">
        <v>3443</v>
      </c>
      <c r="AM409" s="2" t="s">
        <v>72</v>
      </c>
      <c r="AN409" s="2" t="s">
        <v>473</v>
      </c>
      <c r="AP409" s="2" t="s">
        <v>74</v>
      </c>
      <c r="AU409" s="2" t="s">
        <v>75</v>
      </c>
      <c r="AV409" s="2" t="s">
        <v>3396</v>
      </c>
      <c r="AW409" s="2" t="s">
        <v>3444</v>
      </c>
      <c r="AZ409" s="2" t="s">
        <v>77</v>
      </c>
    </row>
    <row r="410" spans="1:52" s="3" customFormat="1" x14ac:dyDescent="0.35">
      <c r="A410" s="2" t="s">
        <v>3445</v>
      </c>
      <c r="B410" s="4">
        <v>247900</v>
      </c>
      <c r="C410" s="2" t="s">
        <v>3446</v>
      </c>
      <c r="D410" s="2">
        <f t="shared" si="6"/>
        <v>4</v>
      </c>
      <c r="F410" s="2" t="s">
        <v>3396</v>
      </c>
      <c r="G410" s="2" t="s">
        <v>53</v>
      </c>
      <c r="H410" s="4">
        <v>1</v>
      </c>
      <c r="I410" s="4">
        <v>1</v>
      </c>
      <c r="J410" s="4">
        <v>0</v>
      </c>
      <c r="L410" s="4">
        <v>0</v>
      </c>
      <c r="M410" s="2" t="s">
        <v>55</v>
      </c>
      <c r="N410" s="2" t="s">
        <v>56</v>
      </c>
      <c r="O410" s="2" t="s">
        <v>57</v>
      </c>
      <c r="P410" s="2" t="s">
        <v>106</v>
      </c>
      <c r="Q410" s="2" t="s">
        <v>107</v>
      </c>
      <c r="R410" s="2" t="s">
        <v>3447</v>
      </c>
      <c r="S410" s="2" t="s">
        <v>3448</v>
      </c>
      <c r="V410" s="2" t="s">
        <v>3449</v>
      </c>
      <c r="W410" s="2" t="s">
        <v>3450</v>
      </c>
      <c r="Y410" s="2" t="s">
        <v>64</v>
      </c>
      <c r="Z410" s="2" t="s">
        <v>205</v>
      </c>
      <c r="AA410" s="2" t="s">
        <v>66</v>
      </c>
      <c r="AC410" s="2" t="s">
        <v>67</v>
      </c>
      <c r="AD410" s="2" t="s">
        <v>68</v>
      </c>
      <c r="AE410" s="2" t="s">
        <v>69</v>
      </c>
      <c r="AF410" s="2" t="s">
        <v>70</v>
      </c>
      <c r="AG410" s="2" t="s">
        <v>106</v>
      </c>
      <c r="AK410" s="2" t="s">
        <v>3451</v>
      </c>
      <c r="AM410" s="2" t="s">
        <v>72</v>
      </c>
      <c r="AN410" s="2" t="s">
        <v>403</v>
      </c>
      <c r="AP410" s="2" t="s">
        <v>113</v>
      </c>
      <c r="AT410" s="2" t="s">
        <v>114</v>
      </c>
      <c r="AU410" s="2" t="s">
        <v>75</v>
      </c>
      <c r="AW410" s="2" t="s">
        <v>3452</v>
      </c>
      <c r="AZ410" s="2" t="s">
        <v>116</v>
      </c>
    </row>
    <row r="411" spans="1:52" s="3" customFormat="1" x14ac:dyDescent="0.35">
      <c r="A411" s="2" t="s">
        <v>3453</v>
      </c>
      <c r="B411" s="4">
        <v>247838</v>
      </c>
      <c r="C411" s="2" t="s">
        <v>3454</v>
      </c>
      <c r="D411" s="2">
        <f t="shared" si="6"/>
        <v>4</v>
      </c>
      <c r="F411" s="2" t="s">
        <v>3396</v>
      </c>
      <c r="G411" s="2" t="s">
        <v>53</v>
      </c>
      <c r="H411" s="4">
        <v>3</v>
      </c>
      <c r="I411" s="4">
        <v>1</v>
      </c>
      <c r="J411" s="5">
        <v>6750</v>
      </c>
      <c r="L411" s="5">
        <v>6750</v>
      </c>
      <c r="M411" s="2" t="s">
        <v>55</v>
      </c>
      <c r="N411" s="2" t="s">
        <v>458</v>
      </c>
      <c r="O411" s="2" t="s">
        <v>459</v>
      </c>
      <c r="P411" s="2" t="s">
        <v>509</v>
      </c>
      <c r="Q411" s="2" t="s">
        <v>510</v>
      </c>
      <c r="R411" s="2" t="s">
        <v>2546</v>
      </c>
      <c r="T411" s="2" t="s">
        <v>2547</v>
      </c>
      <c r="U411" s="2" t="s">
        <v>2548</v>
      </c>
      <c r="V411" s="2" t="s">
        <v>2549</v>
      </c>
      <c r="W411" s="2" t="s">
        <v>3455</v>
      </c>
      <c r="X411" s="2" t="s">
        <v>3456</v>
      </c>
      <c r="Y411" s="2" t="s">
        <v>2551</v>
      </c>
      <c r="Z411" s="2" t="s">
        <v>3457</v>
      </c>
      <c r="AA411" s="2" t="s">
        <v>2553</v>
      </c>
      <c r="AB411" s="2" t="s">
        <v>3458</v>
      </c>
      <c r="AC411" s="2" t="s">
        <v>3459</v>
      </c>
      <c r="AD411" s="2" t="s">
        <v>2556</v>
      </c>
      <c r="AE411" s="2" t="s">
        <v>69</v>
      </c>
      <c r="AF411" s="2" t="s">
        <v>70</v>
      </c>
      <c r="AG411" s="2" t="s">
        <v>3460</v>
      </c>
      <c r="AK411" s="2" t="s">
        <v>3461</v>
      </c>
      <c r="AM411" s="2" t="s">
        <v>72</v>
      </c>
      <c r="AN411" s="2" t="s">
        <v>283</v>
      </c>
      <c r="AP411" s="2" t="s">
        <v>74</v>
      </c>
      <c r="AU411" s="2" t="s">
        <v>75</v>
      </c>
      <c r="AV411" s="2" t="s">
        <v>2559</v>
      </c>
      <c r="AW411" s="2" t="s">
        <v>2560</v>
      </c>
      <c r="AX411" s="2" t="s">
        <v>477</v>
      </c>
      <c r="AZ411" s="2" t="s">
        <v>478</v>
      </c>
    </row>
    <row r="412" spans="1:52" s="3" customFormat="1" x14ac:dyDescent="0.35">
      <c r="A412" s="2" t="s">
        <v>3462</v>
      </c>
      <c r="B412" s="4">
        <v>247798</v>
      </c>
      <c r="C412" s="2" t="s">
        <v>3463</v>
      </c>
      <c r="D412" s="2">
        <f t="shared" si="6"/>
        <v>4</v>
      </c>
      <c r="F412" s="2" t="s">
        <v>3464</v>
      </c>
      <c r="G412" s="2" t="s">
        <v>53</v>
      </c>
      <c r="H412" s="4">
        <v>1</v>
      </c>
      <c r="I412" s="4">
        <v>1</v>
      </c>
      <c r="J412" s="5">
        <v>2849.84</v>
      </c>
      <c r="K412" s="2" t="s">
        <v>1814</v>
      </c>
      <c r="L412" s="5">
        <v>2849.84</v>
      </c>
      <c r="N412" s="2" t="s">
        <v>1814</v>
      </c>
      <c r="O412" s="2" t="s">
        <v>1815</v>
      </c>
      <c r="P412" s="2" t="s">
        <v>58</v>
      </c>
      <c r="Q412" s="2" t="s">
        <v>59</v>
      </c>
      <c r="R412" s="2" t="s">
        <v>3465</v>
      </c>
      <c r="S412" s="2" t="s">
        <v>3466</v>
      </c>
      <c r="T412" s="2" t="s">
        <v>3467</v>
      </c>
      <c r="U412" s="2" t="s">
        <v>3468</v>
      </c>
      <c r="V412" s="2" t="s">
        <v>3469</v>
      </c>
      <c r="W412" s="2" t="s">
        <v>3470</v>
      </c>
      <c r="Y412" s="2" t="s">
        <v>3471</v>
      </c>
      <c r="Z412" s="2" t="s">
        <v>3472</v>
      </c>
      <c r="AA412" s="2" t="s">
        <v>3473</v>
      </c>
      <c r="AC412" s="2" t="s">
        <v>3474</v>
      </c>
      <c r="AD412" s="2" t="s">
        <v>3475</v>
      </c>
      <c r="AE412" s="2" t="s">
        <v>3425</v>
      </c>
      <c r="AF412" s="2" t="s">
        <v>70</v>
      </c>
      <c r="AK412" s="2" t="s">
        <v>3476</v>
      </c>
      <c r="AL412" s="2" t="s">
        <v>3443</v>
      </c>
      <c r="AM412" s="2" t="s">
        <v>72</v>
      </c>
      <c r="AN412" s="2" t="s">
        <v>473</v>
      </c>
      <c r="AP412" s="2" t="s">
        <v>74</v>
      </c>
      <c r="AU412" s="2" t="s">
        <v>75</v>
      </c>
      <c r="AV412" s="2" t="s">
        <v>3477</v>
      </c>
      <c r="AW412" s="2" t="s">
        <v>3478</v>
      </c>
      <c r="AZ412" s="2" t="s">
        <v>77</v>
      </c>
    </row>
    <row r="413" spans="1:52" s="3" customFormat="1" x14ac:dyDescent="0.35">
      <c r="A413" s="2" t="s">
        <v>3479</v>
      </c>
      <c r="B413" s="4">
        <v>247797</v>
      </c>
      <c r="C413" s="2" t="s">
        <v>3480</v>
      </c>
      <c r="D413" s="2">
        <f t="shared" si="6"/>
        <v>4</v>
      </c>
      <c r="F413" s="2" t="s">
        <v>3464</v>
      </c>
      <c r="G413" s="2" t="s">
        <v>53</v>
      </c>
      <c r="H413" s="4">
        <v>1</v>
      </c>
      <c r="I413" s="4">
        <v>1</v>
      </c>
      <c r="J413" s="4">
        <v>0</v>
      </c>
      <c r="L413" s="4">
        <v>0</v>
      </c>
      <c r="M413" s="2" t="s">
        <v>55</v>
      </c>
      <c r="N413" s="2" t="s">
        <v>56</v>
      </c>
      <c r="O413" s="2" t="s">
        <v>57</v>
      </c>
      <c r="P413" s="2" t="s">
        <v>460</v>
      </c>
      <c r="Q413" s="2" t="s">
        <v>461</v>
      </c>
      <c r="R413" s="2" t="s">
        <v>3481</v>
      </c>
      <c r="S413" s="2" t="s">
        <v>3482</v>
      </c>
      <c r="V413" s="2" t="s">
        <v>3483</v>
      </c>
      <c r="W413" s="2" t="s">
        <v>3484</v>
      </c>
      <c r="Y413" s="2" t="s">
        <v>64</v>
      </c>
      <c r="Z413" s="2" t="s">
        <v>65</v>
      </c>
      <c r="AA413" s="2" t="s">
        <v>66</v>
      </c>
      <c r="AC413" s="2" t="s">
        <v>67</v>
      </c>
      <c r="AD413" s="2" t="s">
        <v>68</v>
      </c>
      <c r="AE413" s="2" t="s">
        <v>69</v>
      </c>
      <c r="AF413" s="2" t="s">
        <v>70</v>
      </c>
      <c r="AG413" s="2" t="s">
        <v>460</v>
      </c>
      <c r="AK413" s="2" t="s">
        <v>3485</v>
      </c>
      <c r="AM413" s="2" t="s">
        <v>72</v>
      </c>
      <c r="AN413" s="2" t="s">
        <v>1046</v>
      </c>
      <c r="AP413" s="2" t="s">
        <v>474</v>
      </c>
      <c r="AU413" s="2" t="s">
        <v>75</v>
      </c>
      <c r="AW413" s="2" t="s">
        <v>3486</v>
      </c>
      <c r="AZ413" s="2" t="s">
        <v>116</v>
      </c>
    </row>
    <row r="414" spans="1:52" s="3" customFormat="1" x14ac:dyDescent="0.35">
      <c r="A414" s="2" t="s">
        <v>3487</v>
      </c>
      <c r="B414" s="4">
        <v>247794</v>
      </c>
      <c r="C414" s="2" t="s">
        <v>3488</v>
      </c>
      <c r="D414" s="2">
        <f t="shared" si="6"/>
        <v>4</v>
      </c>
      <c r="F414" s="2" t="s">
        <v>3464</v>
      </c>
      <c r="G414" s="2" t="s">
        <v>53</v>
      </c>
      <c r="H414" s="4">
        <v>1</v>
      </c>
      <c r="I414" s="4">
        <v>1</v>
      </c>
      <c r="J414" s="4">
        <v>0</v>
      </c>
      <c r="L414" s="4">
        <v>0</v>
      </c>
      <c r="M414" s="2" t="s">
        <v>55</v>
      </c>
      <c r="N414" s="2" t="s">
        <v>56</v>
      </c>
      <c r="O414" s="2" t="s">
        <v>57</v>
      </c>
      <c r="P414" s="2" t="s">
        <v>460</v>
      </c>
      <c r="Q414" s="2" t="s">
        <v>461</v>
      </c>
      <c r="R414" s="2" t="s">
        <v>3489</v>
      </c>
      <c r="S414" s="2" t="s">
        <v>3490</v>
      </c>
      <c r="V414" s="2" t="s">
        <v>3491</v>
      </c>
      <c r="W414" s="2" t="s">
        <v>3492</v>
      </c>
      <c r="Y414" s="2" t="s">
        <v>64</v>
      </c>
      <c r="Z414" s="2" t="s">
        <v>205</v>
      </c>
      <c r="AA414" s="2" t="s">
        <v>66</v>
      </c>
      <c r="AC414" s="2" t="s">
        <v>67</v>
      </c>
      <c r="AD414" s="2" t="s">
        <v>68</v>
      </c>
      <c r="AE414" s="2" t="s">
        <v>69</v>
      </c>
      <c r="AF414" s="2" t="s">
        <v>70</v>
      </c>
      <c r="AG414" s="2" t="s">
        <v>460</v>
      </c>
      <c r="AK414" s="2" t="s">
        <v>3493</v>
      </c>
      <c r="AM414" s="2" t="s">
        <v>72</v>
      </c>
      <c r="AN414" s="2" t="s">
        <v>403</v>
      </c>
      <c r="AP414" s="2" t="s">
        <v>474</v>
      </c>
      <c r="AU414" s="2" t="s">
        <v>75</v>
      </c>
      <c r="AW414" s="2" t="s">
        <v>3494</v>
      </c>
      <c r="AZ414" s="2" t="s">
        <v>116</v>
      </c>
    </row>
    <row r="415" spans="1:52" s="3" customFormat="1" x14ac:dyDescent="0.35">
      <c r="A415" s="2" t="s">
        <v>3495</v>
      </c>
      <c r="B415" s="4">
        <v>247777</v>
      </c>
      <c r="C415" s="2" t="s">
        <v>3496</v>
      </c>
      <c r="D415" s="2">
        <f t="shared" si="6"/>
        <v>4</v>
      </c>
      <c r="F415" s="2" t="s">
        <v>3497</v>
      </c>
      <c r="G415" s="2" t="s">
        <v>53</v>
      </c>
      <c r="H415" s="4">
        <v>1</v>
      </c>
      <c r="I415" s="4">
        <v>1</v>
      </c>
      <c r="J415" s="4">
        <v>0</v>
      </c>
      <c r="L415" s="4">
        <v>0</v>
      </c>
      <c r="M415" s="2" t="s">
        <v>55</v>
      </c>
      <c r="N415" s="2" t="s">
        <v>56</v>
      </c>
      <c r="O415" s="2" t="s">
        <v>57</v>
      </c>
      <c r="P415" s="2" t="s">
        <v>3498</v>
      </c>
      <c r="Q415" s="2" t="s">
        <v>3499</v>
      </c>
      <c r="R415" s="2" t="s">
        <v>3500</v>
      </c>
      <c r="S415" s="2" t="s">
        <v>3501</v>
      </c>
      <c r="V415" s="2" t="s">
        <v>3502</v>
      </c>
      <c r="W415" s="2" t="s">
        <v>3503</v>
      </c>
      <c r="Y415" s="2" t="s">
        <v>64</v>
      </c>
      <c r="Z415" s="2" t="s">
        <v>3302</v>
      </c>
      <c r="AA415" s="2" t="s">
        <v>66</v>
      </c>
      <c r="AC415" s="2" t="s">
        <v>67</v>
      </c>
      <c r="AD415" s="2" t="s">
        <v>68</v>
      </c>
      <c r="AE415" s="2" t="s">
        <v>69</v>
      </c>
      <c r="AF415" s="2" t="s">
        <v>70</v>
      </c>
      <c r="AG415" s="2" t="s">
        <v>3498</v>
      </c>
      <c r="AK415" s="2" t="s">
        <v>3504</v>
      </c>
      <c r="AM415" s="2" t="s">
        <v>72</v>
      </c>
      <c r="AN415" s="2" t="s">
        <v>73</v>
      </c>
      <c r="AP415" s="2" t="s">
        <v>3464</v>
      </c>
      <c r="AT415" s="2" t="s">
        <v>114</v>
      </c>
      <c r="AU415" s="2" t="s">
        <v>75</v>
      </c>
      <c r="AW415" s="2" t="s">
        <v>3505</v>
      </c>
      <c r="AZ415" s="2" t="s">
        <v>116</v>
      </c>
    </row>
    <row r="416" spans="1:52" s="3" customFormat="1" x14ac:dyDescent="0.35">
      <c r="A416" s="2" t="s">
        <v>3506</v>
      </c>
      <c r="B416" s="4">
        <v>247759</v>
      </c>
      <c r="C416" s="2" t="s">
        <v>3507</v>
      </c>
      <c r="D416" s="2">
        <f t="shared" si="6"/>
        <v>4</v>
      </c>
      <c r="F416" s="2" t="s">
        <v>3396</v>
      </c>
      <c r="G416" s="2" t="s">
        <v>53</v>
      </c>
      <c r="H416" s="4">
        <v>1</v>
      </c>
      <c r="I416" s="4">
        <v>1</v>
      </c>
      <c r="J416" s="5">
        <v>135000</v>
      </c>
      <c r="L416" s="5">
        <v>126697.5</v>
      </c>
      <c r="M416" s="2" t="s">
        <v>55</v>
      </c>
      <c r="N416" s="2" t="s">
        <v>458</v>
      </c>
      <c r="O416" s="2" t="s">
        <v>459</v>
      </c>
      <c r="P416" s="2" t="s">
        <v>3508</v>
      </c>
      <c r="Q416" s="2" t="s">
        <v>3509</v>
      </c>
      <c r="R416" s="2" t="s">
        <v>3510</v>
      </c>
      <c r="T416" s="2" t="s">
        <v>3511</v>
      </c>
      <c r="U416" s="2" t="s">
        <v>3512</v>
      </c>
      <c r="V416" s="2" t="s">
        <v>3513</v>
      </c>
      <c r="W416" s="2" t="s">
        <v>3514</v>
      </c>
      <c r="X416" s="2" t="s">
        <v>3515</v>
      </c>
      <c r="Y416" s="2" t="s">
        <v>3516</v>
      </c>
      <c r="Z416" s="2" t="s">
        <v>3517</v>
      </c>
      <c r="AA416" s="2" t="s">
        <v>3518</v>
      </c>
      <c r="AB416" s="2" t="s">
        <v>3519</v>
      </c>
      <c r="AC416" s="2" t="s">
        <v>3520</v>
      </c>
      <c r="AD416" s="2" t="s">
        <v>3521</v>
      </c>
      <c r="AE416" s="2" t="s">
        <v>96</v>
      </c>
      <c r="AF416" s="2" t="s">
        <v>70</v>
      </c>
      <c r="AG416" s="2" t="s">
        <v>3508</v>
      </c>
      <c r="AK416" s="2" t="s">
        <v>3522</v>
      </c>
      <c r="AM416" s="2" t="s">
        <v>72</v>
      </c>
      <c r="AN416" s="2" t="s">
        <v>473</v>
      </c>
      <c r="AP416" s="2" t="s">
        <v>3523</v>
      </c>
      <c r="AU416" s="2" t="s">
        <v>75</v>
      </c>
      <c r="AV416" s="2" t="s">
        <v>3524</v>
      </c>
      <c r="AW416" s="2" t="s">
        <v>3525</v>
      </c>
      <c r="AX416" s="2" t="s">
        <v>477</v>
      </c>
      <c r="AZ416" s="2" t="s">
        <v>478</v>
      </c>
    </row>
    <row r="417" spans="1:52" s="3" customFormat="1" x14ac:dyDescent="0.35">
      <c r="A417" s="2" t="s">
        <v>3526</v>
      </c>
      <c r="B417" s="4">
        <v>247744</v>
      </c>
      <c r="C417" s="2" t="s">
        <v>3527</v>
      </c>
      <c r="D417" s="2">
        <f t="shared" si="6"/>
        <v>4</v>
      </c>
      <c r="G417" s="2" t="s">
        <v>53</v>
      </c>
      <c r="H417" s="4">
        <v>1</v>
      </c>
      <c r="I417" s="4">
        <v>1</v>
      </c>
      <c r="J417" s="4">
        <v>0</v>
      </c>
      <c r="L417" s="4">
        <v>0</v>
      </c>
      <c r="M417" s="2" t="s">
        <v>55</v>
      </c>
      <c r="N417" s="2" t="s">
        <v>56</v>
      </c>
      <c r="O417" s="2" t="s">
        <v>57</v>
      </c>
      <c r="P417" s="2" t="s">
        <v>509</v>
      </c>
      <c r="Q417" s="2" t="s">
        <v>510</v>
      </c>
      <c r="R417" s="2" t="s">
        <v>3528</v>
      </c>
      <c r="S417" s="2" t="s">
        <v>3529</v>
      </c>
      <c r="V417" s="2" t="s">
        <v>3530</v>
      </c>
      <c r="W417" s="2" t="s">
        <v>3531</v>
      </c>
      <c r="Y417" s="2" t="s">
        <v>64</v>
      </c>
      <c r="Z417" s="2" t="s">
        <v>65</v>
      </c>
      <c r="AA417" s="2" t="s">
        <v>66</v>
      </c>
      <c r="AC417" s="2" t="s">
        <v>67</v>
      </c>
      <c r="AD417" s="2" t="s">
        <v>68</v>
      </c>
      <c r="AE417" s="2" t="s">
        <v>69</v>
      </c>
      <c r="AF417" s="2" t="s">
        <v>70</v>
      </c>
      <c r="AG417" s="2" t="s">
        <v>509</v>
      </c>
      <c r="AK417" s="2" t="s">
        <v>3532</v>
      </c>
      <c r="AM417" s="2" t="s">
        <v>72</v>
      </c>
      <c r="AN417" s="2" t="s">
        <v>3533</v>
      </c>
      <c r="AP417" s="2" t="s">
        <v>74</v>
      </c>
      <c r="AW417" s="2" t="s">
        <v>3534</v>
      </c>
      <c r="AZ417" s="2" t="s">
        <v>116</v>
      </c>
    </row>
    <row r="418" spans="1:52" s="3" customFormat="1" x14ac:dyDescent="0.35">
      <c r="A418" s="2" t="s">
        <v>3535</v>
      </c>
      <c r="B418" s="4">
        <v>247743</v>
      </c>
      <c r="C418" s="2" t="s">
        <v>3536</v>
      </c>
      <c r="D418" s="2">
        <f t="shared" si="6"/>
        <v>4</v>
      </c>
      <c r="G418" s="2" t="s">
        <v>53</v>
      </c>
      <c r="H418" s="4">
        <v>1</v>
      </c>
      <c r="I418" s="4">
        <v>1</v>
      </c>
      <c r="J418" s="4">
        <v>0</v>
      </c>
      <c r="L418" s="4">
        <v>0</v>
      </c>
      <c r="M418" s="2" t="s">
        <v>55</v>
      </c>
      <c r="N418" s="2" t="s">
        <v>56</v>
      </c>
      <c r="O418" s="2" t="s">
        <v>57</v>
      </c>
      <c r="P418" s="2" t="s">
        <v>509</v>
      </c>
      <c r="Q418" s="2" t="s">
        <v>510</v>
      </c>
      <c r="R418" s="2" t="s">
        <v>3537</v>
      </c>
      <c r="S418" s="2" t="s">
        <v>3538</v>
      </c>
      <c r="V418" s="2" t="s">
        <v>3539</v>
      </c>
      <c r="W418" s="2" t="s">
        <v>3540</v>
      </c>
      <c r="Y418" s="2" t="s">
        <v>64</v>
      </c>
      <c r="Z418" s="2" t="s">
        <v>65</v>
      </c>
      <c r="AA418" s="2" t="s">
        <v>66</v>
      </c>
      <c r="AC418" s="2" t="s">
        <v>67</v>
      </c>
      <c r="AD418" s="2" t="s">
        <v>68</v>
      </c>
      <c r="AE418" s="2" t="s">
        <v>69</v>
      </c>
      <c r="AF418" s="2" t="s">
        <v>70</v>
      </c>
      <c r="AG418" s="2" t="s">
        <v>509</v>
      </c>
      <c r="AK418" s="2" t="s">
        <v>3541</v>
      </c>
      <c r="AM418" s="2" t="s">
        <v>72</v>
      </c>
      <c r="AN418" s="2" t="s">
        <v>3533</v>
      </c>
      <c r="AP418" s="2" t="s">
        <v>74</v>
      </c>
      <c r="AW418" s="2" t="s">
        <v>3542</v>
      </c>
      <c r="AZ418" s="2" t="s">
        <v>116</v>
      </c>
    </row>
    <row r="419" spans="1:52" s="3" customFormat="1" x14ac:dyDescent="0.35">
      <c r="A419" s="2" t="s">
        <v>3543</v>
      </c>
      <c r="B419" s="4">
        <v>247736</v>
      </c>
      <c r="C419" s="2" t="s">
        <v>3544</v>
      </c>
      <c r="D419" s="2">
        <f t="shared" si="6"/>
        <v>4</v>
      </c>
      <c r="F419" s="2" t="s">
        <v>3497</v>
      </c>
      <c r="G419" s="2" t="s">
        <v>53</v>
      </c>
      <c r="H419" s="4">
        <v>1</v>
      </c>
      <c r="I419" s="4">
        <v>1</v>
      </c>
      <c r="J419" s="4">
        <v>0</v>
      </c>
      <c r="L419" s="4">
        <v>0</v>
      </c>
      <c r="M419" s="2" t="s">
        <v>55</v>
      </c>
      <c r="N419" s="2" t="s">
        <v>56</v>
      </c>
      <c r="O419" s="2" t="s">
        <v>57</v>
      </c>
      <c r="P419" s="2" t="s">
        <v>3498</v>
      </c>
      <c r="Q419" s="2" t="s">
        <v>3499</v>
      </c>
      <c r="R419" s="2" t="s">
        <v>3545</v>
      </c>
      <c r="S419" s="2" t="s">
        <v>3546</v>
      </c>
      <c r="V419" s="2" t="s">
        <v>3547</v>
      </c>
      <c r="W419" s="2" t="s">
        <v>3548</v>
      </c>
      <c r="Y419" s="2" t="s">
        <v>64</v>
      </c>
      <c r="Z419" s="2" t="s">
        <v>3302</v>
      </c>
      <c r="AA419" s="2" t="s">
        <v>66</v>
      </c>
      <c r="AC419" s="2" t="s">
        <v>67</v>
      </c>
      <c r="AD419" s="2" t="s">
        <v>68</v>
      </c>
      <c r="AE419" s="2" t="s">
        <v>69</v>
      </c>
      <c r="AF419" s="2" t="s">
        <v>70</v>
      </c>
      <c r="AG419" s="2" t="s">
        <v>3498</v>
      </c>
      <c r="AK419" s="2" t="s">
        <v>3549</v>
      </c>
      <c r="AM419" s="2" t="s">
        <v>72</v>
      </c>
      <c r="AN419" s="2" t="s">
        <v>283</v>
      </c>
      <c r="AP419" s="2" t="s">
        <v>3464</v>
      </c>
      <c r="AT419" s="2" t="s">
        <v>114</v>
      </c>
      <c r="AU419" s="2" t="s">
        <v>75</v>
      </c>
      <c r="AW419" s="2" t="s">
        <v>3550</v>
      </c>
      <c r="AZ419" s="2" t="s">
        <v>116</v>
      </c>
    </row>
    <row r="420" spans="1:52" s="3" customFormat="1" x14ac:dyDescent="0.35">
      <c r="A420" s="2" t="s">
        <v>3551</v>
      </c>
      <c r="B420" s="4">
        <v>247729</v>
      </c>
      <c r="C420" s="2" t="s">
        <v>3552</v>
      </c>
      <c r="D420" s="2">
        <f t="shared" si="6"/>
        <v>4</v>
      </c>
      <c r="F420" s="2" t="s">
        <v>3396</v>
      </c>
      <c r="G420" s="2" t="s">
        <v>53</v>
      </c>
      <c r="H420" s="4">
        <v>1</v>
      </c>
      <c r="I420" s="4">
        <v>1</v>
      </c>
      <c r="J420" s="5">
        <v>15500</v>
      </c>
      <c r="L420" s="5">
        <v>14546.75</v>
      </c>
      <c r="M420" s="2" t="s">
        <v>55</v>
      </c>
      <c r="N420" s="2" t="s">
        <v>458</v>
      </c>
      <c r="O420" s="2" t="s">
        <v>459</v>
      </c>
      <c r="P420" s="2" t="s">
        <v>460</v>
      </c>
      <c r="Q420" s="2" t="s">
        <v>461</v>
      </c>
      <c r="R420" s="2" t="s">
        <v>3553</v>
      </c>
      <c r="T420" s="2" t="s">
        <v>463</v>
      </c>
      <c r="U420" s="2" t="s">
        <v>464</v>
      </c>
      <c r="V420" s="2" t="s">
        <v>465</v>
      </c>
      <c r="W420" s="2" t="s">
        <v>3554</v>
      </c>
      <c r="X420" s="2" t="s">
        <v>2800</v>
      </c>
      <c r="Y420" s="2" t="s">
        <v>467</v>
      </c>
      <c r="Z420" s="2" t="s">
        <v>468</v>
      </c>
      <c r="AA420" s="2" t="s">
        <v>469</v>
      </c>
      <c r="AC420" s="2" t="s">
        <v>470</v>
      </c>
      <c r="AD420" s="2" t="s">
        <v>68</v>
      </c>
      <c r="AE420" s="2" t="s">
        <v>69</v>
      </c>
      <c r="AF420" s="2" t="s">
        <v>70</v>
      </c>
      <c r="AG420" s="2" t="s">
        <v>3555</v>
      </c>
      <c r="AK420" s="2" t="s">
        <v>3556</v>
      </c>
      <c r="AM420" s="2" t="s">
        <v>72</v>
      </c>
      <c r="AN420" s="2" t="s">
        <v>473</v>
      </c>
      <c r="AP420" s="2" t="s">
        <v>474</v>
      </c>
      <c r="AU420" s="2" t="s">
        <v>75</v>
      </c>
      <c r="AV420" s="2" t="s">
        <v>475</v>
      </c>
      <c r="AW420" s="2" t="s">
        <v>476</v>
      </c>
      <c r="AX420" s="2" t="s">
        <v>477</v>
      </c>
      <c r="AZ420" s="2" t="s">
        <v>478</v>
      </c>
    </row>
    <row r="421" spans="1:52" s="3" customFormat="1" x14ac:dyDescent="0.35">
      <c r="A421" s="2" t="s">
        <v>3557</v>
      </c>
      <c r="B421" s="4">
        <v>247665</v>
      </c>
      <c r="C421" s="2" t="s">
        <v>3558</v>
      </c>
      <c r="D421" s="2">
        <f t="shared" si="6"/>
        <v>4</v>
      </c>
      <c r="G421" s="2" t="s">
        <v>53</v>
      </c>
      <c r="H421" s="4">
        <v>1</v>
      </c>
      <c r="I421" s="4">
        <v>1</v>
      </c>
      <c r="J421" s="4">
        <v>0</v>
      </c>
      <c r="L421" s="4">
        <v>0</v>
      </c>
      <c r="M421" s="2" t="s">
        <v>55</v>
      </c>
      <c r="N421" s="2" t="s">
        <v>56</v>
      </c>
      <c r="O421" s="2" t="s">
        <v>57</v>
      </c>
      <c r="P421" s="2" t="s">
        <v>509</v>
      </c>
      <c r="Q421" s="2" t="s">
        <v>510</v>
      </c>
      <c r="R421" s="2" t="s">
        <v>3559</v>
      </c>
      <c r="T421" s="2" t="s">
        <v>3560</v>
      </c>
      <c r="U421" s="2" t="s">
        <v>3561</v>
      </c>
      <c r="V421" s="2" t="s">
        <v>3562</v>
      </c>
      <c r="W421" s="2" t="s">
        <v>3563</v>
      </c>
      <c r="X421" s="2" t="s">
        <v>3564</v>
      </c>
      <c r="Y421" s="2" t="s">
        <v>3565</v>
      </c>
      <c r="Z421" s="2" t="s">
        <v>3566</v>
      </c>
      <c r="AA421" s="2" t="s">
        <v>3567</v>
      </c>
      <c r="AC421" s="2" t="s">
        <v>2842</v>
      </c>
      <c r="AD421" s="2" t="s">
        <v>3568</v>
      </c>
      <c r="AE421" s="2" t="s">
        <v>3569</v>
      </c>
      <c r="AF421" s="2" t="s">
        <v>70</v>
      </c>
      <c r="AG421" s="2" t="s">
        <v>3570</v>
      </c>
      <c r="AK421" s="2" t="s">
        <v>3571</v>
      </c>
      <c r="AM421" s="2" t="s">
        <v>72</v>
      </c>
      <c r="AN421" s="2" t="s">
        <v>232</v>
      </c>
      <c r="AP421" s="2" t="s">
        <v>74</v>
      </c>
      <c r="AU421" s="2" t="s">
        <v>75</v>
      </c>
      <c r="AV421" s="2" t="s">
        <v>3572</v>
      </c>
      <c r="AW421" s="2" t="s">
        <v>3573</v>
      </c>
      <c r="AZ421" s="2" t="s">
        <v>116</v>
      </c>
    </row>
    <row r="422" spans="1:52" s="3" customFormat="1" x14ac:dyDescent="0.35">
      <c r="A422" s="2" t="s">
        <v>3574</v>
      </c>
      <c r="B422" s="4">
        <v>247662</v>
      </c>
      <c r="C422" s="2" t="s">
        <v>3575</v>
      </c>
      <c r="D422" s="2">
        <f t="shared" si="6"/>
        <v>4</v>
      </c>
      <c r="F422" s="2" t="s">
        <v>3576</v>
      </c>
      <c r="G422" s="2" t="s">
        <v>53</v>
      </c>
      <c r="H422" s="4">
        <v>1</v>
      </c>
      <c r="I422" s="4">
        <v>1</v>
      </c>
      <c r="J422" s="4">
        <v>0</v>
      </c>
      <c r="L422" s="4">
        <v>0</v>
      </c>
      <c r="M422" s="2" t="s">
        <v>55</v>
      </c>
      <c r="N422" s="2" t="s">
        <v>56</v>
      </c>
      <c r="O422" s="2" t="s">
        <v>57</v>
      </c>
      <c r="P422" s="2" t="s">
        <v>3498</v>
      </c>
      <c r="Q422" s="2" t="s">
        <v>3499</v>
      </c>
      <c r="R422" s="2" t="s">
        <v>3577</v>
      </c>
      <c r="S422" s="2" t="s">
        <v>3578</v>
      </c>
      <c r="V422" s="2" t="s">
        <v>3579</v>
      </c>
      <c r="W422" s="2" t="s">
        <v>3580</v>
      </c>
      <c r="Y422" s="2" t="s">
        <v>64</v>
      </c>
      <c r="Z422" s="2" t="s">
        <v>65</v>
      </c>
      <c r="AA422" s="2" t="s">
        <v>66</v>
      </c>
      <c r="AC422" s="2" t="s">
        <v>67</v>
      </c>
      <c r="AD422" s="2" t="s">
        <v>68</v>
      </c>
      <c r="AE422" s="2" t="s">
        <v>69</v>
      </c>
      <c r="AF422" s="2" t="s">
        <v>70</v>
      </c>
      <c r="AG422" s="2" t="s">
        <v>3498</v>
      </c>
      <c r="AK422" s="2" t="s">
        <v>3581</v>
      </c>
      <c r="AM422" s="2" t="s">
        <v>72</v>
      </c>
      <c r="AN422" s="2" t="s">
        <v>344</v>
      </c>
      <c r="AP422" s="2" t="s">
        <v>3464</v>
      </c>
      <c r="AT422" s="2" t="s">
        <v>114</v>
      </c>
      <c r="AU422" s="2" t="s">
        <v>75</v>
      </c>
      <c r="AV422" s="2" t="s">
        <v>3582</v>
      </c>
      <c r="AW422" s="2" t="s">
        <v>3583</v>
      </c>
      <c r="AZ422" s="2" t="s">
        <v>116</v>
      </c>
    </row>
    <row r="423" spans="1:52" s="3" customFormat="1" x14ac:dyDescent="0.35">
      <c r="A423" s="2" t="s">
        <v>3584</v>
      </c>
      <c r="B423" s="4">
        <v>247661</v>
      </c>
      <c r="C423" s="2" t="s">
        <v>3585</v>
      </c>
      <c r="D423" s="2">
        <f t="shared" si="6"/>
        <v>4</v>
      </c>
      <c r="F423" s="2" t="s">
        <v>3576</v>
      </c>
      <c r="G423" s="2" t="s">
        <v>53</v>
      </c>
      <c r="H423" s="4">
        <v>1</v>
      </c>
      <c r="I423" s="4">
        <v>1</v>
      </c>
      <c r="J423" s="4">
        <v>0</v>
      </c>
      <c r="L423" s="4">
        <v>0</v>
      </c>
      <c r="M423" s="2" t="s">
        <v>55</v>
      </c>
      <c r="N423" s="2" t="s">
        <v>56</v>
      </c>
      <c r="O423" s="2" t="s">
        <v>57</v>
      </c>
      <c r="P423" s="2" t="s">
        <v>3498</v>
      </c>
      <c r="Q423" s="2" t="s">
        <v>3499</v>
      </c>
      <c r="R423" s="2" t="s">
        <v>3586</v>
      </c>
      <c r="S423" s="2" t="s">
        <v>1339</v>
      </c>
      <c r="V423" s="2" t="s">
        <v>3587</v>
      </c>
      <c r="W423" s="2" t="s">
        <v>1341</v>
      </c>
      <c r="Y423" s="2" t="s">
        <v>64</v>
      </c>
      <c r="Z423" s="2" t="s">
        <v>3302</v>
      </c>
      <c r="AA423" s="2" t="s">
        <v>66</v>
      </c>
      <c r="AC423" s="2" t="s">
        <v>67</v>
      </c>
      <c r="AD423" s="2" t="s">
        <v>68</v>
      </c>
      <c r="AE423" s="2" t="s">
        <v>69</v>
      </c>
      <c r="AF423" s="2" t="s">
        <v>70</v>
      </c>
      <c r="AG423" s="2" t="s">
        <v>3498</v>
      </c>
      <c r="AK423" s="2" t="s">
        <v>3588</v>
      </c>
      <c r="AM423" s="2" t="s">
        <v>72</v>
      </c>
      <c r="AN423" s="2" t="s">
        <v>344</v>
      </c>
      <c r="AP423" s="2" t="s">
        <v>3464</v>
      </c>
      <c r="AT423" s="2" t="s">
        <v>114</v>
      </c>
      <c r="AU423" s="2" t="s">
        <v>75</v>
      </c>
      <c r="AW423" s="2" t="s">
        <v>1343</v>
      </c>
      <c r="AZ423" s="2" t="s">
        <v>116</v>
      </c>
    </row>
    <row r="424" spans="1:52" s="3" customFormat="1" x14ac:dyDescent="0.35">
      <c r="A424" s="2" t="s">
        <v>3589</v>
      </c>
      <c r="B424" s="4">
        <v>247659</v>
      </c>
      <c r="C424" s="2" t="s">
        <v>3590</v>
      </c>
      <c r="D424" s="2">
        <f t="shared" si="6"/>
        <v>4</v>
      </c>
      <c r="F424" s="2" t="s">
        <v>3396</v>
      </c>
      <c r="G424" s="2" t="s">
        <v>53</v>
      </c>
      <c r="H424" s="4">
        <v>6</v>
      </c>
      <c r="I424" s="4">
        <v>1</v>
      </c>
      <c r="J424" s="5">
        <v>19201.259999999998</v>
      </c>
      <c r="K424" s="2" t="s">
        <v>1252</v>
      </c>
      <c r="L424" s="5">
        <v>18020.38</v>
      </c>
      <c r="N424" s="2" t="s">
        <v>1253</v>
      </c>
      <c r="O424" s="2" t="s">
        <v>1254</v>
      </c>
      <c r="P424" s="2" t="s">
        <v>58</v>
      </c>
      <c r="Q424" s="2" t="s">
        <v>59</v>
      </c>
      <c r="R424" s="2" t="s">
        <v>3591</v>
      </c>
      <c r="S424" s="2" t="s">
        <v>3592</v>
      </c>
      <c r="T424" s="2" t="s">
        <v>3593</v>
      </c>
      <c r="U424" s="2" t="s">
        <v>3594</v>
      </c>
      <c r="V424" s="2" t="s">
        <v>3595</v>
      </c>
      <c r="W424" s="2" t="s">
        <v>3596</v>
      </c>
      <c r="Y424" s="2" t="s">
        <v>3597</v>
      </c>
      <c r="Z424" s="2" t="s">
        <v>3598</v>
      </c>
      <c r="AA424" s="2" t="s">
        <v>3599</v>
      </c>
      <c r="AB424" s="2" t="s">
        <v>3600</v>
      </c>
      <c r="AC424" s="2" t="s">
        <v>2842</v>
      </c>
      <c r="AD424" s="2" t="s">
        <v>3601</v>
      </c>
      <c r="AE424" s="2" t="s">
        <v>3602</v>
      </c>
      <c r="AF424" s="2" t="s">
        <v>70</v>
      </c>
      <c r="AK424" s="2" t="s">
        <v>3603</v>
      </c>
      <c r="AL424" s="2" t="s">
        <v>3604</v>
      </c>
      <c r="AM424" s="2" t="s">
        <v>72</v>
      </c>
      <c r="AN424" s="2" t="s">
        <v>283</v>
      </c>
      <c r="AP424" s="2" t="s">
        <v>74</v>
      </c>
      <c r="AU424" s="2" t="s">
        <v>75</v>
      </c>
      <c r="AV424" s="2" t="s">
        <v>808</v>
      </c>
      <c r="AW424" s="2" t="s">
        <v>3605</v>
      </c>
      <c r="AZ424" s="2" t="s">
        <v>1256</v>
      </c>
    </row>
    <row r="425" spans="1:52" s="3" customFormat="1" x14ac:dyDescent="0.35">
      <c r="A425" s="2" t="s">
        <v>3606</v>
      </c>
      <c r="B425" s="4">
        <v>247654</v>
      </c>
      <c r="C425" s="2" t="s">
        <v>3607</v>
      </c>
      <c r="D425" s="2">
        <f t="shared" si="6"/>
        <v>4</v>
      </c>
      <c r="F425" s="2" t="s">
        <v>3576</v>
      </c>
      <c r="G425" s="2" t="s">
        <v>53</v>
      </c>
      <c r="H425" s="4">
        <v>1</v>
      </c>
      <c r="I425" s="4">
        <v>1</v>
      </c>
      <c r="J425" s="4">
        <v>0</v>
      </c>
      <c r="L425" s="4">
        <v>0</v>
      </c>
      <c r="M425" s="2" t="s">
        <v>55</v>
      </c>
      <c r="N425" s="2" t="s">
        <v>56</v>
      </c>
      <c r="O425" s="2" t="s">
        <v>57</v>
      </c>
      <c r="P425" s="2" t="s">
        <v>3498</v>
      </c>
      <c r="Q425" s="2" t="s">
        <v>3499</v>
      </c>
      <c r="R425" s="2" t="s">
        <v>3608</v>
      </c>
      <c r="S425" s="2" t="s">
        <v>3609</v>
      </c>
      <c r="V425" s="2" t="s">
        <v>3610</v>
      </c>
      <c r="W425" s="2" t="s">
        <v>1341</v>
      </c>
      <c r="Y425" s="2" t="s">
        <v>64</v>
      </c>
      <c r="Z425" s="2" t="s">
        <v>65</v>
      </c>
      <c r="AA425" s="2" t="s">
        <v>66</v>
      </c>
      <c r="AC425" s="2" t="s">
        <v>67</v>
      </c>
      <c r="AD425" s="2" t="s">
        <v>68</v>
      </c>
      <c r="AE425" s="2" t="s">
        <v>69</v>
      </c>
      <c r="AF425" s="2" t="s">
        <v>70</v>
      </c>
      <c r="AG425" s="2" t="s">
        <v>3498</v>
      </c>
      <c r="AK425" s="2" t="s">
        <v>3611</v>
      </c>
      <c r="AM425" s="2" t="s">
        <v>72</v>
      </c>
      <c r="AN425" s="2" t="s">
        <v>73</v>
      </c>
      <c r="AP425" s="2" t="s">
        <v>3464</v>
      </c>
      <c r="AT425" s="2" t="s">
        <v>114</v>
      </c>
      <c r="AU425" s="2" t="s">
        <v>75</v>
      </c>
      <c r="AW425" s="2" t="s">
        <v>3612</v>
      </c>
      <c r="AZ425" s="2" t="s">
        <v>116</v>
      </c>
    </row>
    <row r="426" spans="1:52" s="3" customFormat="1" x14ac:dyDescent="0.35">
      <c r="A426" s="2" t="s">
        <v>3613</v>
      </c>
      <c r="B426" s="4">
        <v>247650</v>
      </c>
      <c r="C426" s="2" t="s">
        <v>3614</v>
      </c>
      <c r="D426" s="2">
        <f t="shared" si="6"/>
        <v>4</v>
      </c>
      <c r="F426" s="2" t="s">
        <v>3576</v>
      </c>
      <c r="G426" s="2" t="s">
        <v>53</v>
      </c>
      <c r="H426" s="4">
        <v>1</v>
      </c>
      <c r="I426" s="4">
        <v>1</v>
      </c>
      <c r="J426" s="4">
        <v>0</v>
      </c>
      <c r="L426" s="4">
        <v>0</v>
      </c>
      <c r="M426" s="2" t="s">
        <v>55</v>
      </c>
      <c r="N426" s="2" t="s">
        <v>56</v>
      </c>
      <c r="O426" s="2" t="s">
        <v>57</v>
      </c>
      <c r="P426" s="2" t="s">
        <v>3498</v>
      </c>
      <c r="Q426" s="2" t="s">
        <v>3499</v>
      </c>
      <c r="R426" s="2" t="s">
        <v>3615</v>
      </c>
      <c r="S426" s="2" t="s">
        <v>3616</v>
      </c>
      <c r="V426" s="2" t="s">
        <v>3617</v>
      </c>
      <c r="W426" s="2" t="s">
        <v>3618</v>
      </c>
      <c r="Y426" s="2" t="s">
        <v>64</v>
      </c>
      <c r="Z426" s="2" t="s">
        <v>65</v>
      </c>
      <c r="AA426" s="2" t="s">
        <v>66</v>
      </c>
      <c r="AC426" s="2" t="s">
        <v>67</v>
      </c>
      <c r="AD426" s="2" t="s">
        <v>68</v>
      </c>
      <c r="AE426" s="2" t="s">
        <v>69</v>
      </c>
      <c r="AF426" s="2" t="s">
        <v>70</v>
      </c>
      <c r="AG426" s="2" t="s">
        <v>3498</v>
      </c>
      <c r="AK426" s="2" t="s">
        <v>3619</v>
      </c>
      <c r="AM426" s="2" t="s">
        <v>72</v>
      </c>
      <c r="AN426" s="2" t="s">
        <v>473</v>
      </c>
      <c r="AP426" s="2" t="s">
        <v>3464</v>
      </c>
      <c r="AT426" s="2" t="s">
        <v>114</v>
      </c>
      <c r="AU426" s="2" t="s">
        <v>75</v>
      </c>
      <c r="AV426" s="2" t="s">
        <v>3620</v>
      </c>
      <c r="AW426" s="2" t="s">
        <v>3621</v>
      </c>
      <c r="AZ426" s="2" t="s">
        <v>116</v>
      </c>
    </row>
    <row r="427" spans="1:52" s="3" customFormat="1" x14ac:dyDescent="0.35">
      <c r="A427" s="2" t="s">
        <v>3622</v>
      </c>
      <c r="B427" s="4">
        <v>247648</v>
      </c>
      <c r="C427" s="2" t="s">
        <v>3623</v>
      </c>
      <c r="D427" s="2">
        <f t="shared" si="6"/>
        <v>4</v>
      </c>
      <c r="F427" s="2" t="s">
        <v>3576</v>
      </c>
      <c r="G427" s="2" t="s">
        <v>53</v>
      </c>
      <c r="H427" s="4">
        <v>1</v>
      </c>
      <c r="I427" s="4">
        <v>1</v>
      </c>
      <c r="J427" s="4">
        <v>0</v>
      </c>
      <c r="L427" s="4">
        <v>0</v>
      </c>
      <c r="M427" s="2" t="s">
        <v>55</v>
      </c>
      <c r="N427" s="2" t="s">
        <v>56</v>
      </c>
      <c r="O427" s="2" t="s">
        <v>57</v>
      </c>
      <c r="P427" s="2" t="s">
        <v>3498</v>
      </c>
      <c r="Q427" s="2" t="s">
        <v>3499</v>
      </c>
      <c r="R427" s="2" t="s">
        <v>3624</v>
      </c>
      <c r="S427" s="2" t="s">
        <v>3625</v>
      </c>
      <c r="V427" s="2" t="s">
        <v>2928</v>
      </c>
      <c r="W427" s="2" t="s">
        <v>3626</v>
      </c>
      <c r="Y427" s="2" t="s">
        <v>64</v>
      </c>
      <c r="Z427" s="2" t="s">
        <v>65</v>
      </c>
      <c r="AA427" s="2" t="s">
        <v>66</v>
      </c>
      <c r="AC427" s="2" t="s">
        <v>67</v>
      </c>
      <c r="AD427" s="2" t="s">
        <v>68</v>
      </c>
      <c r="AE427" s="2" t="s">
        <v>69</v>
      </c>
      <c r="AF427" s="2" t="s">
        <v>70</v>
      </c>
      <c r="AG427" s="2" t="s">
        <v>3498</v>
      </c>
      <c r="AK427" s="2" t="s">
        <v>3627</v>
      </c>
      <c r="AM427" s="2" t="s">
        <v>72</v>
      </c>
      <c r="AN427" s="2" t="s">
        <v>283</v>
      </c>
      <c r="AP427" s="2" t="s">
        <v>3464</v>
      </c>
      <c r="AT427" s="2" t="s">
        <v>114</v>
      </c>
      <c r="AU427" s="2" t="s">
        <v>75</v>
      </c>
      <c r="AW427" s="2" t="s">
        <v>3628</v>
      </c>
      <c r="AZ427" s="2" t="s">
        <v>116</v>
      </c>
    </row>
    <row r="428" spans="1:52" s="3" customFormat="1" x14ac:dyDescent="0.35">
      <c r="A428" s="2" t="s">
        <v>3629</v>
      </c>
      <c r="B428" s="4">
        <v>247647</v>
      </c>
      <c r="C428" s="2" t="s">
        <v>3630</v>
      </c>
      <c r="D428" s="2">
        <f t="shared" si="6"/>
        <v>4</v>
      </c>
      <c r="F428" s="2" t="s">
        <v>3576</v>
      </c>
      <c r="G428" s="2" t="s">
        <v>53</v>
      </c>
      <c r="H428" s="4">
        <v>1</v>
      </c>
      <c r="I428" s="4">
        <v>1</v>
      </c>
      <c r="J428" s="4">
        <v>0</v>
      </c>
      <c r="L428" s="4">
        <v>0</v>
      </c>
      <c r="M428" s="2" t="s">
        <v>55</v>
      </c>
      <c r="N428" s="2" t="s">
        <v>56</v>
      </c>
      <c r="O428" s="2" t="s">
        <v>57</v>
      </c>
      <c r="P428" s="2" t="s">
        <v>3498</v>
      </c>
      <c r="Q428" s="2" t="s">
        <v>3499</v>
      </c>
      <c r="R428" s="2" t="s">
        <v>3631</v>
      </c>
      <c r="S428" s="2" t="s">
        <v>3632</v>
      </c>
      <c r="V428" s="2" t="s">
        <v>3633</v>
      </c>
      <c r="W428" s="2" t="s">
        <v>3634</v>
      </c>
      <c r="Y428" s="2" t="s">
        <v>64</v>
      </c>
      <c r="Z428" s="2" t="s">
        <v>3302</v>
      </c>
      <c r="AA428" s="2" t="s">
        <v>66</v>
      </c>
      <c r="AC428" s="2" t="s">
        <v>67</v>
      </c>
      <c r="AD428" s="2" t="s">
        <v>68</v>
      </c>
      <c r="AE428" s="2" t="s">
        <v>69</v>
      </c>
      <c r="AF428" s="2" t="s">
        <v>70</v>
      </c>
      <c r="AG428" s="2" t="s">
        <v>3498</v>
      </c>
      <c r="AK428" s="2" t="s">
        <v>3635</v>
      </c>
      <c r="AM428" s="2" t="s">
        <v>72</v>
      </c>
      <c r="AN428" s="2" t="s">
        <v>3636</v>
      </c>
      <c r="AP428" s="2" t="s">
        <v>3464</v>
      </c>
      <c r="AT428" s="2" t="s">
        <v>114</v>
      </c>
      <c r="AW428" s="2" t="s">
        <v>3637</v>
      </c>
      <c r="AZ428" s="2" t="s">
        <v>116</v>
      </c>
    </row>
    <row r="429" spans="1:52" s="3" customFormat="1" x14ac:dyDescent="0.35">
      <c r="A429" s="2" t="s">
        <v>3638</v>
      </c>
      <c r="B429" s="4">
        <v>247636</v>
      </c>
      <c r="C429" s="2" t="s">
        <v>3639</v>
      </c>
      <c r="D429" s="2">
        <f t="shared" si="6"/>
        <v>4</v>
      </c>
      <c r="F429" s="2" t="s">
        <v>3576</v>
      </c>
      <c r="G429" s="2" t="s">
        <v>53</v>
      </c>
      <c r="H429" s="4">
        <v>1</v>
      </c>
      <c r="I429" s="4">
        <v>12</v>
      </c>
      <c r="J429" s="5">
        <v>26877</v>
      </c>
      <c r="K429" s="2" t="s">
        <v>80</v>
      </c>
      <c r="L429" s="5">
        <v>26877</v>
      </c>
      <c r="M429" s="2" t="s">
        <v>3640</v>
      </c>
      <c r="N429" s="2" t="s">
        <v>82</v>
      </c>
      <c r="O429" s="2" t="s">
        <v>484</v>
      </c>
      <c r="P429" s="2" t="s">
        <v>3641</v>
      </c>
      <c r="Q429" s="2" t="s">
        <v>3642</v>
      </c>
      <c r="R429" s="2" t="s">
        <v>3643</v>
      </c>
      <c r="S429" s="2" t="s">
        <v>3644</v>
      </c>
      <c r="V429" s="2" t="s">
        <v>3645</v>
      </c>
      <c r="W429" s="2" t="s">
        <v>3646</v>
      </c>
      <c r="Y429" s="2" t="s">
        <v>3647</v>
      </c>
      <c r="Z429" s="2" t="s">
        <v>3648</v>
      </c>
      <c r="AA429" s="2" t="s">
        <v>3649</v>
      </c>
      <c r="AB429" s="2" t="s">
        <v>3650</v>
      </c>
      <c r="AC429" s="2" t="s">
        <v>3651</v>
      </c>
      <c r="AD429" s="2" t="s">
        <v>3652</v>
      </c>
      <c r="AE429" s="2" t="s">
        <v>69</v>
      </c>
      <c r="AF429" s="2" t="s">
        <v>97</v>
      </c>
      <c r="AK429" s="2" t="s">
        <v>3653</v>
      </c>
      <c r="AL429" s="2" t="s">
        <v>3654</v>
      </c>
      <c r="AM429" s="2" t="s">
        <v>72</v>
      </c>
      <c r="AN429" s="2" t="s">
        <v>73</v>
      </c>
      <c r="AP429" s="2" t="s">
        <v>3655</v>
      </c>
      <c r="AS429" s="2" t="s">
        <v>3656</v>
      </c>
      <c r="AT429" s="2" t="s">
        <v>3657</v>
      </c>
      <c r="AU429" s="2" t="s">
        <v>75</v>
      </c>
      <c r="AV429" s="2" t="s">
        <v>3658</v>
      </c>
      <c r="AW429" s="2" t="s">
        <v>3659</v>
      </c>
      <c r="AZ429" s="2" t="s">
        <v>77</v>
      </c>
    </row>
    <row r="430" spans="1:52" s="3" customFormat="1" x14ac:dyDescent="0.35">
      <c r="A430" s="2" t="s">
        <v>3660</v>
      </c>
      <c r="B430" s="4">
        <v>247635</v>
      </c>
      <c r="C430" s="2" t="s">
        <v>3661</v>
      </c>
      <c r="D430" s="2">
        <f t="shared" si="6"/>
        <v>4</v>
      </c>
      <c r="G430" s="2" t="s">
        <v>53</v>
      </c>
      <c r="H430" s="4">
        <v>2</v>
      </c>
      <c r="I430" s="4">
        <v>1</v>
      </c>
      <c r="J430" s="4">
        <v>0</v>
      </c>
      <c r="L430" s="4">
        <v>0</v>
      </c>
      <c r="M430" s="2" t="s">
        <v>55</v>
      </c>
      <c r="N430" s="2" t="s">
        <v>56</v>
      </c>
      <c r="O430" s="2" t="s">
        <v>57</v>
      </c>
      <c r="P430" s="2" t="s">
        <v>499</v>
      </c>
      <c r="Q430" s="2" t="s">
        <v>500</v>
      </c>
      <c r="R430" s="2" t="s">
        <v>3662</v>
      </c>
      <c r="T430" s="2" t="s">
        <v>3663</v>
      </c>
      <c r="U430" s="2" t="s">
        <v>3664</v>
      </c>
      <c r="V430" s="2" t="s">
        <v>3665</v>
      </c>
      <c r="W430" s="2" t="s">
        <v>3666</v>
      </c>
      <c r="X430" s="2" t="s">
        <v>3667</v>
      </c>
      <c r="Y430" s="2" t="s">
        <v>3668</v>
      </c>
      <c r="Z430" s="2" t="s">
        <v>3669</v>
      </c>
      <c r="AA430" s="2" t="s">
        <v>3670</v>
      </c>
      <c r="AB430" s="2" t="s">
        <v>3671</v>
      </c>
      <c r="AC430" s="2" t="s">
        <v>3672</v>
      </c>
      <c r="AD430" s="2" t="s">
        <v>3673</v>
      </c>
      <c r="AE430" s="2" t="s">
        <v>2980</v>
      </c>
      <c r="AF430" s="2" t="s">
        <v>70</v>
      </c>
      <c r="AG430" s="2" t="s">
        <v>3674</v>
      </c>
      <c r="AK430" s="2" t="s">
        <v>3675</v>
      </c>
      <c r="AM430" s="2" t="s">
        <v>72</v>
      </c>
      <c r="AN430" s="2" t="s">
        <v>1046</v>
      </c>
      <c r="AP430" s="2" t="s">
        <v>74</v>
      </c>
      <c r="AU430" s="2" t="s">
        <v>75</v>
      </c>
      <c r="AV430" s="2" t="s">
        <v>3676</v>
      </c>
      <c r="AW430" s="2" t="s">
        <v>3677</v>
      </c>
      <c r="AZ430" s="2" t="s">
        <v>116</v>
      </c>
    </row>
    <row r="431" spans="1:52" s="3" customFormat="1" x14ac:dyDescent="0.35">
      <c r="A431" s="2" t="s">
        <v>3678</v>
      </c>
      <c r="B431" s="4">
        <v>247522</v>
      </c>
      <c r="C431" s="2" t="s">
        <v>3679</v>
      </c>
      <c r="D431" s="2">
        <f t="shared" si="6"/>
        <v>4</v>
      </c>
      <c r="F431" s="2" t="s">
        <v>3680</v>
      </c>
      <c r="G431" s="2" t="s">
        <v>53</v>
      </c>
      <c r="H431" s="4">
        <v>1</v>
      </c>
      <c r="I431" s="4">
        <v>3</v>
      </c>
      <c r="J431" s="5">
        <v>2849.84</v>
      </c>
      <c r="K431" s="2" t="s">
        <v>80</v>
      </c>
      <c r="L431" s="5">
        <v>2674.57</v>
      </c>
      <c r="M431" s="2" t="s">
        <v>3681</v>
      </c>
      <c r="N431" s="2" t="s">
        <v>82</v>
      </c>
      <c r="O431" s="2" t="s">
        <v>484</v>
      </c>
      <c r="P431" s="2" t="s">
        <v>58</v>
      </c>
      <c r="Q431" s="2" t="s">
        <v>59</v>
      </c>
      <c r="R431" s="2" t="s">
        <v>3682</v>
      </c>
      <c r="S431" s="2" t="s">
        <v>3683</v>
      </c>
      <c r="T431" s="2" t="s">
        <v>3684</v>
      </c>
      <c r="U431" s="2" t="s">
        <v>3685</v>
      </c>
      <c r="V431" s="2" t="s">
        <v>3686</v>
      </c>
      <c r="W431" s="2" t="s">
        <v>3687</v>
      </c>
      <c r="Y431" s="2" t="s">
        <v>3688</v>
      </c>
      <c r="Z431" s="2" t="s">
        <v>3689</v>
      </c>
      <c r="AA431" s="2" t="s">
        <v>3690</v>
      </c>
      <c r="AB431" s="2" t="s">
        <v>3691</v>
      </c>
      <c r="AC431" s="2" t="s">
        <v>3692</v>
      </c>
      <c r="AD431" s="2" t="s">
        <v>3693</v>
      </c>
      <c r="AE431" s="2" t="s">
        <v>69</v>
      </c>
      <c r="AF431" s="2" t="s">
        <v>70</v>
      </c>
      <c r="AK431" s="2" t="s">
        <v>3694</v>
      </c>
      <c r="AL431" s="2" t="s">
        <v>3443</v>
      </c>
      <c r="AM431" s="2" t="s">
        <v>72</v>
      </c>
      <c r="AN431" s="2" t="s">
        <v>473</v>
      </c>
      <c r="AP431" s="2" t="s">
        <v>74</v>
      </c>
      <c r="AU431" s="2" t="s">
        <v>75</v>
      </c>
      <c r="AV431" s="2" t="s">
        <v>3680</v>
      </c>
      <c r="AW431" s="2" t="s">
        <v>3695</v>
      </c>
      <c r="AZ431" s="2" t="s">
        <v>77</v>
      </c>
    </row>
    <row r="432" spans="1:52" s="3" customFormat="1" x14ac:dyDescent="0.35">
      <c r="A432" s="2" t="s">
        <v>3696</v>
      </c>
      <c r="B432" s="4">
        <v>247521</v>
      </c>
      <c r="C432" s="2" t="s">
        <v>3697</v>
      </c>
      <c r="D432" s="2">
        <f t="shared" si="6"/>
        <v>4</v>
      </c>
      <c r="F432" s="2" t="s">
        <v>3680</v>
      </c>
      <c r="G432" s="2" t="s">
        <v>53</v>
      </c>
      <c r="H432" s="4">
        <v>1</v>
      </c>
      <c r="I432" s="4">
        <v>4</v>
      </c>
      <c r="J432" s="5">
        <v>2849.84</v>
      </c>
      <c r="K432" s="2" t="s">
        <v>80</v>
      </c>
      <c r="L432" s="5">
        <v>2674.57</v>
      </c>
      <c r="M432" s="2" t="s">
        <v>3698</v>
      </c>
      <c r="N432" s="2" t="s">
        <v>82</v>
      </c>
      <c r="O432" s="2" t="s">
        <v>83</v>
      </c>
      <c r="P432" s="2" t="s">
        <v>58</v>
      </c>
      <c r="Q432" s="2" t="s">
        <v>59</v>
      </c>
      <c r="R432" s="2" t="s">
        <v>3699</v>
      </c>
      <c r="S432" s="2" t="s">
        <v>3700</v>
      </c>
      <c r="T432" s="2" t="s">
        <v>3684</v>
      </c>
      <c r="U432" s="2" t="s">
        <v>3685</v>
      </c>
      <c r="V432" s="2" t="s">
        <v>3701</v>
      </c>
      <c r="W432" s="2" t="s">
        <v>3702</v>
      </c>
      <c r="Y432" s="2" t="s">
        <v>3688</v>
      </c>
      <c r="Z432" s="2" t="s">
        <v>3689</v>
      </c>
      <c r="AA432" s="2" t="s">
        <v>3690</v>
      </c>
      <c r="AB432" s="2" t="s">
        <v>3691</v>
      </c>
      <c r="AC432" s="2" t="s">
        <v>3692</v>
      </c>
      <c r="AD432" s="2" t="s">
        <v>3693</v>
      </c>
      <c r="AE432" s="2" t="s">
        <v>69</v>
      </c>
      <c r="AF432" s="2" t="s">
        <v>70</v>
      </c>
      <c r="AK432" s="2" t="s">
        <v>3703</v>
      </c>
      <c r="AL432" s="2" t="s">
        <v>3443</v>
      </c>
      <c r="AM432" s="2" t="s">
        <v>72</v>
      </c>
      <c r="AN432" s="2" t="s">
        <v>473</v>
      </c>
      <c r="AP432" s="2" t="s">
        <v>74</v>
      </c>
      <c r="AU432" s="2" t="s">
        <v>75</v>
      </c>
      <c r="AV432" s="2" t="s">
        <v>3680</v>
      </c>
      <c r="AW432" s="2" t="s">
        <v>3695</v>
      </c>
      <c r="AZ432" s="2" t="s">
        <v>77</v>
      </c>
    </row>
    <row r="433" spans="1:52" s="3" customFormat="1" x14ac:dyDescent="0.35">
      <c r="A433" s="2" t="s">
        <v>3704</v>
      </c>
      <c r="B433" s="4">
        <v>247501</v>
      </c>
      <c r="C433" s="2" t="s">
        <v>3705</v>
      </c>
      <c r="D433" s="2">
        <f t="shared" si="6"/>
        <v>4</v>
      </c>
      <c r="F433" s="2" t="s">
        <v>3680</v>
      </c>
      <c r="G433" s="2" t="s">
        <v>53</v>
      </c>
      <c r="H433" s="4">
        <v>1</v>
      </c>
      <c r="I433" s="4">
        <v>1</v>
      </c>
      <c r="J433" s="4">
        <v>0</v>
      </c>
      <c r="L433" s="4">
        <v>0</v>
      </c>
      <c r="M433" s="2" t="s">
        <v>55</v>
      </c>
      <c r="N433" s="2" t="s">
        <v>56</v>
      </c>
      <c r="O433" s="2" t="s">
        <v>57</v>
      </c>
      <c r="P433" s="2" t="s">
        <v>3498</v>
      </c>
      <c r="Q433" s="2" t="s">
        <v>3499</v>
      </c>
      <c r="R433" s="2" t="s">
        <v>3706</v>
      </c>
      <c r="S433" s="2" t="s">
        <v>3707</v>
      </c>
      <c r="V433" s="2" t="s">
        <v>3708</v>
      </c>
      <c r="W433" s="2" t="s">
        <v>3709</v>
      </c>
      <c r="Y433" s="2" t="s">
        <v>3710</v>
      </c>
      <c r="Z433" s="2" t="s">
        <v>3711</v>
      </c>
      <c r="AA433" s="2" t="s">
        <v>3712</v>
      </c>
      <c r="AC433" s="2" t="s">
        <v>3713</v>
      </c>
      <c r="AD433" s="2" t="s">
        <v>3714</v>
      </c>
      <c r="AE433" s="2" t="s">
        <v>3425</v>
      </c>
      <c r="AF433" s="2" t="s">
        <v>70</v>
      </c>
      <c r="AG433" s="2" t="s">
        <v>3715</v>
      </c>
      <c r="AK433" s="2" t="s">
        <v>3716</v>
      </c>
      <c r="AM433" s="2" t="s">
        <v>72</v>
      </c>
      <c r="AN433" s="2" t="s">
        <v>232</v>
      </c>
      <c r="AP433" s="2" t="s">
        <v>3464</v>
      </c>
      <c r="AT433" s="2" t="s">
        <v>114</v>
      </c>
      <c r="AU433" s="2" t="s">
        <v>75</v>
      </c>
      <c r="AW433" s="2" t="s">
        <v>3717</v>
      </c>
      <c r="AZ433" s="2" t="s">
        <v>116</v>
      </c>
    </row>
    <row r="434" spans="1:52" s="3" customFormat="1" x14ac:dyDescent="0.35">
      <c r="A434" s="2" t="s">
        <v>3718</v>
      </c>
      <c r="B434" s="4">
        <v>247500</v>
      </c>
      <c r="C434" s="2" t="s">
        <v>3719</v>
      </c>
      <c r="D434" s="2">
        <f t="shared" si="6"/>
        <v>4</v>
      </c>
      <c r="F434" s="2" t="s">
        <v>3680</v>
      </c>
      <c r="G434" s="2" t="s">
        <v>53</v>
      </c>
      <c r="H434" s="4">
        <v>1</v>
      </c>
      <c r="I434" s="4">
        <v>1</v>
      </c>
      <c r="J434" s="4">
        <v>0</v>
      </c>
      <c r="L434" s="4">
        <v>0</v>
      </c>
      <c r="M434" s="2" t="s">
        <v>55</v>
      </c>
      <c r="N434" s="2" t="s">
        <v>56</v>
      </c>
      <c r="O434" s="2" t="s">
        <v>57</v>
      </c>
      <c r="P434" s="2" t="s">
        <v>3498</v>
      </c>
      <c r="Q434" s="2" t="s">
        <v>3499</v>
      </c>
      <c r="R434" s="2" t="s">
        <v>3720</v>
      </c>
      <c r="S434" s="2" t="s">
        <v>3721</v>
      </c>
      <c r="V434" s="2" t="s">
        <v>3722</v>
      </c>
      <c r="W434" s="2" t="s">
        <v>3723</v>
      </c>
      <c r="Y434" s="2" t="s">
        <v>64</v>
      </c>
      <c r="Z434" s="2" t="s">
        <v>3302</v>
      </c>
      <c r="AA434" s="2" t="s">
        <v>66</v>
      </c>
      <c r="AC434" s="2" t="s">
        <v>67</v>
      </c>
      <c r="AD434" s="2" t="s">
        <v>68</v>
      </c>
      <c r="AE434" s="2" t="s">
        <v>69</v>
      </c>
      <c r="AF434" s="2" t="s">
        <v>70</v>
      </c>
      <c r="AG434" s="2" t="s">
        <v>3498</v>
      </c>
      <c r="AK434" s="2" t="s">
        <v>3724</v>
      </c>
      <c r="AM434" s="2" t="s">
        <v>72</v>
      </c>
      <c r="AN434" s="2" t="s">
        <v>73</v>
      </c>
      <c r="AP434" s="2" t="s">
        <v>3464</v>
      </c>
      <c r="AT434" s="2" t="s">
        <v>114</v>
      </c>
      <c r="AU434" s="2" t="s">
        <v>75</v>
      </c>
      <c r="AW434" s="2" t="s">
        <v>3725</v>
      </c>
      <c r="AZ434" s="2" t="s">
        <v>116</v>
      </c>
    </row>
    <row r="435" spans="1:52" s="3" customFormat="1" x14ac:dyDescent="0.35">
      <c r="A435" s="2" t="s">
        <v>3726</v>
      </c>
      <c r="B435" s="4">
        <v>247494</v>
      </c>
      <c r="C435" s="2" t="s">
        <v>3727</v>
      </c>
      <c r="D435" s="2">
        <f t="shared" si="6"/>
        <v>4</v>
      </c>
      <c r="F435" s="2" t="s">
        <v>3680</v>
      </c>
      <c r="G435" s="2" t="s">
        <v>53</v>
      </c>
      <c r="H435" s="4">
        <v>1</v>
      </c>
      <c r="I435" s="4">
        <v>1</v>
      </c>
      <c r="J435" s="4">
        <v>0</v>
      </c>
      <c r="L435" s="4">
        <v>0</v>
      </c>
      <c r="M435" s="2" t="s">
        <v>55</v>
      </c>
      <c r="N435" s="2" t="s">
        <v>56</v>
      </c>
      <c r="O435" s="2" t="s">
        <v>57</v>
      </c>
      <c r="P435" s="2" t="s">
        <v>3498</v>
      </c>
      <c r="Q435" s="2" t="s">
        <v>3499</v>
      </c>
      <c r="R435" s="2" t="s">
        <v>3728</v>
      </c>
      <c r="S435" s="2" t="s">
        <v>3729</v>
      </c>
      <c r="V435" s="2" t="s">
        <v>3730</v>
      </c>
      <c r="W435" s="2" t="s">
        <v>3731</v>
      </c>
      <c r="Y435" s="2" t="s">
        <v>3732</v>
      </c>
      <c r="Z435" s="2" t="s">
        <v>3733</v>
      </c>
      <c r="AA435" s="2" t="s">
        <v>3734</v>
      </c>
      <c r="AC435" s="2" t="s">
        <v>3735</v>
      </c>
      <c r="AD435" s="2" t="s">
        <v>3736</v>
      </c>
      <c r="AE435" s="2" t="s">
        <v>3737</v>
      </c>
      <c r="AF435" s="2" t="s">
        <v>70</v>
      </c>
      <c r="AG435" s="2" t="s">
        <v>3738</v>
      </c>
      <c r="AK435" s="2" t="s">
        <v>3739</v>
      </c>
      <c r="AM435" s="2" t="s">
        <v>72</v>
      </c>
      <c r="AN435" s="2" t="s">
        <v>232</v>
      </c>
      <c r="AP435" s="2" t="s">
        <v>3464</v>
      </c>
      <c r="AT435" s="2" t="s">
        <v>114</v>
      </c>
      <c r="AU435" s="2" t="s">
        <v>75</v>
      </c>
      <c r="AW435" s="2" t="s">
        <v>3740</v>
      </c>
      <c r="AZ435" s="2" t="s">
        <v>116</v>
      </c>
    </row>
    <row r="436" spans="1:52" s="3" customFormat="1" x14ac:dyDescent="0.35">
      <c r="A436" s="2" t="s">
        <v>3741</v>
      </c>
      <c r="B436" s="4">
        <v>247493</v>
      </c>
      <c r="C436" s="2" t="s">
        <v>3742</v>
      </c>
      <c r="D436" s="2">
        <f t="shared" si="6"/>
        <v>4</v>
      </c>
      <c r="F436" s="2" t="s">
        <v>3680</v>
      </c>
      <c r="G436" s="2" t="s">
        <v>53</v>
      </c>
      <c r="H436" s="4">
        <v>1</v>
      </c>
      <c r="I436" s="4">
        <v>1</v>
      </c>
      <c r="J436" s="5">
        <v>2100</v>
      </c>
      <c r="K436" s="2" t="s">
        <v>1252</v>
      </c>
      <c r="L436" s="5">
        <v>1970.85</v>
      </c>
      <c r="M436" s="2" t="s">
        <v>55</v>
      </c>
      <c r="N436" s="2" t="s">
        <v>1253</v>
      </c>
      <c r="O436" s="2" t="s">
        <v>1254</v>
      </c>
      <c r="P436" s="2" t="s">
        <v>3743</v>
      </c>
      <c r="Q436" s="2" t="s">
        <v>3744</v>
      </c>
      <c r="R436" s="2" t="s">
        <v>3745</v>
      </c>
      <c r="T436" s="2" t="s">
        <v>3746</v>
      </c>
      <c r="U436" s="2" t="s">
        <v>3747</v>
      </c>
      <c r="V436" s="2" t="s">
        <v>3748</v>
      </c>
      <c r="W436" s="2" t="s">
        <v>3749</v>
      </c>
      <c r="X436" s="2" t="s">
        <v>3750</v>
      </c>
      <c r="Y436" s="2" t="s">
        <v>3751</v>
      </c>
      <c r="Z436" s="2" t="s">
        <v>3752</v>
      </c>
      <c r="AA436" s="2" t="s">
        <v>3753</v>
      </c>
      <c r="AB436" s="2" t="s">
        <v>3754</v>
      </c>
      <c r="AC436" s="2" t="s">
        <v>3755</v>
      </c>
      <c r="AD436" s="2" t="s">
        <v>3756</v>
      </c>
      <c r="AE436" s="2" t="s">
        <v>2980</v>
      </c>
      <c r="AF436" s="2" t="s">
        <v>70</v>
      </c>
      <c r="AG436" s="2" t="s">
        <v>3743</v>
      </c>
      <c r="AK436" s="2" t="s">
        <v>3757</v>
      </c>
      <c r="AM436" s="2" t="s">
        <v>72</v>
      </c>
      <c r="AN436" s="2" t="s">
        <v>403</v>
      </c>
      <c r="AP436" s="2" t="s">
        <v>3758</v>
      </c>
      <c r="AT436" s="2" t="s">
        <v>114</v>
      </c>
      <c r="AU436" s="2" t="s">
        <v>75</v>
      </c>
      <c r="AV436" s="2" t="s">
        <v>1828</v>
      </c>
      <c r="AW436" s="2" t="s">
        <v>3759</v>
      </c>
      <c r="AX436" s="2" t="s">
        <v>477</v>
      </c>
      <c r="AZ436" s="2" t="s">
        <v>478</v>
      </c>
    </row>
    <row r="437" spans="1:52" s="3" customFormat="1" x14ac:dyDescent="0.35">
      <c r="A437" s="2" t="s">
        <v>3760</v>
      </c>
      <c r="B437" s="4">
        <v>247490</v>
      </c>
      <c r="C437" s="2" t="s">
        <v>3761</v>
      </c>
      <c r="D437" s="2">
        <f t="shared" si="6"/>
        <v>4</v>
      </c>
      <c r="F437" s="2" t="s">
        <v>3680</v>
      </c>
      <c r="G437" s="2" t="s">
        <v>53</v>
      </c>
      <c r="H437" s="4">
        <v>18</v>
      </c>
      <c r="I437" s="4">
        <v>1</v>
      </c>
      <c r="J437" s="5">
        <v>37800</v>
      </c>
      <c r="K437" s="2" t="s">
        <v>1252</v>
      </c>
      <c r="L437" s="5">
        <v>35475.300000000003</v>
      </c>
      <c r="M437" s="2" t="s">
        <v>55</v>
      </c>
      <c r="N437" s="2" t="s">
        <v>1253</v>
      </c>
      <c r="O437" s="2" t="s">
        <v>1254</v>
      </c>
      <c r="P437" s="2" t="s">
        <v>3743</v>
      </c>
      <c r="Q437" s="2" t="s">
        <v>3744</v>
      </c>
      <c r="R437" s="2" t="s">
        <v>3762</v>
      </c>
      <c r="T437" s="2" t="s">
        <v>3763</v>
      </c>
      <c r="U437" s="2" t="s">
        <v>3764</v>
      </c>
      <c r="V437" s="2" t="s">
        <v>3765</v>
      </c>
      <c r="W437" s="2" t="s">
        <v>3766</v>
      </c>
      <c r="X437" s="2" t="s">
        <v>3767</v>
      </c>
      <c r="Y437" s="2" t="s">
        <v>3768</v>
      </c>
      <c r="Z437" s="2" t="s">
        <v>3769</v>
      </c>
      <c r="AA437" s="2" t="s">
        <v>3770</v>
      </c>
      <c r="AC437" s="2" t="s">
        <v>3771</v>
      </c>
      <c r="AD437" s="2" t="s">
        <v>3756</v>
      </c>
      <c r="AE437" s="2" t="s">
        <v>2980</v>
      </c>
      <c r="AF437" s="2" t="s">
        <v>70</v>
      </c>
      <c r="AG437" s="2" t="s">
        <v>3772</v>
      </c>
      <c r="AK437" s="2" t="s">
        <v>3773</v>
      </c>
      <c r="AM437" s="2" t="s">
        <v>72</v>
      </c>
      <c r="AN437" s="2" t="s">
        <v>403</v>
      </c>
      <c r="AP437" s="2" t="s">
        <v>3758</v>
      </c>
      <c r="AT437" s="2" t="s">
        <v>114</v>
      </c>
      <c r="AU437" s="2" t="s">
        <v>75</v>
      </c>
      <c r="AV437" s="2" t="s">
        <v>3774</v>
      </c>
      <c r="AW437" s="2" t="s">
        <v>3775</v>
      </c>
      <c r="AX437" s="2" t="s">
        <v>477</v>
      </c>
      <c r="AZ437" s="2" t="s">
        <v>478</v>
      </c>
    </row>
    <row r="438" spans="1:52" s="3" customFormat="1" x14ac:dyDescent="0.35">
      <c r="A438" s="2" t="s">
        <v>3776</v>
      </c>
      <c r="B438" s="4">
        <v>247468</v>
      </c>
      <c r="C438" s="2" t="s">
        <v>3777</v>
      </c>
      <c r="D438" s="2">
        <f t="shared" si="6"/>
        <v>4</v>
      </c>
      <c r="F438" s="2" t="s">
        <v>2826</v>
      </c>
      <c r="G438" s="2" t="s">
        <v>53</v>
      </c>
      <c r="H438" s="4">
        <v>1</v>
      </c>
      <c r="I438" s="4">
        <v>1</v>
      </c>
      <c r="J438" s="5">
        <v>27200</v>
      </c>
      <c r="K438" s="2" t="s">
        <v>1252</v>
      </c>
      <c r="L438" s="5">
        <v>27200</v>
      </c>
      <c r="M438" s="2" t="s">
        <v>55</v>
      </c>
      <c r="N438" s="2" t="s">
        <v>1253</v>
      </c>
      <c r="O438" s="2" t="s">
        <v>1254</v>
      </c>
      <c r="P438" s="2" t="s">
        <v>3778</v>
      </c>
      <c r="Q438" s="2" t="s">
        <v>3779</v>
      </c>
      <c r="R438" s="2" t="s">
        <v>3780</v>
      </c>
      <c r="S438" s="2" t="s">
        <v>3781</v>
      </c>
      <c r="V438" s="2" t="s">
        <v>3782</v>
      </c>
      <c r="W438" s="2" t="s">
        <v>3783</v>
      </c>
      <c r="Y438" s="2" t="s">
        <v>64</v>
      </c>
      <c r="Z438" s="2" t="s">
        <v>65</v>
      </c>
      <c r="AA438" s="2" t="s">
        <v>66</v>
      </c>
      <c r="AC438" s="2" t="s">
        <v>67</v>
      </c>
      <c r="AD438" s="2" t="s">
        <v>68</v>
      </c>
      <c r="AE438" s="2" t="s">
        <v>69</v>
      </c>
      <c r="AF438" s="2" t="s">
        <v>97</v>
      </c>
      <c r="AG438" s="2" t="s">
        <v>3784</v>
      </c>
      <c r="AK438" s="2" t="s">
        <v>3785</v>
      </c>
      <c r="AM438" s="2" t="s">
        <v>72</v>
      </c>
      <c r="AN438" s="2" t="s">
        <v>1046</v>
      </c>
      <c r="AP438" s="2" t="s">
        <v>3786</v>
      </c>
      <c r="AS438" s="2" t="s">
        <v>3787</v>
      </c>
      <c r="AT438" s="2" t="s">
        <v>102</v>
      </c>
      <c r="AU438" s="2" t="s">
        <v>75</v>
      </c>
      <c r="AV438" s="2" t="s">
        <v>3788</v>
      </c>
      <c r="AW438" s="2" t="s">
        <v>3789</v>
      </c>
      <c r="AX438" s="2" t="s">
        <v>477</v>
      </c>
      <c r="AZ438" s="2" t="s">
        <v>478</v>
      </c>
    </row>
    <row r="439" spans="1:52" s="3" customFormat="1" x14ac:dyDescent="0.35">
      <c r="A439" s="2" t="s">
        <v>3790</v>
      </c>
      <c r="B439" s="4">
        <v>247453</v>
      </c>
      <c r="C439" s="2" t="s">
        <v>3791</v>
      </c>
      <c r="D439" s="2">
        <f t="shared" si="6"/>
        <v>4</v>
      </c>
      <c r="F439" s="2" t="s">
        <v>3680</v>
      </c>
      <c r="G439" s="2" t="s">
        <v>53</v>
      </c>
      <c r="H439" s="4">
        <v>5</v>
      </c>
      <c r="I439" s="4">
        <v>1</v>
      </c>
      <c r="J439" s="5">
        <v>9900</v>
      </c>
      <c r="L439" s="5">
        <v>9291.15</v>
      </c>
      <c r="M439" s="2" t="s">
        <v>55</v>
      </c>
      <c r="N439" s="2" t="s">
        <v>458</v>
      </c>
      <c r="O439" s="2" t="s">
        <v>459</v>
      </c>
      <c r="P439" s="2" t="s">
        <v>3743</v>
      </c>
      <c r="Q439" s="2" t="s">
        <v>3744</v>
      </c>
      <c r="R439" s="2" t="s">
        <v>3792</v>
      </c>
      <c r="T439" s="2" t="s">
        <v>3793</v>
      </c>
      <c r="U439" s="2" t="s">
        <v>3794</v>
      </c>
      <c r="V439" s="2" t="s">
        <v>3795</v>
      </c>
      <c r="W439" s="2" t="s">
        <v>3796</v>
      </c>
      <c r="X439" s="2" t="s">
        <v>3797</v>
      </c>
      <c r="Y439" s="2" t="s">
        <v>3798</v>
      </c>
      <c r="Z439" s="2" t="s">
        <v>3799</v>
      </c>
      <c r="AA439" s="2" t="s">
        <v>3800</v>
      </c>
      <c r="AB439" s="2" t="s">
        <v>3801</v>
      </c>
      <c r="AC439" s="2" t="s">
        <v>3802</v>
      </c>
      <c r="AD439" s="2" t="s">
        <v>3803</v>
      </c>
      <c r="AE439" s="2" t="s">
        <v>96</v>
      </c>
      <c r="AF439" s="2" t="s">
        <v>70</v>
      </c>
      <c r="AG439" s="2" t="s">
        <v>3804</v>
      </c>
      <c r="AK439" s="2" t="s">
        <v>3805</v>
      </c>
      <c r="AM439" s="2" t="s">
        <v>72</v>
      </c>
      <c r="AN439" s="2" t="s">
        <v>73</v>
      </c>
      <c r="AP439" s="2" t="s">
        <v>3758</v>
      </c>
      <c r="AT439" s="2" t="s">
        <v>114</v>
      </c>
      <c r="AU439" s="2" t="s">
        <v>75</v>
      </c>
      <c r="AV439" s="2" t="s">
        <v>3367</v>
      </c>
      <c r="AW439" s="2" t="s">
        <v>3806</v>
      </c>
      <c r="AX439" s="2" t="s">
        <v>77</v>
      </c>
      <c r="AZ439" s="2" t="s">
        <v>77</v>
      </c>
    </row>
    <row r="440" spans="1:52" s="3" customFormat="1" x14ac:dyDescent="0.35">
      <c r="A440" s="2" t="s">
        <v>3807</v>
      </c>
      <c r="B440" s="4">
        <v>247433</v>
      </c>
      <c r="C440" s="2" t="s">
        <v>3808</v>
      </c>
      <c r="D440" s="2">
        <f t="shared" si="6"/>
        <v>4</v>
      </c>
      <c r="F440" s="2" t="s">
        <v>3788</v>
      </c>
      <c r="G440" s="2" t="s">
        <v>53</v>
      </c>
      <c r="H440" s="4">
        <v>1</v>
      </c>
      <c r="I440" s="4">
        <v>1</v>
      </c>
      <c r="J440" s="4">
        <v>0</v>
      </c>
      <c r="L440" s="4">
        <v>0</v>
      </c>
      <c r="M440" s="2" t="s">
        <v>55</v>
      </c>
      <c r="N440" s="2" t="s">
        <v>56</v>
      </c>
      <c r="O440" s="2" t="s">
        <v>57</v>
      </c>
      <c r="P440" s="2" t="s">
        <v>460</v>
      </c>
      <c r="Q440" s="2" t="s">
        <v>461</v>
      </c>
      <c r="R440" s="2" t="s">
        <v>3809</v>
      </c>
      <c r="S440" s="2" t="s">
        <v>3810</v>
      </c>
      <c r="V440" s="2" t="s">
        <v>3811</v>
      </c>
      <c r="W440" s="2" t="s">
        <v>3812</v>
      </c>
      <c r="Y440" s="2" t="s">
        <v>64</v>
      </c>
      <c r="Z440" s="2" t="s">
        <v>3302</v>
      </c>
      <c r="AA440" s="2" t="s">
        <v>66</v>
      </c>
      <c r="AC440" s="2" t="s">
        <v>67</v>
      </c>
      <c r="AD440" s="2" t="s">
        <v>68</v>
      </c>
      <c r="AE440" s="2" t="s">
        <v>69</v>
      </c>
      <c r="AF440" s="2" t="s">
        <v>70</v>
      </c>
      <c r="AG440" s="2" t="s">
        <v>460</v>
      </c>
      <c r="AK440" s="2" t="s">
        <v>3813</v>
      </c>
      <c r="AM440" s="2" t="s">
        <v>72</v>
      </c>
      <c r="AN440" s="2" t="s">
        <v>595</v>
      </c>
      <c r="AP440" s="2" t="s">
        <v>474</v>
      </c>
      <c r="AU440" s="2" t="s">
        <v>75</v>
      </c>
      <c r="AW440" s="2" t="s">
        <v>3814</v>
      </c>
      <c r="AZ440" s="2" t="s">
        <v>116</v>
      </c>
    </row>
    <row r="441" spans="1:52" s="3" customFormat="1" x14ac:dyDescent="0.35">
      <c r="A441" s="2" t="s">
        <v>3815</v>
      </c>
      <c r="B441" s="4">
        <v>247415</v>
      </c>
      <c r="C441" s="2" t="s">
        <v>3816</v>
      </c>
      <c r="D441" s="2">
        <f t="shared" si="6"/>
        <v>4</v>
      </c>
      <c r="F441" s="2" t="s">
        <v>3788</v>
      </c>
      <c r="G441" s="2" t="s">
        <v>53</v>
      </c>
      <c r="H441" s="4">
        <v>1</v>
      </c>
      <c r="I441" s="4">
        <v>1</v>
      </c>
      <c r="J441" s="4">
        <v>0</v>
      </c>
      <c r="L441" s="4">
        <v>0</v>
      </c>
      <c r="M441" s="2" t="s">
        <v>55</v>
      </c>
      <c r="N441" s="2" t="s">
        <v>56</v>
      </c>
      <c r="O441" s="2" t="s">
        <v>57</v>
      </c>
      <c r="P441" s="2" t="s">
        <v>460</v>
      </c>
      <c r="Q441" s="2" t="s">
        <v>461</v>
      </c>
      <c r="R441" s="2" t="s">
        <v>3817</v>
      </c>
      <c r="S441" s="2" t="s">
        <v>3818</v>
      </c>
      <c r="V441" s="2" t="s">
        <v>3819</v>
      </c>
      <c r="W441" s="2" t="s">
        <v>3820</v>
      </c>
      <c r="Y441" s="2" t="s">
        <v>64</v>
      </c>
      <c r="Z441" s="2" t="s">
        <v>3302</v>
      </c>
      <c r="AA441" s="2" t="s">
        <v>66</v>
      </c>
      <c r="AC441" s="2" t="s">
        <v>67</v>
      </c>
      <c r="AD441" s="2" t="s">
        <v>68</v>
      </c>
      <c r="AE441" s="2" t="s">
        <v>69</v>
      </c>
      <c r="AF441" s="2" t="s">
        <v>70</v>
      </c>
      <c r="AG441" s="2" t="s">
        <v>460</v>
      </c>
      <c r="AK441" s="2" t="s">
        <v>3821</v>
      </c>
      <c r="AM441" s="2" t="s">
        <v>72</v>
      </c>
      <c r="AN441" s="2" t="s">
        <v>73</v>
      </c>
      <c r="AP441" s="2" t="s">
        <v>474</v>
      </c>
      <c r="AU441" s="2" t="s">
        <v>75</v>
      </c>
      <c r="AW441" s="2" t="s">
        <v>3822</v>
      </c>
      <c r="AZ441" s="2" t="s">
        <v>116</v>
      </c>
    </row>
    <row r="442" spans="1:52" s="3" customFormat="1" x14ac:dyDescent="0.35">
      <c r="A442" s="2" t="s">
        <v>3823</v>
      </c>
      <c r="B442" s="4">
        <v>247414</v>
      </c>
      <c r="C442" s="2" t="s">
        <v>3824</v>
      </c>
      <c r="D442" s="2">
        <f t="shared" si="6"/>
        <v>4</v>
      </c>
      <c r="F442" s="2" t="s">
        <v>3788</v>
      </c>
      <c r="G442" s="2" t="s">
        <v>53</v>
      </c>
      <c r="H442" s="4">
        <v>1</v>
      </c>
      <c r="I442" s="4">
        <v>1</v>
      </c>
      <c r="J442" s="4">
        <v>0</v>
      </c>
      <c r="L442" s="4">
        <v>0</v>
      </c>
      <c r="M442" s="2" t="s">
        <v>55</v>
      </c>
      <c r="N442" s="2" t="s">
        <v>56</v>
      </c>
      <c r="O442" s="2" t="s">
        <v>57</v>
      </c>
      <c r="P442" s="2" t="s">
        <v>460</v>
      </c>
      <c r="Q442" s="2" t="s">
        <v>461</v>
      </c>
      <c r="R442" s="2" t="s">
        <v>3825</v>
      </c>
      <c r="S442" s="2" t="s">
        <v>3826</v>
      </c>
      <c r="V442" s="2" t="s">
        <v>3827</v>
      </c>
      <c r="W442" s="2" t="s">
        <v>3828</v>
      </c>
      <c r="Y442" s="2" t="s">
        <v>64</v>
      </c>
      <c r="Z442" s="2" t="s">
        <v>65</v>
      </c>
      <c r="AA442" s="2" t="s">
        <v>66</v>
      </c>
      <c r="AC442" s="2" t="s">
        <v>67</v>
      </c>
      <c r="AD442" s="2" t="s">
        <v>68</v>
      </c>
      <c r="AE442" s="2" t="s">
        <v>69</v>
      </c>
      <c r="AF442" s="2" t="s">
        <v>70</v>
      </c>
      <c r="AG442" s="2" t="s">
        <v>460</v>
      </c>
      <c r="AK442" s="2" t="s">
        <v>3829</v>
      </c>
      <c r="AM442" s="2" t="s">
        <v>72</v>
      </c>
      <c r="AN442" s="2" t="s">
        <v>232</v>
      </c>
      <c r="AP442" s="2" t="s">
        <v>474</v>
      </c>
      <c r="AU442" s="2" t="s">
        <v>75</v>
      </c>
      <c r="AW442" s="2" t="s">
        <v>3830</v>
      </c>
      <c r="AZ442" s="2" t="s">
        <v>116</v>
      </c>
    </row>
    <row r="443" spans="1:52" s="3" customFormat="1" x14ac:dyDescent="0.35">
      <c r="A443" s="2" t="s">
        <v>3831</v>
      </c>
      <c r="B443" s="4">
        <v>247413</v>
      </c>
      <c r="C443" s="2" t="s">
        <v>3832</v>
      </c>
      <c r="D443" s="2">
        <f t="shared" si="6"/>
        <v>4</v>
      </c>
      <c r="F443" s="2" t="s">
        <v>3788</v>
      </c>
      <c r="G443" s="2" t="s">
        <v>53</v>
      </c>
      <c r="H443" s="4">
        <v>1</v>
      </c>
      <c r="I443" s="4">
        <v>1</v>
      </c>
      <c r="J443" s="4">
        <v>0</v>
      </c>
      <c r="L443" s="4">
        <v>0</v>
      </c>
      <c r="M443" s="2" t="s">
        <v>55</v>
      </c>
      <c r="N443" s="2" t="s">
        <v>56</v>
      </c>
      <c r="O443" s="2" t="s">
        <v>57</v>
      </c>
      <c r="P443" s="2" t="s">
        <v>460</v>
      </c>
      <c r="Q443" s="2" t="s">
        <v>461</v>
      </c>
      <c r="R443" s="2" t="s">
        <v>3833</v>
      </c>
      <c r="S443" s="2" t="s">
        <v>3834</v>
      </c>
      <c r="V443" s="2" t="s">
        <v>3835</v>
      </c>
      <c r="W443" s="2" t="s">
        <v>3836</v>
      </c>
      <c r="Y443" s="2" t="s">
        <v>64</v>
      </c>
      <c r="Z443" s="2" t="s">
        <v>65</v>
      </c>
      <c r="AA443" s="2" t="s">
        <v>66</v>
      </c>
      <c r="AC443" s="2" t="s">
        <v>67</v>
      </c>
      <c r="AD443" s="2" t="s">
        <v>68</v>
      </c>
      <c r="AE443" s="2" t="s">
        <v>69</v>
      </c>
      <c r="AF443" s="2" t="s">
        <v>70</v>
      </c>
      <c r="AG443" s="2" t="s">
        <v>460</v>
      </c>
      <c r="AK443" s="2" t="s">
        <v>3837</v>
      </c>
      <c r="AM443" s="2" t="s">
        <v>72</v>
      </c>
      <c r="AN443" s="2" t="s">
        <v>232</v>
      </c>
      <c r="AP443" s="2" t="s">
        <v>474</v>
      </c>
      <c r="AU443" s="2" t="s">
        <v>75</v>
      </c>
      <c r="AW443" s="2" t="s">
        <v>3838</v>
      </c>
      <c r="AZ443" s="2" t="s">
        <v>116</v>
      </c>
    </row>
    <row r="444" spans="1:52" s="3" customFormat="1" x14ac:dyDescent="0.35">
      <c r="A444" s="2" t="s">
        <v>3839</v>
      </c>
      <c r="B444" s="4">
        <v>247412</v>
      </c>
      <c r="C444" s="2" t="s">
        <v>3840</v>
      </c>
      <c r="D444" s="2">
        <f t="shared" si="6"/>
        <v>4</v>
      </c>
      <c r="F444" s="2" t="s">
        <v>3788</v>
      </c>
      <c r="G444" s="2" t="s">
        <v>53</v>
      </c>
      <c r="H444" s="4">
        <v>1</v>
      </c>
      <c r="I444" s="4">
        <v>1</v>
      </c>
      <c r="J444" s="4">
        <v>0</v>
      </c>
      <c r="L444" s="4">
        <v>0</v>
      </c>
      <c r="M444" s="2" t="s">
        <v>55</v>
      </c>
      <c r="N444" s="2" t="s">
        <v>56</v>
      </c>
      <c r="O444" s="2" t="s">
        <v>57</v>
      </c>
      <c r="P444" s="2" t="s">
        <v>3498</v>
      </c>
      <c r="Q444" s="2" t="s">
        <v>3499</v>
      </c>
      <c r="R444" s="2" t="s">
        <v>3841</v>
      </c>
      <c r="S444" s="2" t="s">
        <v>3842</v>
      </c>
      <c r="V444" s="2" t="s">
        <v>3843</v>
      </c>
      <c r="W444" s="2" t="s">
        <v>3844</v>
      </c>
      <c r="Y444" s="2" t="s">
        <v>64</v>
      </c>
      <c r="Z444" s="2" t="s">
        <v>65</v>
      </c>
      <c r="AA444" s="2" t="s">
        <v>66</v>
      </c>
      <c r="AC444" s="2" t="s">
        <v>67</v>
      </c>
      <c r="AD444" s="2" t="s">
        <v>68</v>
      </c>
      <c r="AE444" s="2" t="s">
        <v>69</v>
      </c>
      <c r="AF444" s="2" t="s">
        <v>70</v>
      </c>
      <c r="AG444" s="2" t="s">
        <v>3498</v>
      </c>
      <c r="AK444" s="2" t="s">
        <v>3845</v>
      </c>
      <c r="AM444" s="2" t="s">
        <v>72</v>
      </c>
      <c r="AN444" s="2" t="s">
        <v>283</v>
      </c>
      <c r="AP444" s="2" t="s">
        <v>3464</v>
      </c>
      <c r="AT444" s="2" t="s">
        <v>114</v>
      </c>
      <c r="AU444" s="2" t="s">
        <v>75</v>
      </c>
      <c r="AW444" s="2" t="s">
        <v>3846</v>
      </c>
      <c r="AZ444" s="2" t="s">
        <v>116</v>
      </c>
    </row>
    <row r="445" spans="1:52" s="3" customFormat="1" x14ac:dyDescent="0.35">
      <c r="A445" s="2" t="s">
        <v>3847</v>
      </c>
      <c r="B445" s="4">
        <v>247411</v>
      </c>
      <c r="C445" s="2" t="s">
        <v>3848</v>
      </c>
      <c r="D445" s="2">
        <f t="shared" si="6"/>
        <v>4</v>
      </c>
      <c r="F445" s="2" t="s">
        <v>3788</v>
      </c>
      <c r="G445" s="2" t="s">
        <v>53</v>
      </c>
      <c r="H445" s="4">
        <v>1</v>
      </c>
      <c r="I445" s="4">
        <v>1</v>
      </c>
      <c r="J445" s="4">
        <v>0</v>
      </c>
      <c r="L445" s="4">
        <v>0</v>
      </c>
      <c r="M445" s="2" t="s">
        <v>55</v>
      </c>
      <c r="N445" s="2" t="s">
        <v>56</v>
      </c>
      <c r="O445" s="2" t="s">
        <v>57</v>
      </c>
      <c r="P445" s="2" t="s">
        <v>460</v>
      </c>
      <c r="Q445" s="2" t="s">
        <v>461</v>
      </c>
      <c r="R445" s="2" t="s">
        <v>3849</v>
      </c>
      <c r="S445" s="2" t="s">
        <v>3850</v>
      </c>
      <c r="V445" s="2" t="s">
        <v>3851</v>
      </c>
      <c r="W445" s="2" t="s">
        <v>3852</v>
      </c>
      <c r="Y445" s="2" t="s">
        <v>64</v>
      </c>
      <c r="Z445" s="2" t="s">
        <v>65</v>
      </c>
      <c r="AA445" s="2" t="s">
        <v>66</v>
      </c>
      <c r="AC445" s="2" t="s">
        <v>67</v>
      </c>
      <c r="AD445" s="2" t="s">
        <v>68</v>
      </c>
      <c r="AE445" s="2" t="s">
        <v>69</v>
      </c>
      <c r="AF445" s="2" t="s">
        <v>70</v>
      </c>
      <c r="AG445" s="2" t="s">
        <v>460</v>
      </c>
      <c r="AK445" s="2" t="s">
        <v>3853</v>
      </c>
      <c r="AM445" s="2" t="s">
        <v>72</v>
      </c>
      <c r="AN445" s="2" t="s">
        <v>232</v>
      </c>
      <c r="AP445" s="2" t="s">
        <v>474</v>
      </c>
      <c r="AU445" s="2" t="s">
        <v>75</v>
      </c>
      <c r="AW445" s="2" t="s">
        <v>3854</v>
      </c>
      <c r="AZ445" s="2" t="s">
        <v>116</v>
      </c>
    </row>
    <row r="446" spans="1:52" s="3" customFormat="1" x14ac:dyDescent="0.35">
      <c r="A446" s="2" t="s">
        <v>3855</v>
      </c>
      <c r="B446" s="4">
        <v>247409</v>
      </c>
      <c r="C446" s="2" t="s">
        <v>3856</v>
      </c>
      <c r="D446" s="2">
        <f t="shared" si="6"/>
        <v>4</v>
      </c>
      <c r="F446" s="2" t="s">
        <v>3788</v>
      </c>
      <c r="G446" s="2" t="s">
        <v>53</v>
      </c>
      <c r="H446" s="4">
        <v>1</v>
      </c>
      <c r="I446" s="4">
        <v>1</v>
      </c>
      <c r="J446" s="4">
        <v>0</v>
      </c>
      <c r="L446" s="4">
        <v>0</v>
      </c>
      <c r="M446" s="2" t="s">
        <v>55</v>
      </c>
      <c r="N446" s="2" t="s">
        <v>56</v>
      </c>
      <c r="O446" s="2" t="s">
        <v>57</v>
      </c>
      <c r="P446" s="2" t="s">
        <v>3498</v>
      </c>
      <c r="Q446" s="2" t="s">
        <v>3499</v>
      </c>
      <c r="R446" s="2" t="s">
        <v>3857</v>
      </c>
      <c r="S446" s="2" t="s">
        <v>3858</v>
      </c>
      <c r="V446" s="2" t="s">
        <v>3859</v>
      </c>
      <c r="W446" s="2" t="s">
        <v>3860</v>
      </c>
      <c r="Y446" s="2" t="s">
        <v>64</v>
      </c>
      <c r="Z446" s="2" t="s">
        <v>65</v>
      </c>
      <c r="AA446" s="2" t="s">
        <v>66</v>
      </c>
      <c r="AC446" s="2" t="s">
        <v>67</v>
      </c>
      <c r="AD446" s="2" t="s">
        <v>68</v>
      </c>
      <c r="AE446" s="2" t="s">
        <v>69</v>
      </c>
      <c r="AF446" s="2" t="s">
        <v>70</v>
      </c>
      <c r="AG446" s="2" t="s">
        <v>3498</v>
      </c>
      <c r="AK446" s="2" t="s">
        <v>3861</v>
      </c>
      <c r="AM446" s="2" t="s">
        <v>72</v>
      </c>
      <c r="AN446" s="2" t="s">
        <v>344</v>
      </c>
      <c r="AP446" s="2" t="s">
        <v>3464</v>
      </c>
      <c r="AT446" s="2" t="s">
        <v>114</v>
      </c>
      <c r="AU446" s="2" t="s">
        <v>75</v>
      </c>
      <c r="AW446" s="2" t="s">
        <v>3862</v>
      </c>
      <c r="AZ446" s="2" t="s">
        <v>116</v>
      </c>
    </row>
    <row r="447" spans="1:52" s="3" customFormat="1" x14ac:dyDescent="0.35">
      <c r="A447" s="2" t="s">
        <v>3863</v>
      </c>
      <c r="B447" s="4">
        <v>247407</v>
      </c>
      <c r="C447" s="2" t="s">
        <v>3864</v>
      </c>
      <c r="D447" s="2">
        <f t="shared" si="6"/>
        <v>4</v>
      </c>
      <c r="F447" s="2" t="s">
        <v>3788</v>
      </c>
      <c r="G447" s="2" t="s">
        <v>53</v>
      </c>
      <c r="H447" s="4">
        <v>1</v>
      </c>
      <c r="I447" s="4">
        <v>1</v>
      </c>
      <c r="J447" s="4">
        <v>0</v>
      </c>
      <c r="L447" s="4">
        <v>0</v>
      </c>
      <c r="M447" s="2" t="s">
        <v>55</v>
      </c>
      <c r="N447" s="2" t="s">
        <v>56</v>
      </c>
      <c r="O447" s="2" t="s">
        <v>57</v>
      </c>
      <c r="P447" s="2" t="s">
        <v>3498</v>
      </c>
      <c r="Q447" s="2" t="s">
        <v>3499</v>
      </c>
      <c r="R447" s="2" t="s">
        <v>3865</v>
      </c>
      <c r="S447" s="2" t="s">
        <v>3866</v>
      </c>
      <c r="V447" s="2" t="s">
        <v>3867</v>
      </c>
      <c r="W447" s="2" t="s">
        <v>3868</v>
      </c>
      <c r="Y447" s="2" t="s">
        <v>64</v>
      </c>
      <c r="Z447" s="2" t="s">
        <v>65</v>
      </c>
      <c r="AA447" s="2" t="s">
        <v>66</v>
      </c>
      <c r="AC447" s="2" t="s">
        <v>67</v>
      </c>
      <c r="AD447" s="2" t="s">
        <v>68</v>
      </c>
      <c r="AE447" s="2" t="s">
        <v>69</v>
      </c>
      <c r="AF447" s="2" t="s">
        <v>70</v>
      </c>
      <c r="AG447" s="2" t="s">
        <v>3498</v>
      </c>
      <c r="AK447" s="2" t="s">
        <v>3869</v>
      </c>
      <c r="AM447" s="2" t="s">
        <v>72</v>
      </c>
      <c r="AN447" s="2" t="s">
        <v>473</v>
      </c>
      <c r="AP447" s="2" t="s">
        <v>3464</v>
      </c>
      <c r="AT447" s="2" t="s">
        <v>114</v>
      </c>
      <c r="AU447" s="2" t="s">
        <v>75</v>
      </c>
      <c r="AW447" s="2" t="s">
        <v>3870</v>
      </c>
      <c r="AZ447" s="2" t="s">
        <v>116</v>
      </c>
    </row>
    <row r="448" spans="1:52" s="3" customFormat="1" x14ac:dyDescent="0.35">
      <c r="A448" s="2" t="s">
        <v>3871</v>
      </c>
      <c r="B448" s="4">
        <v>247404</v>
      </c>
      <c r="C448" s="2" t="s">
        <v>3872</v>
      </c>
      <c r="D448" s="2">
        <f t="shared" si="6"/>
        <v>4</v>
      </c>
      <c r="F448" s="2" t="s">
        <v>3788</v>
      </c>
      <c r="G448" s="2" t="s">
        <v>53</v>
      </c>
      <c r="H448" s="4">
        <v>1</v>
      </c>
      <c r="I448" s="4">
        <v>1</v>
      </c>
      <c r="J448" s="4">
        <v>0</v>
      </c>
      <c r="L448" s="4">
        <v>0</v>
      </c>
      <c r="M448" s="2" t="s">
        <v>55</v>
      </c>
      <c r="N448" s="2" t="s">
        <v>56</v>
      </c>
      <c r="O448" s="2" t="s">
        <v>57</v>
      </c>
      <c r="P448" s="2" t="s">
        <v>3498</v>
      </c>
      <c r="Q448" s="2" t="s">
        <v>3499</v>
      </c>
      <c r="R448" s="2" t="s">
        <v>3873</v>
      </c>
      <c r="S448" s="2" t="s">
        <v>3874</v>
      </c>
      <c r="V448" s="2" t="s">
        <v>3875</v>
      </c>
      <c r="W448" s="2" t="s">
        <v>3876</v>
      </c>
      <c r="Y448" s="2" t="s">
        <v>64</v>
      </c>
      <c r="Z448" s="2" t="s">
        <v>65</v>
      </c>
      <c r="AA448" s="2" t="s">
        <v>66</v>
      </c>
      <c r="AC448" s="2" t="s">
        <v>67</v>
      </c>
      <c r="AD448" s="2" t="s">
        <v>68</v>
      </c>
      <c r="AE448" s="2" t="s">
        <v>69</v>
      </c>
      <c r="AF448" s="2" t="s">
        <v>70</v>
      </c>
      <c r="AG448" s="2" t="s">
        <v>3498</v>
      </c>
      <c r="AK448" s="2" t="s">
        <v>3877</v>
      </c>
      <c r="AM448" s="2" t="s">
        <v>72</v>
      </c>
      <c r="AN448" s="2" t="s">
        <v>403</v>
      </c>
      <c r="AP448" s="2" t="s">
        <v>3464</v>
      </c>
      <c r="AT448" s="2" t="s">
        <v>114</v>
      </c>
      <c r="AU448" s="2" t="s">
        <v>75</v>
      </c>
      <c r="AW448" s="2" t="s">
        <v>3878</v>
      </c>
      <c r="AZ448" s="2" t="s">
        <v>116</v>
      </c>
    </row>
    <row r="449" spans="1:52" s="3" customFormat="1" x14ac:dyDescent="0.35">
      <c r="A449" s="2" t="s">
        <v>3879</v>
      </c>
      <c r="B449" s="4">
        <v>247403</v>
      </c>
      <c r="C449" s="2" t="s">
        <v>3880</v>
      </c>
      <c r="D449" s="2">
        <f t="shared" si="6"/>
        <v>4</v>
      </c>
      <c r="F449" s="2" t="s">
        <v>3788</v>
      </c>
      <c r="G449" s="2" t="s">
        <v>53</v>
      </c>
      <c r="H449" s="4">
        <v>1</v>
      </c>
      <c r="I449" s="4">
        <v>1</v>
      </c>
      <c r="J449" s="4">
        <v>0</v>
      </c>
      <c r="L449" s="4">
        <v>0</v>
      </c>
      <c r="M449" s="2" t="s">
        <v>55</v>
      </c>
      <c r="N449" s="2" t="s">
        <v>56</v>
      </c>
      <c r="O449" s="2" t="s">
        <v>57</v>
      </c>
      <c r="P449" s="2" t="s">
        <v>3498</v>
      </c>
      <c r="Q449" s="2" t="s">
        <v>3499</v>
      </c>
      <c r="R449" s="2" t="s">
        <v>3881</v>
      </c>
      <c r="S449" s="2" t="s">
        <v>3124</v>
      </c>
      <c r="V449" s="2" t="s">
        <v>3125</v>
      </c>
      <c r="W449" s="2" t="s">
        <v>3126</v>
      </c>
      <c r="Y449" s="2" t="s">
        <v>64</v>
      </c>
      <c r="Z449" s="2" t="s">
        <v>65</v>
      </c>
      <c r="AA449" s="2" t="s">
        <v>66</v>
      </c>
      <c r="AC449" s="2" t="s">
        <v>67</v>
      </c>
      <c r="AD449" s="2" t="s">
        <v>68</v>
      </c>
      <c r="AE449" s="2" t="s">
        <v>69</v>
      </c>
      <c r="AF449" s="2" t="s">
        <v>70</v>
      </c>
      <c r="AG449" s="2" t="s">
        <v>3498</v>
      </c>
      <c r="AK449" s="2" t="s">
        <v>3882</v>
      </c>
      <c r="AM449" s="2" t="s">
        <v>72</v>
      </c>
      <c r="AN449" s="2" t="s">
        <v>473</v>
      </c>
      <c r="AP449" s="2" t="s">
        <v>3464</v>
      </c>
      <c r="AT449" s="2" t="s">
        <v>114</v>
      </c>
      <c r="AU449" s="2" t="s">
        <v>75</v>
      </c>
      <c r="AV449" s="2" t="s">
        <v>2645</v>
      </c>
      <c r="AW449" s="2" t="s">
        <v>3128</v>
      </c>
      <c r="AZ449" s="2" t="s">
        <v>116</v>
      </c>
    </row>
    <row r="450" spans="1:52" s="3" customFormat="1" x14ac:dyDescent="0.35">
      <c r="A450" s="2" t="s">
        <v>3883</v>
      </c>
      <c r="B450" s="4">
        <v>247402</v>
      </c>
      <c r="C450" s="2" t="s">
        <v>3884</v>
      </c>
      <c r="D450" s="2">
        <f t="shared" si="6"/>
        <v>4</v>
      </c>
      <c r="F450" s="2" t="s">
        <v>3788</v>
      </c>
      <c r="G450" s="2" t="s">
        <v>53</v>
      </c>
      <c r="H450" s="4">
        <v>1</v>
      </c>
      <c r="I450" s="4">
        <v>1</v>
      </c>
      <c r="J450" s="4">
        <v>0</v>
      </c>
      <c r="L450" s="4">
        <v>0</v>
      </c>
      <c r="M450" s="2" t="s">
        <v>55</v>
      </c>
      <c r="N450" s="2" t="s">
        <v>56</v>
      </c>
      <c r="O450" s="2" t="s">
        <v>57</v>
      </c>
      <c r="P450" s="2" t="s">
        <v>3498</v>
      </c>
      <c r="Q450" s="2" t="s">
        <v>3499</v>
      </c>
      <c r="R450" s="2" t="s">
        <v>599</v>
      </c>
      <c r="S450" s="2" t="s">
        <v>600</v>
      </c>
      <c r="V450" s="2" t="s">
        <v>601</v>
      </c>
      <c r="W450" s="2" t="s">
        <v>602</v>
      </c>
      <c r="Y450" s="2" t="s">
        <v>64</v>
      </c>
      <c r="Z450" s="2" t="s">
        <v>65</v>
      </c>
      <c r="AA450" s="2" t="s">
        <v>66</v>
      </c>
      <c r="AC450" s="2" t="s">
        <v>67</v>
      </c>
      <c r="AD450" s="2" t="s">
        <v>68</v>
      </c>
      <c r="AE450" s="2" t="s">
        <v>69</v>
      </c>
      <c r="AF450" s="2" t="s">
        <v>70</v>
      </c>
      <c r="AG450" s="2" t="s">
        <v>3498</v>
      </c>
      <c r="AK450" s="2" t="s">
        <v>3885</v>
      </c>
      <c r="AM450" s="2" t="s">
        <v>72</v>
      </c>
      <c r="AN450" s="2" t="s">
        <v>595</v>
      </c>
      <c r="AP450" s="2" t="s">
        <v>3464</v>
      </c>
      <c r="AT450" s="2" t="s">
        <v>114</v>
      </c>
      <c r="AU450" s="2" t="s">
        <v>75</v>
      </c>
      <c r="AW450" s="2" t="s">
        <v>604</v>
      </c>
      <c r="AZ450" s="2" t="s">
        <v>116</v>
      </c>
    </row>
    <row r="451" spans="1:52" s="3" customFormat="1" x14ac:dyDescent="0.35">
      <c r="A451" s="2" t="s">
        <v>3887</v>
      </c>
      <c r="B451" s="4">
        <v>247362</v>
      </c>
      <c r="C451" s="2" t="s">
        <v>3888</v>
      </c>
      <c r="D451" s="2">
        <f t="shared" ref="D451:D514" si="7">MONTH(C451)</f>
        <v>4</v>
      </c>
      <c r="F451" s="2" t="s">
        <v>3886</v>
      </c>
      <c r="G451" s="2" t="s">
        <v>53</v>
      </c>
      <c r="H451" s="4">
        <v>1</v>
      </c>
      <c r="I451" s="4">
        <v>1</v>
      </c>
      <c r="J451" s="4">
        <v>0</v>
      </c>
      <c r="L451" s="4">
        <v>0</v>
      </c>
      <c r="M451" s="2" t="s">
        <v>55</v>
      </c>
      <c r="N451" s="2" t="s">
        <v>56</v>
      </c>
      <c r="O451" s="2" t="s">
        <v>57</v>
      </c>
      <c r="P451" s="2" t="s">
        <v>3498</v>
      </c>
      <c r="Q451" s="2" t="s">
        <v>3499</v>
      </c>
      <c r="R451" s="2" t="s">
        <v>3889</v>
      </c>
      <c r="S451" s="2" t="s">
        <v>3890</v>
      </c>
      <c r="V451" s="2" t="s">
        <v>3891</v>
      </c>
      <c r="W451" s="2" t="s">
        <v>3892</v>
      </c>
      <c r="Y451" s="2" t="s">
        <v>3893</v>
      </c>
      <c r="Z451" s="2" t="s">
        <v>3894</v>
      </c>
      <c r="AA451" s="2" t="s">
        <v>3734</v>
      </c>
      <c r="AC451" s="2" t="s">
        <v>3139</v>
      </c>
      <c r="AD451" s="2" t="s">
        <v>3140</v>
      </c>
      <c r="AE451" s="2" t="s">
        <v>3141</v>
      </c>
      <c r="AF451" s="2" t="s">
        <v>70</v>
      </c>
      <c r="AG451" s="2" t="s">
        <v>3738</v>
      </c>
      <c r="AK451" s="2" t="s">
        <v>3895</v>
      </c>
      <c r="AM451" s="2" t="s">
        <v>72</v>
      </c>
      <c r="AN451" s="2" t="s">
        <v>232</v>
      </c>
      <c r="AP451" s="2" t="s">
        <v>3464</v>
      </c>
      <c r="AT451" s="2" t="s">
        <v>114</v>
      </c>
      <c r="AU451" s="2" t="s">
        <v>75</v>
      </c>
      <c r="AV451" s="2" t="s">
        <v>3896</v>
      </c>
      <c r="AW451" s="2" t="s">
        <v>3897</v>
      </c>
      <c r="AZ451" s="2" t="s">
        <v>116</v>
      </c>
    </row>
    <row r="452" spans="1:52" s="3" customFormat="1" x14ac:dyDescent="0.35">
      <c r="A452" s="2" t="s">
        <v>3898</v>
      </c>
      <c r="B452" s="4">
        <v>247360</v>
      </c>
      <c r="C452" s="2" t="s">
        <v>3899</v>
      </c>
      <c r="D452" s="2">
        <f t="shared" si="7"/>
        <v>4</v>
      </c>
      <c r="F452" s="2" t="s">
        <v>3886</v>
      </c>
      <c r="G452" s="2" t="s">
        <v>53</v>
      </c>
      <c r="H452" s="4">
        <v>1</v>
      </c>
      <c r="I452" s="4">
        <v>1</v>
      </c>
      <c r="J452" s="4">
        <v>0</v>
      </c>
      <c r="L452" s="4">
        <v>0</v>
      </c>
      <c r="M452" s="2" t="s">
        <v>55</v>
      </c>
      <c r="N452" s="2" t="s">
        <v>56</v>
      </c>
      <c r="O452" s="2" t="s">
        <v>57</v>
      </c>
      <c r="P452" s="2" t="s">
        <v>3498</v>
      </c>
      <c r="Q452" s="2" t="s">
        <v>3499</v>
      </c>
      <c r="R452" s="2" t="s">
        <v>3900</v>
      </c>
      <c r="S452" s="2" t="s">
        <v>3901</v>
      </c>
      <c r="V452" s="2" t="s">
        <v>3902</v>
      </c>
      <c r="W452" s="2" t="s">
        <v>3903</v>
      </c>
      <c r="Y452" s="2" t="s">
        <v>64</v>
      </c>
      <c r="Z452" s="2" t="s">
        <v>3302</v>
      </c>
      <c r="AA452" s="2" t="s">
        <v>66</v>
      </c>
      <c r="AC452" s="2" t="s">
        <v>67</v>
      </c>
      <c r="AD452" s="2" t="s">
        <v>68</v>
      </c>
      <c r="AE452" s="2" t="s">
        <v>69</v>
      </c>
      <c r="AF452" s="2" t="s">
        <v>70</v>
      </c>
      <c r="AG452" s="2" t="s">
        <v>3498</v>
      </c>
      <c r="AK452" s="2" t="s">
        <v>3904</v>
      </c>
      <c r="AM452" s="2" t="s">
        <v>72</v>
      </c>
      <c r="AN452" s="2" t="s">
        <v>595</v>
      </c>
      <c r="AP452" s="2" t="s">
        <v>3464</v>
      </c>
      <c r="AT452" s="2" t="s">
        <v>114</v>
      </c>
      <c r="AU452" s="2" t="s">
        <v>75</v>
      </c>
      <c r="AW452" s="2" t="s">
        <v>3905</v>
      </c>
      <c r="AZ452" s="2" t="s">
        <v>116</v>
      </c>
    </row>
    <row r="453" spans="1:52" s="3" customFormat="1" x14ac:dyDescent="0.35">
      <c r="A453" s="2" t="s">
        <v>3906</v>
      </c>
      <c r="B453" s="4">
        <v>247232</v>
      </c>
      <c r="C453" s="2" t="s">
        <v>3907</v>
      </c>
      <c r="D453" s="2">
        <f t="shared" si="7"/>
        <v>4</v>
      </c>
      <c r="F453" s="2" t="s">
        <v>3908</v>
      </c>
      <c r="G453" s="2" t="s">
        <v>53</v>
      </c>
      <c r="H453" s="4">
        <v>1</v>
      </c>
      <c r="I453" s="4">
        <v>1</v>
      </c>
      <c r="J453" s="4">
        <v>0</v>
      </c>
      <c r="L453" s="4">
        <v>0</v>
      </c>
      <c r="M453" s="2" t="s">
        <v>55</v>
      </c>
      <c r="N453" s="2" t="s">
        <v>56</v>
      </c>
      <c r="O453" s="2" t="s">
        <v>57</v>
      </c>
      <c r="P453" s="2" t="s">
        <v>3498</v>
      </c>
      <c r="Q453" s="2" t="s">
        <v>3499</v>
      </c>
      <c r="R453" s="2" t="s">
        <v>3909</v>
      </c>
      <c r="S453" s="2" t="s">
        <v>3910</v>
      </c>
      <c r="V453" s="2" t="s">
        <v>3911</v>
      </c>
      <c r="W453" s="2" t="s">
        <v>3912</v>
      </c>
      <c r="Y453" s="2" t="s">
        <v>64</v>
      </c>
      <c r="Z453" s="2" t="s">
        <v>205</v>
      </c>
      <c r="AA453" s="2" t="s">
        <v>66</v>
      </c>
      <c r="AC453" s="2" t="s">
        <v>67</v>
      </c>
      <c r="AD453" s="2" t="s">
        <v>68</v>
      </c>
      <c r="AE453" s="2" t="s">
        <v>69</v>
      </c>
      <c r="AF453" s="2" t="s">
        <v>70</v>
      </c>
      <c r="AG453" s="2" t="s">
        <v>3498</v>
      </c>
      <c r="AK453" s="2" t="s">
        <v>3913</v>
      </c>
      <c r="AM453" s="2" t="s">
        <v>72</v>
      </c>
      <c r="AN453" s="2" t="s">
        <v>473</v>
      </c>
      <c r="AP453" s="2" t="s">
        <v>3464</v>
      </c>
      <c r="AT453" s="2" t="s">
        <v>114</v>
      </c>
      <c r="AU453" s="2" t="s">
        <v>75</v>
      </c>
      <c r="AV453" s="2" t="s">
        <v>3914</v>
      </c>
      <c r="AW453" s="2" t="s">
        <v>3915</v>
      </c>
      <c r="AZ453" s="2" t="s">
        <v>116</v>
      </c>
    </row>
    <row r="454" spans="1:52" s="3" customFormat="1" x14ac:dyDescent="0.35">
      <c r="A454" s="2" t="s">
        <v>3916</v>
      </c>
      <c r="B454" s="4">
        <v>247224</v>
      </c>
      <c r="C454" s="2" t="s">
        <v>3917</v>
      </c>
      <c r="D454" s="2">
        <f t="shared" si="7"/>
        <v>4</v>
      </c>
      <c r="F454" s="2" t="s">
        <v>3918</v>
      </c>
      <c r="G454" s="2" t="s">
        <v>53</v>
      </c>
      <c r="H454" s="4">
        <v>1</v>
      </c>
      <c r="I454" s="4">
        <v>1</v>
      </c>
      <c r="J454" s="4">
        <v>0</v>
      </c>
      <c r="L454" s="4">
        <v>0</v>
      </c>
      <c r="M454" s="2" t="s">
        <v>55</v>
      </c>
      <c r="N454" s="2" t="s">
        <v>56</v>
      </c>
      <c r="O454" s="2" t="s">
        <v>57</v>
      </c>
      <c r="P454" s="2" t="s">
        <v>3498</v>
      </c>
      <c r="Q454" s="2" t="s">
        <v>3499</v>
      </c>
      <c r="R454" s="2" t="s">
        <v>3919</v>
      </c>
      <c r="S454" s="2" t="s">
        <v>3920</v>
      </c>
      <c r="V454" s="2" t="s">
        <v>3921</v>
      </c>
      <c r="W454" s="2" t="s">
        <v>3922</v>
      </c>
      <c r="Y454" s="2" t="s">
        <v>3923</v>
      </c>
      <c r="Z454" s="2" t="s">
        <v>3924</v>
      </c>
      <c r="AA454" s="2" t="s">
        <v>3925</v>
      </c>
      <c r="AC454" s="2" t="s">
        <v>3926</v>
      </c>
      <c r="AD454" s="2" t="s">
        <v>2979</v>
      </c>
      <c r="AE454" s="2" t="s">
        <v>2980</v>
      </c>
      <c r="AF454" s="2" t="s">
        <v>70</v>
      </c>
      <c r="AG454" s="2" t="s">
        <v>3715</v>
      </c>
      <c r="AK454" s="2" t="s">
        <v>3927</v>
      </c>
      <c r="AM454" s="2" t="s">
        <v>72</v>
      </c>
      <c r="AN454" s="2" t="s">
        <v>232</v>
      </c>
      <c r="AP454" s="2" t="s">
        <v>3464</v>
      </c>
      <c r="AT454" s="2" t="s">
        <v>114</v>
      </c>
      <c r="AU454" s="2" t="s">
        <v>75</v>
      </c>
      <c r="AW454" s="2" t="s">
        <v>3928</v>
      </c>
      <c r="AZ454" s="2" t="s">
        <v>116</v>
      </c>
    </row>
    <row r="455" spans="1:52" s="3" customFormat="1" x14ac:dyDescent="0.35">
      <c r="A455" s="2" t="s">
        <v>3929</v>
      </c>
      <c r="B455" s="4">
        <v>247217</v>
      </c>
      <c r="C455" s="2" t="s">
        <v>3930</v>
      </c>
      <c r="D455" s="2">
        <f t="shared" si="7"/>
        <v>4</v>
      </c>
      <c r="F455" s="2" t="s">
        <v>3918</v>
      </c>
      <c r="G455" s="2" t="s">
        <v>53</v>
      </c>
      <c r="H455" s="4">
        <v>1</v>
      </c>
      <c r="I455" s="4">
        <v>1</v>
      </c>
      <c r="J455" s="4">
        <v>0</v>
      </c>
      <c r="L455" s="4">
        <v>0</v>
      </c>
      <c r="M455" s="2" t="s">
        <v>55</v>
      </c>
      <c r="N455" s="2" t="s">
        <v>56</v>
      </c>
      <c r="O455" s="2" t="s">
        <v>57</v>
      </c>
      <c r="P455" s="2" t="s">
        <v>460</v>
      </c>
      <c r="Q455" s="2" t="s">
        <v>461</v>
      </c>
      <c r="R455" s="2" t="s">
        <v>3931</v>
      </c>
      <c r="S455" s="2" t="s">
        <v>3932</v>
      </c>
      <c r="V455" s="2" t="s">
        <v>3933</v>
      </c>
      <c r="W455" s="2" t="s">
        <v>3934</v>
      </c>
      <c r="Y455" s="2" t="s">
        <v>64</v>
      </c>
      <c r="Z455" s="2" t="s">
        <v>65</v>
      </c>
      <c r="AA455" s="2" t="s">
        <v>66</v>
      </c>
      <c r="AC455" s="2" t="s">
        <v>67</v>
      </c>
      <c r="AD455" s="2" t="s">
        <v>68</v>
      </c>
      <c r="AE455" s="2" t="s">
        <v>69</v>
      </c>
      <c r="AF455" s="2" t="s">
        <v>70</v>
      </c>
      <c r="AG455" s="2" t="s">
        <v>460</v>
      </c>
      <c r="AK455" s="2" t="s">
        <v>3935</v>
      </c>
      <c r="AM455" s="2" t="s">
        <v>72</v>
      </c>
      <c r="AN455" s="2" t="s">
        <v>403</v>
      </c>
      <c r="AP455" s="2" t="s">
        <v>474</v>
      </c>
      <c r="AU455" s="2" t="s">
        <v>75</v>
      </c>
      <c r="AW455" s="2" t="s">
        <v>3936</v>
      </c>
      <c r="AZ455" s="2" t="s">
        <v>116</v>
      </c>
    </row>
    <row r="456" spans="1:52" s="3" customFormat="1" x14ac:dyDescent="0.35">
      <c r="A456" s="2" t="s">
        <v>3937</v>
      </c>
      <c r="B456" s="4">
        <v>247209</v>
      </c>
      <c r="C456" s="2" t="s">
        <v>3938</v>
      </c>
      <c r="D456" s="2">
        <f t="shared" si="7"/>
        <v>4</v>
      </c>
      <c r="F456" s="2" t="s">
        <v>3918</v>
      </c>
      <c r="G456" s="2" t="s">
        <v>53</v>
      </c>
      <c r="H456" s="4">
        <v>1</v>
      </c>
      <c r="I456" s="4">
        <v>1</v>
      </c>
      <c r="J456" s="4">
        <v>0</v>
      </c>
      <c r="L456" s="4">
        <v>0</v>
      </c>
      <c r="M456" s="2" t="s">
        <v>55</v>
      </c>
      <c r="N456" s="2" t="s">
        <v>56</v>
      </c>
      <c r="O456" s="2" t="s">
        <v>57</v>
      </c>
      <c r="P456" s="2" t="s">
        <v>3498</v>
      </c>
      <c r="Q456" s="2" t="s">
        <v>3499</v>
      </c>
      <c r="R456" s="2" t="s">
        <v>3939</v>
      </c>
      <c r="S456" s="2" t="s">
        <v>3940</v>
      </c>
      <c r="V456" s="2" t="s">
        <v>3941</v>
      </c>
      <c r="W456" s="2" t="s">
        <v>3942</v>
      </c>
      <c r="Y456" s="2" t="s">
        <v>64</v>
      </c>
      <c r="Z456" s="2" t="s">
        <v>65</v>
      </c>
      <c r="AA456" s="2" t="s">
        <v>66</v>
      </c>
      <c r="AC456" s="2" t="s">
        <v>67</v>
      </c>
      <c r="AD456" s="2" t="s">
        <v>68</v>
      </c>
      <c r="AE456" s="2" t="s">
        <v>69</v>
      </c>
      <c r="AF456" s="2" t="s">
        <v>70</v>
      </c>
      <c r="AG456" s="2" t="s">
        <v>3498</v>
      </c>
      <c r="AK456" s="2" t="s">
        <v>3943</v>
      </c>
      <c r="AM456" s="2" t="s">
        <v>72</v>
      </c>
      <c r="AN456" s="2" t="s">
        <v>595</v>
      </c>
      <c r="AP456" s="2" t="s">
        <v>3464</v>
      </c>
      <c r="AT456" s="2" t="s">
        <v>114</v>
      </c>
      <c r="AU456" s="2" t="s">
        <v>75</v>
      </c>
      <c r="AW456" s="2" t="s">
        <v>3944</v>
      </c>
      <c r="AZ456" s="2" t="s">
        <v>116</v>
      </c>
    </row>
    <row r="457" spans="1:52" s="3" customFormat="1" x14ac:dyDescent="0.35">
      <c r="A457" s="2" t="s">
        <v>3945</v>
      </c>
      <c r="B457" s="4">
        <v>247208</v>
      </c>
      <c r="C457" s="2" t="s">
        <v>3946</v>
      </c>
      <c r="D457" s="2">
        <f t="shared" si="7"/>
        <v>4</v>
      </c>
      <c r="F457" s="2" t="s">
        <v>3918</v>
      </c>
      <c r="G457" s="2" t="s">
        <v>53</v>
      </c>
      <c r="H457" s="4">
        <v>1</v>
      </c>
      <c r="I457" s="4">
        <v>1</v>
      </c>
      <c r="J457" s="4">
        <v>0</v>
      </c>
      <c r="L457" s="4">
        <v>0</v>
      </c>
      <c r="M457" s="2" t="s">
        <v>55</v>
      </c>
      <c r="N457" s="2" t="s">
        <v>56</v>
      </c>
      <c r="O457" s="2" t="s">
        <v>57</v>
      </c>
      <c r="P457" s="2" t="s">
        <v>3498</v>
      </c>
      <c r="Q457" s="2" t="s">
        <v>3499</v>
      </c>
      <c r="R457" s="2" t="s">
        <v>3947</v>
      </c>
      <c r="S457" s="2" t="s">
        <v>3948</v>
      </c>
      <c r="V457" s="2" t="s">
        <v>3949</v>
      </c>
      <c r="W457" s="2" t="s">
        <v>3950</v>
      </c>
      <c r="Y457" s="2" t="s">
        <v>64</v>
      </c>
      <c r="Z457" s="2" t="s">
        <v>205</v>
      </c>
      <c r="AA457" s="2" t="s">
        <v>66</v>
      </c>
      <c r="AC457" s="2" t="s">
        <v>67</v>
      </c>
      <c r="AD457" s="2" t="s">
        <v>68</v>
      </c>
      <c r="AE457" s="2" t="s">
        <v>69</v>
      </c>
      <c r="AF457" s="2" t="s">
        <v>70</v>
      </c>
      <c r="AG457" s="2" t="s">
        <v>3498</v>
      </c>
      <c r="AK457" s="2" t="s">
        <v>3951</v>
      </c>
      <c r="AM457" s="2" t="s">
        <v>72</v>
      </c>
      <c r="AN457" s="2" t="s">
        <v>595</v>
      </c>
      <c r="AP457" s="2" t="s">
        <v>3464</v>
      </c>
      <c r="AT457" s="2" t="s">
        <v>114</v>
      </c>
      <c r="AU457" s="2" t="s">
        <v>75</v>
      </c>
      <c r="AV457" s="2" t="s">
        <v>3952</v>
      </c>
      <c r="AW457" s="2" t="s">
        <v>3953</v>
      </c>
      <c r="AZ457" s="2" t="s">
        <v>116</v>
      </c>
    </row>
    <row r="458" spans="1:52" s="3" customFormat="1" x14ac:dyDescent="0.35">
      <c r="A458" s="2" t="s">
        <v>3958</v>
      </c>
      <c r="B458" s="4">
        <v>247180</v>
      </c>
      <c r="C458" s="2" t="s">
        <v>3959</v>
      </c>
      <c r="D458" s="2">
        <f t="shared" si="7"/>
        <v>4</v>
      </c>
      <c r="F458" s="2" t="s">
        <v>3918</v>
      </c>
      <c r="G458" s="2" t="s">
        <v>53</v>
      </c>
      <c r="H458" s="4">
        <v>1</v>
      </c>
      <c r="I458" s="4">
        <v>1</v>
      </c>
      <c r="J458" s="5">
        <v>52000</v>
      </c>
      <c r="K458" s="2" t="s">
        <v>1252</v>
      </c>
      <c r="L458" s="5">
        <v>122005</v>
      </c>
      <c r="M458" s="2" t="s">
        <v>55</v>
      </c>
      <c r="N458" s="2" t="s">
        <v>1253</v>
      </c>
      <c r="O458" s="2" t="s">
        <v>1254</v>
      </c>
      <c r="P458" s="2" t="s">
        <v>3960</v>
      </c>
      <c r="Q458" s="2" t="s">
        <v>3961</v>
      </c>
      <c r="R458" s="2" t="s">
        <v>3962</v>
      </c>
      <c r="T458" s="2" t="s">
        <v>3963</v>
      </c>
      <c r="U458" s="2" t="s">
        <v>3964</v>
      </c>
      <c r="V458" s="2" t="s">
        <v>3965</v>
      </c>
      <c r="W458" s="2" t="s">
        <v>3966</v>
      </c>
      <c r="X458" s="2" t="s">
        <v>3967</v>
      </c>
      <c r="Y458" s="2" t="s">
        <v>3968</v>
      </c>
      <c r="Z458" s="2" t="s">
        <v>2854</v>
      </c>
      <c r="AA458" s="2" t="s">
        <v>3969</v>
      </c>
      <c r="AB458" s="2" t="s">
        <v>3970</v>
      </c>
      <c r="AC458" s="2" t="s">
        <v>3971</v>
      </c>
      <c r="AD458" s="2" t="s">
        <v>68</v>
      </c>
      <c r="AE458" s="2" t="s">
        <v>69</v>
      </c>
      <c r="AF458" s="2" t="s">
        <v>70</v>
      </c>
      <c r="AG458" s="2" t="s">
        <v>3972</v>
      </c>
      <c r="AK458" s="2" t="s">
        <v>3973</v>
      </c>
      <c r="AM458" s="2" t="s">
        <v>72</v>
      </c>
      <c r="AN458" s="2" t="s">
        <v>595</v>
      </c>
      <c r="AP458" s="2" t="s">
        <v>3974</v>
      </c>
      <c r="AU458" s="2" t="s">
        <v>75</v>
      </c>
      <c r="AV458" s="2" t="s">
        <v>3975</v>
      </c>
      <c r="AW458" s="2" t="s">
        <v>3976</v>
      </c>
      <c r="AX458" s="2" t="s">
        <v>477</v>
      </c>
      <c r="AZ458" s="2" t="s">
        <v>478</v>
      </c>
    </row>
    <row r="459" spans="1:52" s="3" customFormat="1" x14ac:dyDescent="0.35">
      <c r="A459" s="2" t="s">
        <v>3958</v>
      </c>
      <c r="B459" s="4">
        <v>247180</v>
      </c>
      <c r="C459" s="2" t="s">
        <v>3959</v>
      </c>
      <c r="D459" s="2">
        <f t="shared" si="7"/>
        <v>4</v>
      </c>
      <c r="F459" s="2" t="s">
        <v>3918</v>
      </c>
      <c r="G459" s="2" t="s">
        <v>53</v>
      </c>
      <c r="H459" s="4">
        <v>1</v>
      </c>
      <c r="I459" s="4">
        <v>1</v>
      </c>
      <c r="J459" s="5">
        <v>78000</v>
      </c>
      <c r="K459" s="2" t="s">
        <v>1252</v>
      </c>
      <c r="L459" s="5">
        <v>122005</v>
      </c>
      <c r="M459" s="2" t="s">
        <v>55</v>
      </c>
      <c r="N459" s="2" t="s">
        <v>1253</v>
      </c>
      <c r="O459" s="2" t="s">
        <v>1254</v>
      </c>
      <c r="P459" s="2" t="s">
        <v>3977</v>
      </c>
      <c r="Q459" s="2" t="s">
        <v>3978</v>
      </c>
      <c r="R459" s="2" t="s">
        <v>3962</v>
      </c>
      <c r="T459" s="2" t="s">
        <v>3963</v>
      </c>
      <c r="U459" s="2" t="s">
        <v>3964</v>
      </c>
      <c r="V459" s="2" t="s">
        <v>3965</v>
      </c>
      <c r="W459" s="2" t="s">
        <v>3966</v>
      </c>
      <c r="X459" s="2" t="s">
        <v>3967</v>
      </c>
      <c r="Y459" s="2" t="s">
        <v>3968</v>
      </c>
      <c r="Z459" s="2" t="s">
        <v>2854</v>
      </c>
      <c r="AA459" s="2" t="s">
        <v>3969</v>
      </c>
      <c r="AB459" s="2" t="s">
        <v>3970</v>
      </c>
      <c r="AC459" s="2" t="s">
        <v>3971</v>
      </c>
      <c r="AD459" s="2" t="s">
        <v>68</v>
      </c>
      <c r="AE459" s="2" t="s">
        <v>69</v>
      </c>
      <c r="AF459" s="2" t="s">
        <v>70</v>
      </c>
      <c r="AG459" s="2" t="s">
        <v>3972</v>
      </c>
      <c r="AK459" s="2" t="s">
        <v>3973</v>
      </c>
      <c r="AM459" s="2" t="s">
        <v>72</v>
      </c>
      <c r="AN459" s="2" t="s">
        <v>595</v>
      </c>
      <c r="AP459" s="2" t="s">
        <v>3974</v>
      </c>
      <c r="AU459" s="2" t="s">
        <v>75</v>
      </c>
      <c r="AV459" s="2" t="s">
        <v>3975</v>
      </c>
      <c r="AW459" s="2" t="s">
        <v>3976</v>
      </c>
      <c r="AX459" s="2" t="s">
        <v>477</v>
      </c>
      <c r="AZ459" s="2" t="s">
        <v>478</v>
      </c>
    </row>
    <row r="460" spans="1:52" s="3" customFormat="1" x14ac:dyDescent="0.35">
      <c r="A460" s="2" t="s">
        <v>3979</v>
      </c>
      <c r="B460" s="4">
        <v>247178</v>
      </c>
      <c r="C460" s="2" t="s">
        <v>3980</v>
      </c>
      <c r="D460" s="2">
        <f t="shared" si="7"/>
        <v>4</v>
      </c>
      <c r="F460" s="2" t="s">
        <v>3918</v>
      </c>
      <c r="G460" s="2" t="s">
        <v>53</v>
      </c>
      <c r="H460" s="4">
        <v>1</v>
      </c>
      <c r="I460" s="4">
        <v>1</v>
      </c>
      <c r="J460" s="5">
        <v>3200</v>
      </c>
      <c r="K460" s="2" t="s">
        <v>1252</v>
      </c>
      <c r="L460" s="5">
        <v>3003.2</v>
      </c>
      <c r="M460" s="2" t="s">
        <v>55</v>
      </c>
      <c r="N460" s="2" t="s">
        <v>1253</v>
      </c>
      <c r="O460" s="2" t="s">
        <v>1254</v>
      </c>
      <c r="P460" s="2" t="s">
        <v>3954</v>
      </c>
      <c r="Q460" s="2" t="s">
        <v>3955</v>
      </c>
      <c r="R460" s="2" t="s">
        <v>3956</v>
      </c>
      <c r="T460" s="2" t="s">
        <v>2142</v>
      </c>
      <c r="U460" s="2" t="s">
        <v>2143</v>
      </c>
      <c r="V460" s="2" t="s">
        <v>2144</v>
      </c>
      <c r="W460" s="2" t="s">
        <v>2868</v>
      </c>
      <c r="X460" s="2" t="s">
        <v>2869</v>
      </c>
      <c r="Y460" s="2" t="s">
        <v>2147</v>
      </c>
      <c r="Z460" s="2" t="s">
        <v>2148</v>
      </c>
      <c r="AA460" s="2" t="s">
        <v>2149</v>
      </c>
      <c r="AB460" s="2" t="s">
        <v>3957</v>
      </c>
      <c r="AC460" s="2" t="s">
        <v>2151</v>
      </c>
      <c r="AD460" s="2" t="s">
        <v>68</v>
      </c>
      <c r="AE460" s="2" t="s">
        <v>69</v>
      </c>
      <c r="AF460" s="2" t="s">
        <v>70</v>
      </c>
      <c r="AG460" s="2" t="s">
        <v>3981</v>
      </c>
      <c r="AK460" s="2" t="s">
        <v>3982</v>
      </c>
      <c r="AM460" s="2" t="s">
        <v>72</v>
      </c>
      <c r="AN460" s="2" t="s">
        <v>473</v>
      </c>
      <c r="AP460" s="2" t="s">
        <v>3886</v>
      </c>
      <c r="AU460" s="2" t="s">
        <v>75</v>
      </c>
      <c r="AV460" s="2" t="s">
        <v>2154</v>
      </c>
      <c r="AW460" s="2" t="s">
        <v>2155</v>
      </c>
      <c r="AX460" s="2" t="s">
        <v>77</v>
      </c>
      <c r="AZ460" s="2" t="s">
        <v>77</v>
      </c>
    </row>
    <row r="461" spans="1:52" s="3" customFormat="1" x14ac:dyDescent="0.35">
      <c r="A461" s="2" t="s">
        <v>3983</v>
      </c>
      <c r="B461" s="4">
        <v>247169</v>
      </c>
      <c r="C461" s="2" t="s">
        <v>3984</v>
      </c>
      <c r="D461" s="2">
        <f t="shared" si="7"/>
        <v>4</v>
      </c>
      <c r="F461" s="2" t="s">
        <v>3918</v>
      </c>
      <c r="G461" s="2" t="s">
        <v>53</v>
      </c>
      <c r="H461" s="4">
        <v>1</v>
      </c>
      <c r="I461" s="4">
        <v>1</v>
      </c>
      <c r="J461" s="4">
        <v>0</v>
      </c>
      <c r="L461" s="4">
        <v>0</v>
      </c>
      <c r="M461" s="2" t="s">
        <v>55</v>
      </c>
      <c r="N461" s="2" t="s">
        <v>56</v>
      </c>
      <c r="O461" s="2" t="s">
        <v>57</v>
      </c>
      <c r="P461" s="2" t="s">
        <v>3954</v>
      </c>
      <c r="Q461" s="2" t="s">
        <v>3955</v>
      </c>
      <c r="R461" s="2" t="s">
        <v>3985</v>
      </c>
      <c r="S461" s="2" t="s">
        <v>3986</v>
      </c>
      <c r="V461" s="2" t="s">
        <v>3987</v>
      </c>
      <c r="W461" s="2" t="s">
        <v>3988</v>
      </c>
      <c r="Y461" s="2" t="s">
        <v>64</v>
      </c>
      <c r="Z461" s="2" t="s">
        <v>65</v>
      </c>
      <c r="AA461" s="2" t="s">
        <v>66</v>
      </c>
      <c r="AC461" s="2" t="s">
        <v>67</v>
      </c>
      <c r="AD461" s="2" t="s">
        <v>68</v>
      </c>
      <c r="AE461" s="2" t="s">
        <v>69</v>
      </c>
      <c r="AF461" s="2" t="s">
        <v>70</v>
      </c>
      <c r="AG461" s="2" t="s">
        <v>3954</v>
      </c>
      <c r="AK461" s="2" t="s">
        <v>3989</v>
      </c>
      <c r="AM461" s="2" t="s">
        <v>72</v>
      </c>
      <c r="AN461" s="2" t="s">
        <v>473</v>
      </c>
      <c r="AP461" s="2" t="s">
        <v>3886</v>
      </c>
      <c r="AU461" s="2" t="s">
        <v>75</v>
      </c>
      <c r="AW461" s="2" t="s">
        <v>3990</v>
      </c>
      <c r="AZ461" s="2" t="s">
        <v>116</v>
      </c>
    </row>
    <row r="462" spans="1:52" s="3" customFormat="1" x14ac:dyDescent="0.35">
      <c r="A462" s="2" t="s">
        <v>3991</v>
      </c>
      <c r="B462" s="4">
        <v>247166</v>
      </c>
      <c r="C462" s="2" t="s">
        <v>3992</v>
      </c>
      <c r="D462" s="2">
        <f t="shared" si="7"/>
        <v>4</v>
      </c>
      <c r="F462" s="2" t="s">
        <v>3918</v>
      </c>
      <c r="G462" s="2" t="s">
        <v>53</v>
      </c>
      <c r="H462" s="4">
        <v>1</v>
      </c>
      <c r="I462" s="4">
        <v>1</v>
      </c>
      <c r="J462" s="4">
        <v>0</v>
      </c>
      <c r="L462" s="4">
        <v>0</v>
      </c>
      <c r="M462" s="2" t="s">
        <v>55</v>
      </c>
      <c r="N462" s="2" t="s">
        <v>56</v>
      </c>
      <c r="O462" s="2" t="s">
        <v>57</v>
      </c>
      <c r="P462" s="2" t="s">
        <v>460</v>
      </c>
      <c r="Q462" s="2" t="s">
        <v>461</v>
      </c>
      <c r="R462" s="2" t="s">
        <v>3993</v>
      </c>
      <c r="S462" s="2" t="s">
        <v>3994</v>
      </c>
      <c r="V462" s="2" t="s">
        <v>3995</v>
      </c>
      <c r="W462" s="2" t="s">
        <v>3996</v>
      </c>
      <c r="Y462" s="2" t="s">
        <v>64</v>
      </c>
      <c r="Z462" s="2" t="s">
        <v>3302</v>
      </c>
      <c r="AA462" s="2" t="s">
        <v>66</v>
      </c>
      <c r="AC462" s="2" t="s">
        <v>67</v>
      </c>
      <c r="AD462" s="2" t="s">
        <v>68</v>
      </c>
      <c r="AE462" s="2" t="s">
        <v>69</v>
      </c>
      <c r="AF462" s="2" t="s">
        <v>70</v>
      </c>
      <c r="AG462" s="2" t="s">
        <v>460</v>
      </c>
      <c r="AK462" s="2" t="s">
        <v>3997</v>
      </c>
      <c r="AM462" s="2" t="s">
        <v>72</v>
      </c>
      <c r="AN462" s="2" t="s">
        <v>595</v>
      </c>
      <c r="AP462" s="2" t="s">
        <v>474</v>
      </c>
      <c r="AU462" s="2" t="s">
        <v>75</v>
      </c>
      <c r="AW462" s="2" t="s">
        <v>3998</v>
      </c>
      <c r="AZ462" s="2" t="s">
        <v>116</v>
      </c>
    </row>
    <row r="463" spans="1:52" s="3" customFormat="1" x14ac:dyDescent="0.35">
      <c r="A463" s="2" t="s">
        <v>3999</v>
      </c>
      <c r="B463" s="4">
        <v>247052</v>
      </c>
      <c r="C463" s="2" t="s">
        <v>4000</v>
      </c>
      <c r="D463" s="2">
        <f t="shared" si="7"/>
        <v>4</v>
      </c>
      <c r="F463" s="2" t="s">
        <v>4001</v>
      </c>
      <c r="G463" s="2" t="s">
        <v>53</v>
      </c>
      <c r="H463" s="4">
        <v>1</v>
      </c>
      <c r="I463" s="4">
        <v>1</v>
      </c>
      <c r="J463" s="4">
        <v>0</v>
      </c>
      <c r="L463" s="4">
        <v>0</v>
      </c>
      <c r="M463" s="2" t="s">
        <v>55</v>
      </c>
      <c r="N463" s="2" t="s">
        <v>56</v>
      </c>
      <c r="O463" s="2" t="s">
        <v>57</v>
      </c>
      <c r="P463" s="2" t="s">
        <v>3498</v>
      </c>
      <c r="Q463" s="2" t="s">
        <v>3499</v>
      </c>
      <c r="R463" s="2" t="s">
        <v>4002</v>
      </c>
      <c r="S463" s="2" t="s">
        <v>4003</v>
      </c>
      <c r="V463" s="2" t="s">
        <v>4004</v>
      </c>
      <c r="W463" s="2" t="s">
        <v>4005</v>
      </c>
      <c r="Y463" s="2" t="s">
        <v>64</v>
      </c>
      <c r="Z463" s="2" t="s">
        <v>65</v>
      </c>
      <c r="AA463" s="2" t="s">
        <v>66</v>
      </c>
      <c r="AC463" s="2" t="s">
        <v>67</v>
      </c>
      <c r="AD463" s="2" t="s">
        <v>68</v>
      </c>
      <c r="AE463" s="2" t="s">
        <v>69</v>
      </c>
      <c r="AF463" s="2" t="s">
        <v>70</v>
      </c>
      <c r="AG463" s="2" t="s">
        <v>3498</v>
      </c>
      <c r="AK463" s="2" t="s">
        <v>4006</v>
      </c>
      <c r="AM463" s="2" t="s">
        <v>72</v>
      </c>
      <c r="AN463" s="2" t="s">
        <v>283</v>
      </c>
      <c r="AP463" s="2" t="s">
        <v>3464</v>
      </c>
      <c r="AT463" s="2" t="s">
        <v>114</v>
      </c>
      <c r="AU463" s="2" t="s">
        <v>75</v>
      </c>
      <c r="AW463" s="2" t="s">
        <v>4007</v>
      </c>
      <c r="AZ463" s="2" t="s">
        <v>116</v>
      </c>
    </row>
    <row r="464" spans="1:52" s="3" customFormat="1" x14ac:dyDescent="0.35">
      <c r="A464" s="2" t="s">
        <v>4008</v>
      </c>
      <c r="B464" s="4">
        <v>247048</v>
      </c>
      <c r="C464" s="2" t="s">
        <v>4009</v>
      </c>
      <c r="D464" s="2">
        <f t="shared" si="7"/>
        <v>4</v>
      </c>
      <c r="F464" s="2" t="s">
        <v>4001</v>
      </c>
      <c r="G464" s="2" t="s">
        <v>53</v>
      </c>
      <c r="H464" s="4">
        <v>1</v>
      </c>
      <c r="I464" s="4">
        <v>12</v>
      </c>
      <c r="J464" s="5">
        <v>2700</v>
      </c>
      <c r="K464" s="2" t="s">
        <v>80</v>
      </c>
      <c r="L464" s="5">
        <v>2700</v>
      </c>
      <c r="M464" s="2" t="s">
        <v>4010</v>
      </c>
      <c r="N464" s="2" t="s">
        <v>82</v>
      </c>
      <c r="O464" s="2" t="s">
        <v>83</v>
      </c>
      <c r="P464" s="2" t="s">
        <v>4011</v>
      </c>
      <c r="Q464" s="2" t="s">
        <v>4012</v>
      </c>
      <c r="R464" s="2" t="s">
        <v>2330</v>
      </c>
      <c r="S464" s="2" t="s">
        <v>2331</v>
      </c>
      <c r="V464" s="2" t="s">
        <v>4013</v>
      </c>
      <c r="W464" s="2" t="s">
        <v>4014</v>
      </c>
      <c r="Y464" s="2" t="s">
        <v>4015</v>
      </c>
      <c r="Z464" s="2" t="s">
        <v>4016</v>
      </c>
      <c r="AA464" s="2" t="s">
        <v>4017</v>
      </c>
      <c r="AC464" s="2" t="s">
        <v>4018</v>
      </c>
      <c r="AD464" s="2" t="s">
        <v>1853</v>
      </c>
      <c r="AE464" s="2" t="s">
        <v>69</v>
      </c>
      <c r="AF464" s="2" t="s">
        <v>70</v>
      </c>
      <c r="AK464" s="2" t="s">
        <v>4019</v>
      </c>
      <c r="AL464" s="2" t="s">
        <v>4020</v>
      </c>
      <c r="AM464" s="2" t="s">
        <v>72</v>
      </c>
      <c r="AN464" s="2" t="s">
        <v>344</v>
      </c>
      <c r="AP464" s="2" t="s">
        <v>3918</v>
      </c>
      <c r="AU464" s="2" t="s">
        <v>75</v>
      </c>
      <c r="AV464" s="2" t="s">
        <v>1763</v>
      </c>
      <c r="AW464" s="2" t="s">
        <v>2335</v>
      </c>
      <c r="AZ464" s="2" t="s">
        <v>77</v>
      </c>
    </row>
    <row r="465" spans="1:52" s="3" customFormat="1" x14ac:dyDescent="0.35">
      <c r="A465" s="2" t="s">
        <v>4021</v>
      </c>
      <c r="B465" s="4">
        <v>247047</v>
      </c>
      <c r="C465" s="2" t="s">
        <v>4022</v>
      </c>
      <c r="D465" s="2">
        <f t="shared" si="7"/>
        <v>4</v>
      </c>
      <c r="F465" s="2" t="s">
        <v>4001</v>
      </c>
      <c r="G465" s="2" t="s">
        <v>53</v>
      </c>
      <c r="H465" s="4">
        <v>1</v>
      </c>
      <c r="I465" s="4">
        <v>1</v>
      </c>
      <c r="J465" s="4">
        <v>0</v>
      </c>
      <c r="L465" s="4">
        <v>0</v>
      </c>
      <c r="M465" s="2" t="s">
        <v>55</v>
      </c>
      <c r="N465" s="2" t="s">
        <v>56</v>
      </c>
      <c r="O465" s="2" t="s">
        <v>57</v>
      </c>
      <c r="P465" s="2" t="s">
        <v>3498</v>
      </c>
      <c r="Q465" s="2" t="s">
        <v>3499</v>
      </c>
      <c r="R465" s="2" t="s">
        <v>4023</v>
      </c>
      <c r="S465" s="2" t="s">
        <v>4024</v>
      </c>
      <c r="V465" s="2" t="s">
        <v>4025</v>
      </c>
      <c r="W465" s="2" t="s">
        <v>4026</v>
      </c>
      <c r="Y465" s="2" t="s">
        <v>64</v>
      </c>
      <c r="Z465" s="2" t="s">
        <v>65</v>
      </c>
      <c r="AA465" s="2" t="s">
        <v>66</v>
      </c>
      <c r="AC465" s="2" t="s">
        <v>67</v>
      </c>
      <c r="AD465" s="2" t="s">
        <v>68</v>
      </c>
      <c r="AE465" s="2" t="s">
        <v>69</v>
      </c>
      <c r="AF465" s="2" t="s">
        <v>70</v>
      </c>
      <c r="AG465" s="2" t="s">
        <v>3498</v>
      </c>
      <c r="AK465" s="2" t="s">
        <v>4027</v>
      </c>
      <c r="AM465" s="2" t="s">
        <v>72</v>
      </c>
      <c r="AN465" s="2" t="s">
        <v>344</v>
      </c>
      <c r="AP465" s="2" t="s">
        <v>3464</v>
      </c>
      <c r="AT465" s="2" t="s">
        <v>114</v>
      </c>
      <c r="AU465" s="2" t="s">
        <v>75</v>
      </c>
      <c r="AV465" s="2" t="s">
        <v>4028</v>
      </c>
      <c r="AW465" s="2" t="s">
        <v>4029</v>
      </c>
      <c r="AZ465" s="2" t="s">
        <v>116</v>
      </c>
    </row>
    <row r="466" spans="1:52" s="3" customFormat="1" x14ac:dyDescent="0.35">
      <c r="A466" s="2" t="s">
        <v>4030</v>
      </c>
      <c r="B466" s="4">
        <v>247046</v>
      </c>
      <c r="C466" s="2" t="s">
        <v>4031</v>
      </c>
      <c r="D466" s="2">
        <f t="shared" si="7"/>
        <v>4</v>
      </c>
      <c r="F466" s="2" t="s">
        <v>4001</v>
      </c>
      <c r="G466" s="2" t="s">
        <v>53</v>
      </c>
      <c r="H466" s="4">
        <v>1</v>
      </c>
      <c r="I466" s="4">
        <v>1</v>
      </c>
      <c r="J466" s="4">
        <v>0</v>
      </c>
      <c r="L466" s="4">
        <v>0</v>
      </c>
      <c r="M466" s="2" t="s">
        <v>55</v>
      </c>
      <c r="N466" s="2" t="s">
        <v>56</v>
      </c>
      <c r="O466" s="2" t="s">
        <v>57</v>
      </c>
      <c r="P466" s="2" t="s">
        <v>3498</v>
      </c>
      <c r="Q466" s="2" t="s">
        <v>3499</v>
      </c>
      <c r="R466" s="2" t="s">
        <v>4032</v>
      </c>
      <c r="S466" s="2" t="s">
        <v>4033</v>
      </c>
      <c r="V466" s="2" t="s">
        <v>4034</v>
      </c>
      <c r="W466" s="2" t="s">
        <v>4035</v>
      </c>
      <c r="Y466" s="2" t="s">
        <v>64</v>
      </c>
      <c r="Z466" s="2" t="s">
        <v>65</v>
      </c>
      <c r="AA466" s="2" t="s">
        <v>66</v>
      </c>
      <c r="AC466" s="2" t="s">
        <v>67</v>
      </c>
      <c r="AD466" s="2" t="s">
        <v>68</v>
      </c>
      <c r="AE466" s="2" t="s">
        <v>69</v>
      </c>
      <c r="AF466" s="2" t="s">
        <v>70</v>
      </c>
      <c r="AG466" s="2" t="s">
        <v>3498</v>
      </c>
      <c r="AK466" s="2" t="s">
        <v>4036</v>
      </c>
      <c r="AM466" s="2" t="s">
        <v>72</v>
      </c>
      <c r="AN466" s="2" t="s">
        <v>249</v>
      </c>
      <c r="AP466" s="2" t="s">
        <v>3464</v>
      </c>
      <c r="AT466" s="2" t="s">
        <v>114</v>
      </c>
      <c r="AU466" s="2" t="s">
        <v>75</v>
      </c>
      <c r="AW466" s="2" t="s">
        <v>4037</v>
      </c>
      <c r="AZ466" s="2" t="s">
        <v>116</v>
      </c>
    </row>
    <row r="467" spans="1:52" s="3" customFormat="1" x14ac:dyDescent="0.35">
      <c r="A467" s="2" t="s">
        <v>4038</v>
      </c>
      <c r="B467" s="4">
        <v>247045</v>
      </c>
      <c r="C467" s="2" t="s">
        <v>4039</v>
      </c>
      <c r="D467" s="2">
        <f t="shared" si="7"/>
        <v>4</v>
      </c>
      <c r="F467" s="2" t="s">
        <v>4001</v>
      </c>
      <c r="G467" s="2" t="s">
        <v>53</v>
      </c>
      <c r="H467" s="4">
        <v>1</v>
      </c>
      <c r="I467" s="4">
        <v>1</v>
      </c>
      <c r="J467" s="4">
        <v>0</v>
      </c>
      <c r="L467" s="4">
        <v>0</v>
      </c>
      <c r="M467" s="2" t="s">
        <v>55</v>
      </c>
      <c r="N467" s="2" t="s">
        <v>56</v>
      </c>
      <c r="O467" s="2" t="s">
        <v>57</v>
      </c>
      <c r="P467" s="2" t="s">
        <v>3498</v>
      </c>
      <c r="Q467" s="2" t="s">
        <v>3499</v>
      </c>
      <c r="R467" s="2" t="s">
        <v>4040</v>
      </c>
      <c r="S467" s="2" t="s">
        <v>948</v>
      </c>
      <c r="V467" s="2" t="s">
        <v>949</v>
      </c>
      <c r="W467" s="2" t="s">
        <v>950</v>
      </c>
      <c r="Y467" s="2" t="s">
        <v>64</v>
      </c>
      <c r="Z467" s="2" t="s">
        <v>65</v>
      </c>
      <c r="AA467" s="2" t="s">
        <v>66</v>
      </c>
      <c r="AC467" s="2" t="s">
        <v>67</v>
      </c>
      <c r="AD467" s="2" t="s">
        <v>68</v>
      </c>
      <c r="AE467" s="2" t="s">
        <v>69</v>
      </c>
      <c r="AF467" s="2" t="s">
        <v>70</v>
      </c>
      <c r="AG467" s="2" t="s">
        <v>3498</v>
      </c>
      <c r="AK467" s="2" t="s">
        <v>4041</v>
      </c>
      <c r="AM467" s="2" t="s">
        <v>72</v>
      </c>
      <c r="AN467" s="2" t="s">
        <v>403</v>
      </c>
      <c r="AP467" s="2" t="s">
        <v>3464</v>
      </c>
      <c r="AT467" s="2" t="s">
        <v>114</v>
      </c>
      <c r="AU467" s="2" t="s">
        <v>75</v>
      </c>
      <c r="AW467" s="2" t="s">
        <v>952</v>
      </c>
      <c r="AZ467" s="2" t="s">
        <v>116</v>
      </c>
    </row>
    <row r="468" spans="1:52" s="3" customFormat="1" x14ac:dyDescent="0.35">
      <c r="A468" s="2" t="s">
        <v>4042</v>
      </c>
      <c r="B468" s="4">
        <v>247044</v>
      </c>
      <c r="C468" s="2" t="s">
        <v>4043</v>
      </c>
      <c r="D468" s="2">
        <f t="shared" si="7"/>
        <v>4</v>
      </c>
      <c r="F468" s="2" t="s">
        <v>4001</v>
      </c>
      <c r="G468" s="2" t="s">
        <v>53</v>
      </c>
      <c r="H468" s="4">
        <v>1</v>
      </c>
      <c r="I468" s="4">
        <v>1</v>
      </c>
      <c r="J468" s="4">
        <v>0</v>
      </c>
      <c r="L468" s="4">
        <v>0</v>
      </c>
      <c r="M468" s="2" t="s">
        <v>55</v>
      </c>
      <c r="N468" s="2" t="s">
        <v>56</v>
      </c>
      <c r="O468" s="2" t="s">
        <v>57</v>
      </c>
      <c r="P468" s="2" t="s">
        <v>3498</v>
      </c>
      <c r="Q468" s="2" t="s">
        <v>3499</v>
      </c>
      <c r="R468" s="2" t="s">
        <v>1025</v>
      </c>
      <c r="S468" s="2" t="s">
        <v>1026</v>
      </c>
      <c r="V468" s="2" t="s">
        <v>1027</v>
      </c>
      <c r="W468" s="2" t="s">
        <v>1028</v>
      </c>
      <c r="Y468" s="2" t="s">
        <v>64</v>
      </c>
      <c r="Z468" s="2" t="s">
        <v>3302</v>
      </c>
      <c r="AA468" s="2" t="s">
        <v>66</v>
      </c>
      <c r="AC468" s="2" t="s">
        <v>67</v>
      </c>
      <c r="AD468" s="2" t="s">
        <v>68</v>
      </c>
      <c r="AE468" s="2" t="s">
        <v>69</v>
      </c>
      <c r="AF468" s="2" t="s">
        <v>70</v>
      </c>
      <c r="AG468" s="2" t="s">
        <v>3498</v>
      </c>
      <c r="AK468" s="2" t="s">
        <v>4044</v>
      </c>
      <c r="AM468" s="2" t="s">
        <v>72</v>
      </c>
      <c r="AN468" s="2" t="s">
        <v>403</v>
      </c>
      <c r="AP468" s="2" t="s">
        <v>3464</v>
      </c>
      <c r="AT468" s="2" t="s">
        <v>114</v>
      </c>
      <c r="AU468" s="2" t="s">
        <v>75</v>
      </c>
      <c r="AW468" s="2" t="s">
        <v>1030</v>
      </c>
      <c r="AZ468" s="2" t="s">
        <v>116</v>
      </c>
    </row>
    <row r="469" spans="1:52" s="3" customFormat="1" x14ac:dyDescent="0.35">
      <c r="A469" s="2" t="s">
        <v>4045</v>
      </c>
      <c r="B469" s="4">
        <v>247041</v>
      </c>
      <c r="C469" s="2" t="s">
        <v>4046</v>
      </c>
      <c r="D469" s="2">
        <f t="shared" si="7"/>
        <v>4</v>
      </c>
      <c r="F469" s="2" t="s">
        <v>3918</v>
      </c>
      <c r="G469" s="2" t="s">
        <v>53</v>
      </c>
      <c r="H469" s="4">
        <v>1</v>
      </c>
      <c r="I469" s="4">
        <v>1</v>
      </c>
      <c r="J469" s="5">
        <v>20000</v>
      </c>
      <c r="K469" s="2" t="s">
        <v>1252</v>
      </c>
      <c r="L469" s="5">
        <v>18770</v>
      </c>
      <c r="M469" s="2" t="s">
        <v>55</v>
      </c>
      <c r="N469" s="2" t="s">
        <v>1253</v>
      </c>
      <c r="O469" s="2" t="s">
        <v>1254</v>
      </c>
      <c r="P469" s="2" t="s">
        <v>3498</v>
      </c>
      <c r="Q469" s="2" t="s">
        <v>3499</v>
      </c>
      <c r="R469" s="2" t="s">
        <v>4047</v>
      </c>
      <c r="T469" s="2" t="s">
        <v>4048</v>
      </c>
      <c r="U469" s="2" t="s">
        <v>4049</v>
      </c>
      <c r="V469" s="2" t="s">
        <v>4050</v>
      </c>
      <c r="W469" s="2" t="s">
        <v>4051</v>
      </c>
      <c r="X469" s="2" t="s">
        <v>4052</v>
      </c>
      <c r="Y469" s="2" t="s">
        <v>4053</v>
      </c>
      <c r="Z469" s="2" t="s">
        <v>4054</v>
      </c>
      <c r="AA469" s="2" t="s">
        <v>4055</v>
      </c>
      <c r="AB469" s="2" t="s">
        <v>4056</v>
      </c>
      <c r="AC469" s="2" t="s">
        <v>4057</v>
      </c>
      <c r="AD469" s="2" t="s">
        <v>4058</v>
      </c>
      <c r="AE469" s="2" t="s">
        <v>69</v>
      </c>
      <c r="AF469" s="2" t="s">
        <v>70</v>
      </c>
      <c r="AG469" s="2" t="s">
        <v>4059</v>
      </c>
      <c r="AK469" s="2" t="s">
        <v>4060</v>
      </c>
      <c r="AM469" s="2" t="s">
        <v>72</v>
      </c>
      <c r="AN469" s="2" t="s">
        <v>283</v>
      </c>
      <c r="AP469" s="2" t="s">
        <v>3464</v>
      </c>
      <c r="AT469" s="2" t="s">
        <v>114</v>
      </c>
      <c r="AU469" s="2" t="s">
        <v>75</v>
      </c>
      <c r="AV469" s="2" t="s">
        <v>4061</v>
      </c>
      <c r="AW469" s="2" t="s">
        <v>4062</v>
      </c>
      <c r="AX469" s="2" t="s">
        <v>77</v>
      </c>
      <c r="AZ469" s="2" t="s">
        <v>77</v>
      </c>
    </row>
    <row r="470" spans="1:52" s="3" customFormat="1" x14ac:dyDescent="0.35">
      <c r="A470" s="2" t="s">
        <v>4063</v>
      </c>
      <c r="B470" s="4">
        <v>246960</v>
      </c>
      <c r="C470" s="2" t="s">
        <v>4064</v>
      </c>
      <c r="D470" s="2">
        <f t="shared" si="7"/>
        <v>4</v>
      </c>
      <c r="G470" s="2" t="s">
        <v>53</v>
      </c>
      <c r="H470" s="4">
        <v>1</v>
      </c>
      <c r="I470" s="4">
        <v>1</v>
      </c>
      <c r="J470" s="4">
        <v>0</v>
      </c>
      <c r="L470" s="4">
        <v>0</v>
      </c>
      <c r="M470" s="2" t="s">
        <v>55</v>
      </c>
      <c r="N470" s="2" t="s">
        <v>56</v>
      </c>
      <c r="O470" s="2" t="s">
        <v>57</v>
      </c>
      <c r="P470" s="2" t="s">
        <v>4011</v>
      </c>
      <c r="Q470" s="2" t="s">
        <v>4012</v>
      </c>
      <c r="R470" s="2" t="s">
        <v>4065</v>
      </c>
      <c r="S470" s="2" t="s">
        <v>4066</v>
      </c>
      <c r="V470" s="2" t="s">
        <v>4067</v>
      </c>
      <c r="W470" s="2" t="s">
        <v>4068</v>
      </c>
      <c r="Y470" s="2" t="s">
        <v>64</v>
      </c>
      <c r="Z470" s="2" t="s">
        <v>65</v>
      </c>
      <c r="AA470" s="2" t="s">
        <v>66</v>
      </c>
      <c r="AC470" s="2" t="s">
        <v>67</v>
      </c>
      <c r="AD470" s="2" t="s">
        <v>68</v>
      </c>
      <c r="AE470" s="2" t="s">
        <v>69</v>
      </c>
      <c r="AF470" s="2" t="s">
        <v>70</v>
      </c>
      <c r="AG470" s="2" t="s">
        <v>4011</v>
      </c>
      <c r="AK470" s="2" t="s">
        <v>4069</v>
      </c>
      <c r="AM470" s="2" t="s">
        <v>72</v>
      </c>
      <c r="AN470" s="2" t="s">
        <v>249</v>
      </c>
      <c r="AP470" s="2" t="s">
        <v>3918</v>
      </c>
      <c r="AU470" s="2" t="s">
        <v>75</v>
      </c>
      <c r="AW470" s="2" t="s">
        <v>4070</v>
      </c>
      <c r="AZ470" s="2" t="s">
        <v>116</v>
      </c>
    </row>
    <row r="471" spans="1:52" s="3" customFormat="1" x14ac:dyDescent="0.35">
      <c r="A471" s="2" t="s">
        <v>4071</v>
      </c>
      <c r="B471" s="4">
        <v>246959</v>
      </c>
      <c r="C471" s="2" t="s">
        <v>4072</v>
      </c>
      <c r="D471" s="2">
        <f t="shared" si="7"/>
        <v>4</v>
      </c>
      <c r="G471" s="2" t="s">
        <v>53</v>
      </c>
      <c r="H471" s="4">
        <v>1</v>
      </c>
      <c r="I471" s="4">
        <v>1</v>
      </c>
      <c r="J471" s="4">
        <v>0</v>
      </c>
      <c r="L471" s="4">
        <v>0</v>
      </c>
      <c r="M471" s="2" t="s">
        <v>55</v>
      </c>
      <c r="N471" s="2" t="s">
        <v>56</v>
      </c>
      <c r="O471" s="2" t="s">
        <v>57</v>
      </c>
      <c r="P471" s="2" t="s">
        <v>4011</v>
      </c>
      <c r="Q471" s="2" t="s">
        <v>4012</v>
      </c>
      <c r="R471" s="2" t="s">
        <v>4073</v>
      </c>
      <c r="S471" s="2" t="s">
        <v>4074</v>
      </c>
      <c r="V471" s="2" t="s">
        <v>4075</v>
      </c>
      <c r="W471" s="2" t="s">
        <v>4076</v>
      </c>
      <c r="Y471" s="2" t="s">
        <v>64</v>
      </c>
      <c r="Z471" s="2" t="s">
        <v>65</v>
      </c>
      <c r="AA471" s="2" t="s">
        <v>66</v>
      </c>
      <c r="AC471" s="2" t="s">
        <v>67</v>
      </c>
      <c r="AD471" s="2" t="s">
        <v>68</v>
      </c>
      <c r="AE471" s="2" t="s">
        <v>69</v>
      </c>
      <c r="AF471" s="2" t="s">
        <v>70</v>
      </c>
      <c r="AG471" s="2" t="s">
        <v>4011</v>
      </c>
      <c r="AK471" s="2" t="s">
        <v>4077</v>
      </c>
      <c r="AM471" s="2" t="s">
        <v>72</v>
      </c>
      <c r="AN471" s="2" t="s">
        <v>249</v>
      </c>
      <c r="AP471" s="2" t="s">
        <v>3918</v>
      </c>
      <c r="AU471" s="2" t="s">
        <v>75</v>
      </c>
      <c r="AV471" s="2" t="s">
        <v>4078</v>
      </c>
      <c r="AW471" s="2" t="s">
        <v>4079</v>
      </c>
      <c r="AZ471" s="2" t="s">
        <v>116</v>
      </c>
    </row>
    <row r="472" spans="1:52" s="3" customFormat="1" x14ac:dyDescent="0.35">
      <c r="A472" s="2" t="s">
        <v>4080</v>
      </c>
      <c r="B472" s="4">
        <v>246958</v>
      </c>
      <c r="C472" s="2" t="s">
        <v>4081</v>
      </c>
      <c r="D472" s="2">
        <f t="shared" si="7"/>
        <v>4</v>
      </c>
      <c r="F472" s="2" t="s">
        <v>4082</v>
      </c>
      <c r="G472" s="2" t="s">
        <v>53</v>
      </c>
      <c r="H472" s="4">
        <v>1</v>
      </c>
      <c r="I472" s="4">
        <v>1</v>
      </c>
      <c r="J472" s="4">
        <v>0</v>
      </c>
      <c r="L472" s="4">
        <v>0</v>
      </c>
      <c r="M472" s="2" t="s">
        <v>55</v>
      </c>
      <c r="N472" s="2" t="s">
        <v>56</v>
      </c>
      <c r="O472" s="2" t="s">
        <v>57</v>
      </c>
      <c r="P472" s="2" t="s">
        <v>3498</v>
      </c>
      <c r="Q472" s="2" t="s">
        <v>3499</v>
      </c>
      <c r="R472" s="2" t="s">
        <v>4083</v>
      </c>
      <c r="S472" s="2" t="s">
        <v>4084</v>
      </c>
      <c r="V472" s="2" t="s">
        <v>4085</v>
      </c>
      <c r="W472" s="2" t="s">
        <v>4086</v>
      </c>
      <c r="Y472" s="2" t="s">
        <v>64</v>
      </c>
      <c r="Z472" s="2" t="s">
        <v>65</v>
      </c>
      <c r="AA472" s="2" t="s">
        <v>66</v>
      </c>
      <c r="AC472" s="2" t="s">
        <v>67</v>
      </c>
      <c r="AD472" s="2" t="s">
        <v>68</v>
      </c>
      <c r="AE472" s="2" t="s">
        <v>69</v>
      </c>
      <c r="AF472" s="2" t="s">
        <v>70</v>
      </c>
      <c r="AG472" s="2" t="s">
        <v>3498</v>
      </c>
      <c r="AK472" s="2" t="s">
        <v>4087</v>
      </c>
      <c r="AM472" s="2" t="s">
        <v>72</v>
      </c>
      <c r="AN472" s="2" t="s">
        <v>283</v>
      </c>
      <c r="AP472" s="2" t="s">
        <v>3464</v>
      </c>
      <c r="AT472" s="2" t="s">
        <v>114</v>
      </c>
      <c r="AU472" s="2" t="s">
        <v>75</v>
      </c>
      <c r="AW472" s="2" t="s">
        <v>4088</v>
      </c>
      <c r="AZ472" s="2" t="s">
        <v>116</v>
      </c>
    </row>
    <row r="473" spans="1:52" s="3" customFormat="1" x14ac:dyDescent="0.35">
      <c r="A473" s="2" t="s">
        <v>4089</v>
      </c>
      <c r="B473" s="4">
        <v>246957</v>
      </c>
      <c r="C473" s="2" t="s">
        <v>4090</v>
      </c>
      <c r="D473" s="2">
        <f t="shared" si="7"/>
        <v>4</v>
      </c>
      <c r="F473" s="2" t="s">
        <v>4082</v>
      </c>
      <c r="G473" s="2" t="s">
        <v>53</v>
      </c>
      <c r="H473" s="4">
        <v>1</v>
      </c>
      <c r="I473" s="4">
        <v>1</v>
      </c>
      <c r="J473" s="4">
        <v>0</v>
      </c>
      <c r="L473" s="4">
        <v>0</v>
      </c>
      <c r="M473" s="2" t="s">
        <v>55</v>
      </c>
      <c r="N473" s="2" t="s">
        <v>56</v>
      </c>
      <c r="O473" s="2" t="s">
        <v>57</v>
      </c>
      <c r="P473" s="2" t="s">
        <v>3498</v>
      </c>
      <c r="Q473" s="2" t="s">
        <v>3499</v>
      </c>
      <c r="R473" s="2" t="s">
        <v>4091</v>
      </c>
      <c r="S473" s="2" t="s">
        <v>4092</v>
      </c>
      <c r="V473" s="2" t="s">
        <v>4093</v>
      </c>
      <c r="W473" s="2" t="s">
        <v>4094</v>
      </c>
      <c r="Y473" s="2" t="s">
        <v>64</v>
      </c>
      <c r="Z473" s="2" t="s">
        <v>65</v>
      </c>
      <c r="AA473" s="2" t="s">
        <v>66</v>
      </c>
      <c r="AC473" s="2" t="s">
        <v>67</v>
      </c>
      <c r="AD473" s="2" t="s">
        <v>68</v>
      </c>
      <c r="AE473" s="2" t="s">
        <v>69</v>
      </c>
      <c r="AF473" s="2" t="s">
        <v>70</v>
      </c>
      <c r="AG473" s="2" t="s">
        <v>3498</v>
      </c>
      <c r="AK473" s="2" t="s">
        <v>4095</v>
      </c>
      <c r="AM473" s="2" t="s">
        <v>72</v>
      </c>
      <c r="AN473" s="2" t="s">
        <v>283</v>
      </c>
      <c r="AP473" s="2" t="s">
        <v>3464</v>
      </c>
      <c r="AT473" s="2" t="s">
        <v>114</v>
      </c>
      <c r="AU473" s="2" t="s">
        <v>75</v>
      </c>
      <c r="AW473" s="2" t="s">
        <v>4096</v>
      </c>
      <c r="AZ473" s="2" t="s">
        <v>116</v>
      </c>
    </row>
    <row r="474" spans="1:52" s="3" customFormat="1" x14ac:dyDescent="0.35">
      <c r="A474" s="2" t="s">
        <v>4097</v>
      </c>
      <c r="B474" s="4">
        <v>246956</v>
      </c>
      <c r="C474" s="2" t="s">
        <v>4098</v>
      </c>
      <c r="D474" s="2">
        <f t="shared" si="7"/>
        <v>4</v>
      </c>
      <c r="F474" s="2" t="s">
        <v>4082</v>
      </c>
      <c r="G474" s="2" t="s">
        <v>53</v>
      </c>
      <c r="H474" s="4">
        <v>1</v>
      </c>
      <c r="I474" s="4">
        <v>1</v>
      </c>
      <c r="J474" s="4">
        <v>0</v>
      </c>
      <c r="L474" s="4">
        <v>0</v>
      </c>
      <c r="M474" s="2" t="s">
        <v>55</v>
      </c>
      <c r="N474" s="2" t="s">
        <v>56</v>
      </c>
      <c r="O474" s="2" t="s">
        <v>57</v>
      </c>
      <c r="P474" s="2" t="s">
        <v>3498</v>
      </c>
      <c r="Q474" s="2" t="s">
        <v>3499</v>
      </c>
      <c r="R474" s="2" t="s">
        <v>4099</v>
      </c>
      <c r="S474" s="2" t="s">
        <v>4100</v>
      </c>
      <c r="V474" s="2" t="s">
        <v>4101</v>
      </c>
      <c r="W474" s="2" t="s">
        <v>4102</v>
      </c>
      <c r="Y474" s="2" t="s">
        <v>64</v>
      </c>
      <c r="Z474" s="2" t="s">
        <v>65</v>
      </c>
      <c r="AA474" s="2" t="s">
        <v>66</v>
      </c>
      <c r="AC474" s="2" t="s">
        <v>67</v>
      </c>
      <c r="AD474" s="2" t="s">
        <v>68</v>
      </c>
      <c r="AE474" s="2" t="s">
        <v>69</v>
      </c>
      <c r="AF474" s="2" t="s">
        <v>70</v>
      </c>
      <c r="AG474" s="2" t="s">
        <v>4103</v>
      </c>
      <c r="AK474" s="2" t="s">
        <v>4104</v>
      </c>
      <c r="AM474" s="2" t="s">
        <v>72</v>
      </c>
      <c r="AN474" s="2" t="s">
        <v>249</v>
      </c>
      <c r="AP474" s="2" t="s">
        <v>3464</v>
      </c>
      <c r="AT474" s="2" t="s">
        <v>114</v>
      </c>
      <c r="AU474" s="2" t="s">
        <v>75</v>
      </c>
      <c r="AW474" s="2" t="s">
        <v>4105</v>
      </c>
      <c r="AZ474" s="2" t="s">
        <v>116</v>
      </c>
    </row>
    <row r="475" spans="1:52" s="3" customFormat="1" x14ac:dyDescent="0.35">
      <c r="A475" s="2" t="s">
        <v>4106</v>
      </c>
      <c r="B475" s="4">
        <v>246954</v>
      </c>
      <c r="C475" s="2" t="s">
        <v>4107</v>
      </c>
      <c r="D475" s="2">
        <f t="shared" si="7"/>
        <v>4</v>
      </c>
      <c r="F475" s="2" t="s">
        <v>4082</v>
      </c>
      <c r="G475" s="2" t="s">
        <v>53</v>
      </c>
      <c r="H475" s="4">
        <v>1</v>
      </c>
      <c r="I475" s="4">
        <v>1</v>
      </c>
      <c r="J475" s="4">
        <v>0</v>
      </c>
      <c r="L475" s="4">
        <v>0</v>
      </c>
      <c r="M475" s="2" t="s">
        <v>55</v>
      </c>
      <c r="N475" s="2" t="s">
        <v>56</v>
      </c>
      <c r="O475" s="2" t="s">
        <v>57</v>
      </c>
      <c r="P475" s="2" t="s">
        <v>3498</v>
      </c>
      <c r="Q475" s="2" t="s">
        <v>3499</v>
      </c>
      <c r="R475" s="2" t="s">
        <v>4108</v>
      </c>
      <c r="S475" s="2" t="s">
        <v>4109</v>
      </c>
      <c r="V475" s="2" t="s">
        <v>4110</v>
      </c>
      <c r="W475" s="2" t="s">
        <v>4111</v>
      </c>
      <c r="Y475" s="2" t="s">
        <v>64</v>
      </c>
      <c r="Z475" s="2" t="s">
        <v>65</v>
      </c>
      <c r="AA475" s="2" t="s">
        <v>66</v>
      </c>
      <c r="AC475" s="2" t="s">
        <v>67</v>
      </c>
      <c r="AD475" s="2" t="s">
        <v>68</v>
      </c>
      <c r="AE475" s="2" t="s">
        <v>69</v>
      </c>
      <c r="AF475" s="2" t="s">
        <v>70</v>
      </c>
      <c r="AG475" s="2" t="s">
        <v>3498</v>
      </c>
      <c r="AK475" s="2" t="s">
        <v>4112</v>
      </c>
      <c r="AM475" s="2" t="s">
        <v>72</v>
      </c>
      <c r="AN475" s="2" t="s">
        <v>73</v>
      </c>
      <c r="AP475" s="2" t="s">
        <v>3464</v>
      </c>
      <c r="AT475" s="2" t="s">
        <v>114</v>
      </c>
      <c r="AU475" s="2" t="s">
        <v>75</v>
      </c>
      <c r="AW475" s="2" t="s">
        <v>4113</v>
      </c>
      <c r="AZ475" s="2" t="s">
        <v>116</v>
      </c>
    </row>
    <row r="476" spans="1:52" s="3" customFormat="1" x14ac:dyDescent="0.35">
      <c r="A476" s="2" t="s">
        <v>4114</v>
      </c>
      <c r="B476" s="4">
        <v>246952</v>
      </c>
      <c r="C476" s="2" t="s">
        <v>4115</v>
      </c>
      <c r="D476" s="2">
        <f t="shared" si="7"/>
        <v>4</v>
      </c>
      <c r="F476" s="2" t="s">
        <v>4082</v>
      </c>
      <c r="G476" s="2" t="s">
        <v>53</v>
      </c>
      <c r="H476" s="4">
        <v>1</v>
      </c>
      <c r="I476" s="4">
        <v>1</v>
      </c>
      <c r="J476" s="4">
        <v>0</v>
      </c>
      <c r="L476" s="4">
        <v>0</v>
      </c>
      <c r="M476" s="2" t="s">
        <v>55</v>
      </c>
      <c r="N476" s="2" t="s">
        <v>56</v>
      </c>
      <c r="O476" s="2" t="s">
        <v>57</v>
      </c>
      <c r="P476" s="2" t="s">
        <v>3498</v>
      </c>
      <c r="Q476" s="2" t="s">
        <v>3499</v>
      </c>
      <c r="R476" s="2" t="s">
        <v>4116</v>
      </c>
      <c r="S476" s="2" t="s">
        <v>4117</v>
      </c>
      <c r="V476" s="2" t="s">
        <v>4118</v>
      </c>
      <c r="W476" s="2" t="s">
        <v>4119</v>
      </c>
      <c r="Y476" s="2" t="s">
        <v>64</v>
      </c>
      <c r="Z476" s="2" t="s">
        <v>65</v>
      </c>
      <c r="AA476" s="2" t="s">
        <v>66</v>
      </c>
      <c r="AC476" s="2" t="s">
        <v>67</v>
      </c>
      <c r="AD476" s="2" t="s">
        <v>68</v>
      </c>
      <c r="AE476" s="2" t="s">
        <v>69</v>
      </c>
      <c r="AF476" s="2" t="s">
        <v>70</v>
      </c>
      <c r="AG476" s="2" t="s">
        <v>3498</v>
      </c>
      <c r="AK476" s="2" t="s">
        <v>4120</v>
      </c>
      <c r="AM476" s="2" t="s">
        <v>72</v>
      </c>
      <c r="AN476" s="2" t="s">
        <v>232</v>
      </c>
      <c r="AP476" s="2" t="s">
        <v>3464</v>
      </c>
      <c r="AT476" s="2" t="s">
        <v>114</v>
      </c>
      <c r="AU476" s="2" t="s">
        <v>75</v>
      </c>
      <c r="AV476" s="2" t="s">
        <v>4121</v>
      </c>
      <c r="AW476" s="2" t="s">
        <v>4122</v>
      </c>
      <c r="AZ476" s="2" t="s">
        <v>116</v>
      </c>
    </row>
    <row r="477" spans="1:52" s="3" customFormat="1" x14ac:dyDescent="0.35">
      <c r="A477" s="2" t="s">
        <v>4123</v>
      </c>
      <c r="B477" s="4">
        <v>246951</v>
      </c>
      <c r="C477" s="2" t="s">
        <v>4124</v>
      </c>
      <c r="D477" s="2">
        <f t="shared" si="7"/>
        <v>4</v>
      </c>
      <c r="F477" s="2" t="s">
        <v>4082</v>
      </c>
      <c r="G477" s="2" t="s">
        <v>53</v>
      </c>
      <c r="H477" s="4">
        <v>1</v>
      </c>
      <c r="I477" s="4">
        <v>1</v>
      </c>
      <c r="J477" s="4">
        <v>0</v>
      </c>
      <c r="L477" s="4">
        <v>0</v>
      </c>
      <c r="M477" s="2" t="s">
        <v>55</v>
      </c>
      <c r="N477" s="2" t="s">
        <v>56</v>
      </c>
      <c r="O477" s="2" t="s">
        <v>57</v>
      </c>
      <c r="P477" s="2" t="s">
        <v>3498</v>
      </c>
      <c r="Q477" s="2" t="s">
        <v>3499</v>
      </c>
      <c r="R477" s="2" t="s">
        <v>4125</v>
      </c>
      <c r="S477" s="2" t="s">
        <v>4126</v>
      </c>
      <c r="V477" s="2" t="s">
        <v>4127</v>
      </c>
      <c r="W477" s="2" t="s">
        <v>4128</v>
      </c>
      <c r="Y477" s="2" t="s">
        <v>64</v>
      </c>
      <c r="Z477" s="2" t="s">
        <v>65</v>
      </c>
      <c r="AA477" s="2" t="s">
        <v>66</v>
      </c>
      <c r="AC477" s="2" t="s">
        <v>67</v>
      </c>
      <c r="AD477" s="2" t="s">
        <v>68</v>
      </c>
      <c r="AE477" s="2" t="s">
        <v>69</v>
      </c>
      <c r="AF477" s="2" t="s">
        <v>70</v>
      </c>
      <c r="AG477" s="2" t="s">
        <v>3498</v>
      </c>
      <c r="AK477" s="2" t="s">
        <v>4129</v>
      </c>
      <c r="AM477" s="2" t="s">
        <v>72</v>
      </c>
      <c r="AN477" s="2" t="s">
        <v>73</v>
      </c>
      <c r="AP477" s="2" t="s">
        <v>3464</v>
      </c>
      <c r="AT477" s="2" t="s">
        <v>114</v>
      </c>
      <c r="AU477" s="2" t="s">
        <v>75</v>
      </c>
      <c r="AW477" s="2" t="s">
        <v>4130</v>
      </c>
      <c r="AZ477" s="2" t="s">
        <v>116</v>
      </c>
    </row>
    <row r="478" spans="1:52" s="3" customFormat="1" x14ac:dyDescent="0.35">
      <c r="A478" s="2" t="s">
        <v>4131</v>
      </c>
      <c r="B478" s="4">
        <v>246949</v>
      </c>
      <c r="C478" s="2" t="s">
        <v>4132</v>
      </c>
      <c r="D478" s="2">
        <f t="shared" si="7"/>
        <v>4</v>
      </c>
      <c r="F478" s="2" t="s">
        <v>4082</v>
      </c>
      <c r="G478" s="2" t="s">
        <v>53</v>
      </c>
      <c r="H478" s="4">
        <v>1</v>
      </c>
      <c r="I478" s="4">
        <v>1</v>
      </c>
      <c r="J478" s="4">
        <v>0</v>
      </c>
      <c r="L478" s="4">
        <v>0</v>
      </c>
      <c r="M478" s="2" t="s">
        <v>55</v>
      </c>
      <c r="N478" s="2" t="s">
        <v>56</v>
      </c>
      <c r="O478" s="2" t="s">
        <v>57</v>
      </c>
      <c r="P478" s="2" t="s">
        <v>3498</v>
      </c>
      <c r="Q478" s="2" t="s">
        <v>3499</v>
      </c>
      <c r="R478" s="2" t="s">
        <v>4133</v>
      </c>
      <c r="S478" s="2" t="s">
        <v>4134</v>
      </c>
      <c r="V478" s="2" t="s">
        <v>4135</v>
      </c>
      <c r="W478" s="2" t="s">
        <v>4136</v>
      </c>
      <c r="Y478" s="2" t="s">
        <v>64</v>
      </c>
      <c r="Z478" s="2" t="s">
        <v>65</v>
      </c>
      <c r="AA478" s="2" t="s">
        <v>66</v>
      </c>
      <c r="AC478" s="2" t="s">
        <v>67</v>
      </c>
      <c r="AD478" s="2" t="s">
        <v>68</v>
      </c>
      <c r="AE478" s="2" t="s">
        <v>69</v>
      </c>
      <c r="AF478" s="2" t="s">
        <v>70</v>
      </c>
      <c r="AG478" s="2" t="s">
        <v>3498</v>
      </c>
      <c r="AK478" s="2" t="s">
        <v>4137</v>
      </c>
      <c r="AM478" s="2" t="s">
        <v>72</v>
      </c>
      <c r="AN478" s="2" t="s">
        <v>73</v>
      </c>
      <c r="AP478" s="2" t="s">
        <v>3464</v>
      </c>
      <c r="AT478" s="2" t="s">
        <v>114</v>
      </c>
      <c r="AU478" s="2" t="s">
        <v>75</v>
      </c>
      <c r="AW478" s="2" t="s">
        <v>4138</v>
      </c>
      <c r="AZ478" s="2" t="s">
        <v>116</v>
      </c>
    </row>
    <row r="479" spans="1:52" s="3" customFormat="1" x14ac:dyDescent="0.35">
      <c r="A479" s="2" t="s">
        <v>4139</v>
      </c>
      <c r="B479" s="4">
        <v>246948</v>
      </c>
      <c r="C479" s="2" t="s">
        <v>4140</v>
      </c>
      <c r="D479" s="2">
        <f t="shared" si="7"/>
        <v>4</v>
      </c>
      <c r="F479" s="2" t="s">
        <v>4082</v>
      </c>
      <c r="G479" s="2" t="s">
        <v>53</v>
      </c>
      <c r="H479" s="4">
        <v>1</v>
      </c>
      <c r="I479" s="4">
        <v>1</v>
      </c>
      <c r="J479" s="4">
        <v>0</v>
      </c>
      <c r="L479" s="4">
        <v>0</v>
      </c>
      <c r="M479" s="2" t="s">
        <v>55</v>
      </c>
      <c r="N479" s="2" t="s">
        <v>56</v>
      </c>
      <c r="O479" s="2" t="s">
        <v>57</v>
      </c>
      <c r="P479" s="2" t="s">
        <v>3498</v>
      </c>
      <c r="Q479" s="2" t="s">
        <v>3499</v>
      </c>
      <c r="R479" s="2" t="s">
        <v>4141</v>
      </c>
      <c r="S479" s="2" t="s">
        <v>4142</v>
      </c>
      <c r="V479" s="2" t="s">
        <v>4143</v>
      </c>
      <c r="W479" s="2" t="s">
        <v>4144</v>
      </c>
      <c r="Y479" s="2" t="s">
        <v>64</v>
      </c>
      <c r="Z479" s="2" t="s">
        <v>65</v>
      </c>
      <c r="AA479" s="2" t="s">
        <v>66</v>
      </c>
      <c r="AC479" s="2" t="s">
        <v>67</v>
      </c>
      <c r="AD479" s="2" t="s">
        <v>68</v>
      </c>
      <c r="AE479" s="2" t="s">
        <v>69</v>
      </c>
      <c r="AF479" s="2" t="s">
        <v>70</v>
      </c>
      <c r="AG479" s="2" t="s">
        <v>3498</v>
      </c>
      <c r="AK479" s="2" t="s">
        <v>4145</v>
      </c>
      <c r="AM479" s="2" t="s">
        <v>72</v>
      </c>
      <c r="AN479" s="2" t="s">
        <v>595</v>
      </c>
      <c r="AP479" s="2" t="s">
        <v>3464</v>
      </c>
      <c r="AT479" s="2" t="s">
        <v>114</v>
      </c>
      <c r="AU479" s="2" t="s">
        <v>75</v>
      </c>
      <c r="AW479" s="2" t="s">
        <v>4146</v>
      </c>
      <c r="AZ479" s="2" t="s">
        <v>116</v>
      </c>
    </row>
    <row r="480" spans="1:52" s="3" customFormat="1" x14ac:dyDescent="0.35">
      <c r="A480" s="2" t="s">
        <v>4147</v>
      </c>
      <c r="B480" s="4">
        <v>246947</v>
      </c>
      <c r="C480" s="2" t="s">
        <v>4148</v>
      </c>
      <c r="D480" s="2">
        <f t="shared" si="7"/>
        <v>4</v>
      </c>
      <c r="F480" s="2" t="s">
        <v>4082</v>
      </c>
      <c r="G480" s="2" t="s">
        <v>53</v>
      </c>
      <c r="H480" s="4">
        <v>1</v>
      </c>
      <c r="I480" s="4">
        <v>1</v>
      </c>
      <c r="J480" s="4">
        <v>0</v>
      </c>
      <c r="L480" s="4">
        <v>0</v>
      </c>
      <c r="M480" s="2" t="s">
        <v>55</v>
      </c>
      <c r="N480" s="2" t="s">
        <v>56</v>
      </c>
      <c r="O480" s="2" t="s">
        <v>57</v>
      </c>
      <c r="P480" s="2" t="s">
        <v>3498</v>
      </c>
      <c r="Q480" s="2" t="s">
        <v>3499</v>
      </c>
      <c r="R480" s="2" t="s">
        <v>4149</v>
      </c>
      <c r="S480" s="2" t="s">
        <v>4150</v>
      </c>
      <c r="V480" s="2" t="s">
        <v>4151</v>
      </c>
      <c r="W480" s="2" t="s">
        <v>4152</v>
      </c>
      <c r="Y480" s="2" t="s">
        <v>64</v>
      </c>
      <c r="Z480" s="2" t="s">
        <v>3302</v>
      </c>
      <c r="AA480" s="2" t="s">
        <v>66</v>
      </c>
      <c r="AC480" s="2" t="s">
        <v>67</v>
      </c>
      <c r="AD480" s="2" t="s">
        <v>68</v>
      </c>
      <c r="AE480" s="2" t="s">
        <v>69</v>
      </c>
      <c r="AF480" s="2" t="s">
        <v>70</v>
      </c>
      <c r="AG480" s="2" t="s">
        <v>3498</v>
      </c>
      <c r="AK480" s="2" t="s">
        <v>4153</v>
      </c>
      <c r="AM480" s="2" t="s">
        <v>72</v>
      </c>
      <c r="AN480" s="2" t="s">
        <v>595</v>
      </c>
      <c r="AP480" s="2" t="s">
        <v>3464</v>
      </c>
      <c r="AT480" s="2" t="s">
        <v>114</v>
      </c>
      <c r="AU480" s="2" t="s">
        <v>75</v>
      </c>
      <c r="AW480" s="2" t="s">
        <v>4154</v>
      </c>
      <c r="AZ480" s="2" t="s">
        <v>116</v>
      </c>
    </row>
    <row r="481" spans="1:52" s="3" customFormat="1" x14ac:dyDescent="0.35">
      <c r="A481" s="2" t="s">
        <v>4155</v>
      </c>
      <c r="B481" s="4">
        <v>246934</v>
      </c>
      <c r="C481" s="2" t="s">
        <v>4156</v>
      </c>
      <c r="D481" s="2">
        <f t="shared" si="7"/>
        <v>4</v>
      </c>
      <c r="F481" s="2" t="s">
        <v>4082</v>
      </c>
      <c r="G481" s="2" t="s">
        <v>53</v>
      </c>
      <c r="H481" s="4">
        <v>1</v>
      </c>
      <c r="I481" s="4">
        <v>12</v>
      </c>
      <c r="J481" s="5">
        <v>2100</v>
      </c>
      <c r="K481" s="2" t="s">
        <v>80</v>
      </c>
      <c r="L481" s="5">
        <v>2100</v>
      </c>
      <c r="M481" s="2" t="s">
        <v>4157</v>
      </c>
      <c r="N481" s="2" t="s">
        <v>82</v>
      </c>
      <c r="O481" s="2" t="s">
        <v>484</v>
      </c>
      <c r="P481" s="2" t="s">
        <v>3743</v>
      </c>
      <c r="Q481" s="2" t="s">
        <v>3744</v>
      </c>
      <c r="R481" s="2" t="s">
        <v>4158</v>
      </c>
      <c r="S481" s="2" t="s">
        <v>4159</v>
      </c>
      <c r="V481" s="2" t="s">
        <v>4160</v>
      </c>
      <c r="W481" s="2" t="s">
        <v>4161</v>
      </c>
      <c r="Y481" s="2" t="s">
        <v>4162</v>
      </c>
      <c r="Z481" s="2" t="s">
        <v>4163</v>
      </c>
      <c r="AA481" s="2" t="s">
        <v>2282</v>
      </c>
      <c r="AB481" s="2" t="s">
        <v>4164</v>
      </c>
      <c r="AC481" s="2" t="s">
        <v>4165</v>
      </c>
      <c r="AD481" s="2" t="s">
        <v>68</v>
      </c>
      <c r="AE481" s="2" t="s">
        <v>69</v>
      </c>
      <c r="AF481" s="2" t="s">
        <v>70</v>
      </c>
      <c r="AK481" s="2" t="s">
        <v>4166</v>
      </c>
      <c r="AL481" s="2" t="s">
        <v>4167</v>
      </c>
      <c r="AM481" s="2" t="s">
        <v>72</v>
      </c>
      <c r="AN481" s="2" t="s">
        <v>473</v>
      </c>
      <c r="AP481" s="2" t="s">
        <v>3758</v>
      </c>
      <c r="AT481" s="2" t="s">
        <v>114</v>
      </c>
      <c r="AU481" s="2" t="s">
        <v>75</v>
      </c>
      <c r="AV481" s="2" t="s">
        <v>4082</v>
      </c>
      <c r="AW481" s="2" t="s">
        <v>4168</v>
      </c>
      <c r="AZ481" s="2" t="s">
        <v>77</v>
      </c>
    </row>
    <row r="482" spans="1:52" s="3" customFormat="1" x14ac:dyDescent="0.35">
      <c r="A482" s="2" t="s">
        <v>4169</v>
      </c>
      <c r="B482" s="4">
        <v>246826</v>
      </c>
      <c r="C482" s="2" t="s">
        <v>4170</v>
      </c>
      <c r="D482" s="2">
        <f t="shared" si="7"/>
        <v>4</v>
      </c>
      <c r="F482" s="2" t="s">
        <v>4082</v>
      </c>
      <c r="G482" s="2" t="s">
        <v>53</v>
      </c>
      <c r="H482" s="4">
        <v>6</v>
      </c>
      <c r="I482" s="4">
        <v>1</v>
      </c>
      <c r="J482" s="5">
        <v>108129</v>
      </c>
      <c r="L482" s="5">
        <v>101479.07</v>
      </c>
      <c r="M482" s="2" t="s">
        <v>55</v>
      </c>
      <c r="N482" s="2" t="s">
        <v>458</v>
      </c>
      <c r="O482" s="2" t="s">
        <v>459</v>
      </c>
      <c r="P482" s="2" t="s">
        <v>4171</v>
      </c>
      <c r="Q482" s="2" t="s">
        <v>4172</v>
      </c>
      <c r="R482" s="2" t="s">
        <v>1034</v>
      </c>
      <c r="T482" s="2" t="s">
        <v>1035</v>
      </c>
      <c r="U482" s="2" t="s">
        <v>1036</v>
      </c>
      <c r="V482" s="2" t="s">
        <v>1037</v>
      </c>
      <c r="W482" s="2" t="s">
        <v>2419</v>
      </c>
      <c r="X482" s="2" t="s">
        <v>2420</v>
      </c>
      <c r="Y482" s="2" t="s">
        <v>1040</v>
      </c>
      <c r="Z482" s="2" t="s">
        <v>1041</v>
      </c>
      <c r="AA482" s="2" t="s">
        <v>1042</v>
      </c>
      <c r="AB482" s="2" t="s">
        <v>1043</v>
      </c>
      <c r="AC482" s="2" t="s">
        <v>1044</v>
      </c>
      <c r="AD482" s="2" t="s">
        <v>68</v>
      </c>
      <c r="AE482" s="2" t="s">
        <v>69</v>
      </c>
      <c r="AF482" s="2" t="s">
        <v>70</v>
      </c>
      <c r="AG482" s="2" t="s">
        <v>4173</v>
      </c>
      <c r="AK482" s="2" t="s">
        <v>4174</v>
      </c>
      <c r="AM482" s="2" t="s">
        <v>72</v>
      </c>
      <c r="AN482" s="2" t="s">
        <v>1046</v>
      </c>
      <c r="AP482" s="2" t="s">
        <v>74</v>
      </c>
      <c r="AU482" s="2" t="s">
        <v>75</v>
      </c>
      <c r="AV482" s="2" t="s">
        <v>1047</v>
      </c>
      <c r="AW482" s="2" t="s">
        <v>1048</v>
      </c>
      <c r="AX482" s="2" t="s">
        <v>477</v>
      </c>
      <c r="AZ482" s="2" t="s">
        <v>478</v>
      </c>
    </row>
    <row r="483" spans="1:52" s="3" customFormat="1" x14ac:dyDescent="0.35">
      <c r="A483" s="2" t="s">
        <v>4175</v>
      </c>
      <c r="B483" s="4">
        <v>246723</v>
      </c>
      <c r="C483" s="2" t="s">
        <v>4176</v>
      </c>
      <c r="D483" s="2">
        <f t="shared" si="7"/>
        <v>4</v>
      </c>
      <c r="F483" s="2" t="s">
        <v>4177</v>
      </c>
      <c r="G483" s="2" t="s">
        <v>53</v>
      </c>
      <c r="H483" s="4">
        <v>1</v>
      </c>
      <c r="I483" s="4">
        <v>1</v>
      </c>
      <c r="J483" s="4">
        <v>0</v>
      </c>
      <c r="L483" s="4">
        <v>0</v>
      </c>
      <c r="M483" s="2" t="s">
        <v>55</v>
      </c>
      <c r="N483" s="2" t="s">
        <v>56</v>
      </c>
      <c r="O483" s="2" t="s">
        <v>57</v>
      </c>
      <c r="P483" s="2" t="s">
        <v>3954</v>
      </c>
      <c r="Q483" s="2" t="s">
        <v>3955</v>
      </c>
      <c r="R483" s="2" t="s">
        <v>4178</v>
      </c>
      <c r="S483" s="2" t="s">
        <v>4179</v>
      </c>
      <c r="V483" s="2" t="s">
        <v>4180</v>
      </c>
      <c r="W483" s="2" t="s">
        <v>4181</v>
      </c>
      <c r="Y483" s="2" t="s">
        <v>64</v>
      </c>
      <c r="Z483" s="2" t="s">
        <v>65</v>
      </c>
      <c r="AA483" s="2" t="s">
        <v>66</v>
      </c>
      <c r="AC483" s="2" t="s">
        <v>67</v>
      </c>
      <c r="AD483" s="2" t="s">
        <v>68</v>
      </c>
      <c r="AE483" s="2" t="s">
        <v>69</v>
      </c>
      <c r="AF483" s="2" t="s">
        <v>70</v>
      </c>
      <c r="AG483" s="2" t="s">
        <v>3954</v>
      </c>
      <c r="AK483" s="2" t="s">
        <v>4182</v>
      </c>
      <c r="AM483" s="2" t="s">
        <v>72</v>
      </c>
      <c r="AN483" s="2" t="s">
        <v>232</v>
      </c>
      <c r="AP483" s="2" t="s">
        <v>3886</v>
      </c>
      <c r="AU483" s="2" t="s">
        <v>75</v>
      </c>
      <c r="AW483" s="2" t="s">
        <v>4183</v>
      </c>
      <c r="AZ483" s="2" t="s">
        <v>116</v>
      </c>
    </row>
    <row r="484" spans="1:52" s="3" customFormat="1" x14ac:dyDescent="0.35">
      <c r="A484" s="2" t="s">
        <v>4184</v>
      </c>
      <c r="B484" s="4">
        <v>246722</v>
      </c>
      <c r="C484" s="2" t="s">
        <v>4185</v>
      </c>
      <c r="D484" s="2">
        <f t="shared" si="7"/>
        <v>4</v>
      </c>
      <c r="F484" s="2" t="s">
        <v>4177</v>
      </c>
      <c r="G484" s="2" t="s">
        <v>53</v>
      </c>
      <c r="H484" s="4">
        <v>1</v>
      </c>
      <c r="I484" s="4">
        <v>1</v>
      </c>
      <c r="J484" s="4">
        <v>0</v>
      </c>
      <c r="L484" s="4">
        <v>0</v>
      </c>
      <c r="M484" s="2" t="s">
        <v>55</v>
      </c>
      <c r="N484" s="2" t="s">
        <v>56</v>
      </c>
      <c r="O484" s="2" t="s">
        <v>57</v>
      </c>
      <c r="P484" s="2" t="s">
        <v>3498</v>
      </c>
      <c r="Q484" s="2" t="s">
        <v>3499</v>
      </c>
      <c r="R484" s="2" t="s">
        <v>4186</v>
      </c>
      <c r="S484" s="2" t="s">
        <v>4187</v>
      </c>
      <c r="V484" s="2" t="s">
        <v>4188</v>
      </c>
      <c r="W484" s="2" t="s">
        <v>4189</v>
      </c>
      <c r="Y484" s="2" t="s">
        <v>64</v>
      </c>
      <c r="Z484" s="2" t="s">
        <v>65</v>
      </c>
      <c r="AA484" s="2" t="s">
        <v>66</v>
      </c>
      <c r="AC484" s="2" t="s">
        <v>67</v>
      </c>
      <c r="AD484" s="2" t="s">
        <v>68</v>
      </c>
      <c r="AE484" s="2" t="s">
        <v>69</v>
      </c>
      <c r="AF484" s="2" t="s">
        <v>70</v>
      </c>
      <c r="AG484" s="2" t="s">
        <v>3498</v>
      </c>
      <c r="AK484" s="2" t="s">
        <v>4190</v>
      </c>
      <c r="AM484" s="2" t="s">
        <v>72</v>
      </c>
      <c r="AN484" s="2" t="s">
        <v>232</v>
      </c>
      <c r="AP484" s="2" t="s">
        <v>3464</v>
      </c>
      <c r="AT484" s="2" t="s">
        <v>114</v>
      </c>
      <c r="AU484" s="2" t="s">
        <v>75</v>
      </c>
      <c r="AW484" s="2" t="s">
        <v>4191</v>
      </c>
      <c r="AZ484" s="2" t="s">
        <v>116</v>
      </c>
    </row>
    <row r="485" spans="1:52" s="3" customFormat="1" x14ac:dyDescent="0.35">
      <c r="A485" s="2" t="s">
        <v>4192</v>
      </c>
      <c r="B485" s="4">
        <v>246720</v>
      </c>
      <c r="C485" s="2" t="s">
        <v>4193</v>
      </c>
      <c r="D485" s="2">
        <f t="shared" si="7"/>
        <v>4</v>
      </c>
      <c r="F485" s="2" t="s">
        <v>4177</v>
      </c>
      <c r="G485" s="2" t="s">
        <v>53</v>
      </c>
      <c r="H485" s="4">
        <v>1</v>
      </c>
      <c r="I485" s="4">
        <v>1</v>
      </c>
      <c r="J485" s="4">
        <v>0</v>
      </c>
      <c r="L485" s="4">
        <v>0</v>
      </c>
      <c r="M485" s="2" t="s">
        <v>55</v>
      </c>
      <c r="N485" s="2" t="s">
        <v>56</v>
      </c>
      <c r="O485" s="2" t="s">
        <v>57</v>
      </c>
      <c r="P485" s="2" t="s">
        <v>3498</v>
      </c>
      <c r="Q485" s="2" t="s">
        <v>3499</v>
      </c>
      <c r="R485" s="2" t="s">
        <v>4194</v>
      </c>
      <c r="S485" s="2" t="s">
        <v>4134</v>
      </c>
      <c r="V485" s="2" t="s">
        <v>4195</v>
      </c>
      <c r="W485" s="2" t="s">
        <v>4196</v>
      </c>
      <c r="Y485" s="2" t="s">
        <v>64</v>
      </c>
      <c r="Z485" s="2" t="s">
        <v>3302</v>
      </c>
      <c r="AA485" s="2" t="s">
        <v>66</v>
      </c>
      <c r="AC485" s="2" t="s">
        <v>67</v>
      </c>
      <c r="AD485" s="2" t="s">
        <v>68</v>
      </c>
      <c r="AE485" s="2" t="s">
        <v>69</v>
      </c>
      <c r="AF485" s="2" t="s">
        <v>70</v>
      </c>
      <c r="AG485" s="2" t="s">
        <v>3498</v>
      </c>
      <c r="AK485" s="2" t="s">
        <v>4197</v>
      </c>
      <c r="AM485" s="2" t="s">
        <v>72</v>
      </c>
      <c r="AN485" s="2" t="s">
        <v>73</v>
      </c>
      <c r="AP485" s="2" t="s">
        <v>3464</v>
      </c>
      <c r="AT485" s="2" t="s">
        <v>114</v>
      </c>
      <c r="AU485" s="2" t="s">
        <v>75</v>
      </c>
      <c r="AW485" s="2" t="s">
        <v>4138</v>
      </c>
      <c r="AZ485" s="2" t="s">
        <v>116</v>
      </c>
    </row>
    <row r="486" spans="1:52" s="3" customFormat="1" x14ac:dyDescent="0.35">
      <c r="A486" s="2" t="s">
        <v>4198</v>
      </c>
      <c r="B486" s="4">
        <v>246714</v>
      </c>
      <c r="C486" s="2" t="s">
        <v>4199</v>
      </c>
      <c r="D486" s="2">
        <f t="shared" si="7"/>
        <v>4</v>
      </c>
      <c r="F486" s="2" t="s">
        <v>4177</v>
      </c>
      <c r="G486" s="2" t="s">
        <v>53</v>
      </c>
      <c r="H486" s="4">
        <v>1</v>
      </c>
      <c r="I486" s="4">
        <v>1</v>
      </c>
      <c r="J486" s="4">
        <v>0</v>
      </c>
      <c r="L486" s="4">
        <v>0</v>
      </c>
      <c r="M486" s="2" t="s">
        <v>55</v>
      </c>
      <c r="N486" s="2" t="s">
        <v>56</v>
      </c>
      <c r="O486" s="2" t="s">
        <v>57</v>
      </c>
      <c r="P486" s="2" t="s">
        <v>3498</v>
      </c>
      <c r="Q486" s="2" t="s">
        <v>3499</v>
      </c>
      <c r="R486" s="2" t="s">
        <v>4200</v>
      </c>
      <c r="S486" s="2" t="s">
        <v>4201</v>
      </c>
      <c r="V486" s="2" t="s">
        <v>4202</v>
      </c>
      <c r="W486" s="2" t="s">
        <v>4203</v>
      </c>
      <c r="Y486" s="2" t="s">
        <v>64</v>
      </c>
      <c r="Z486" s="2" t="s">
        <v>65</v>
      </c>
      <c r="AA486" s="2" t="s">
        <v>66</v>
      </c>
      <c r="AC486" s="2" t="s">
        <v>67</v>
      </c>
      <c r="AD486" s="2" t="s">
        <v>68</v>
      </c>
      <c r="AE486" s="2" t="s">
        <v>69</v>
      </c>
      <c r="AF486" s="2" t="s">
        <v>70</v>
      </c>
      <c r="AG486" s="2" t="s">
        <v>3498</v>
      </c>
      <c r="AK486" s="2" t="s">
        <v>4204</v>
      </c>
      <c r="AM486" s="2" t="s">
        <v>72</v>
      </c>
      <c r="AN486" s="2" t="s">
        <v>73</v>
      </c>
      <c r="AP486" s="2" t="s">
        <v>3464</v>
      </c>
      <c r="AT486" s="2" t="s">
        <v>114</v>
      </c>
      <c r="AU486" s="2" t="s">
        <v>75</v>
      </c>
      <c r="AW486" s="2" t="s">
        <v>4205</v>
      </c>
      <c r="AZ486" s="2" t="s">
        <v>116</v>
      </c>
    </row>
    <row r="487" spans="1:52" s="3" customFormat="1" x14ac:dyDescent="0.35">
      <c r="A487" s="2" t="s">
        <v>4206</v>
      </c>
      <c r="B487" s="4">
        <v>246712</v>
      </c>
      <c r="C487" s="2" t="s">
        <v>4207</v>
      </c>
      <c r="D487" s="2">
        <f t="shared" si="7"/>
        <v>4</v>
      </c>
      <c r="F487" s="2" t="s">
        <v>4177</v>
      </c>
      <c r="G487" s="2" t="s">
        <v>53</v>
      </c>
      <c r="H487" s="4">
        <v>1</v>
      </c>
      <c r="I487" s="4">
        <v>1</v>
      </c>
      <c r="J487" s="4">
        <v>0</v>
      </c>
      <c r="L487" s="4">
        <v>0</v>
      </c>
      <c r="M487" s="2" t="s">
        <v>55</v>
      </c>
      <c r="N487" s="2" t="s">
        <v>56</v>
      </c>
      <c r="O487" s="2" t="s">
        <v>57</v>
      </c>
      <c r="P487" s="2" t="s">
        <v>3498</v>
      </c>
      <c r="Q487" s="2" t="s">
        <v>3499</v>
      </c>
      <c r="R487" s="2" t="s">
        <v>4208</v>
      </c>
      <c r="S487" s="2" t="s">
        <v>4209</v>
      </c>
      <c r="V487" s="2" t="s">
        <v>4210</v>
      </c>
      <c r="W487" s="2" t="s">
        <v>4211</v>
      </c>
      <c r="Y487" s="2" t="s">
        <v>64</v>
      </c>
      <c r="Z487" s="2" t="s">
        <v>65</v>
      </c>
      <c r="AA487" s="2" t="s">
        <v>66</v>
      </c>
      <c r="AC487" s="2" t="s">
        <v>67</v>
      </c>
      <c r="AD487" s="2" t="s">
        <v>68</v>
      </c>
      <c r="AE487" s="2" t="s">
        <v>69</v>
      </c>
      <c r="AF487" s="2" t="s">
        <v>70</v>
      </c>
      <c r="AG487" s="2" t="s">
        <v>3498</v>
      </c>
      <c r="AK487" s="2" t="s">
        <v>4212</v>
      </c>
      <c r="AM487" s="2" t="s">
        <v>72</v>
      </c>
      <c r="AN487" s="2" t="s">
        <v>73</v>
      </c>
      <c r="AP487" s="2" t="s">
        <v>3464</v>
      </c>
      <c r="AT487" s="2" t="s">
        <v>114</v>
      </c>
      <c r="AU487" s="2" t="s">
        <v>75</v>
      </c>
      <c r="AW487" s="2" t="s">
        <v>4213</v>
      </c>
      <c r="AZ487" s="2" t="s">
        <v>116</v>
      </c>
    </row>
    <row r="488" spans="1:52" s="3" customFormat="1" x14ac:dyDescent="0.35">
      <c r="A488" s="2" t="s">
        <v>4214</v>
      </c>
      <c r="B488" s="4">
        <v>246711</v>
      </c>
      <c r="C488" s="2" t="s">
        <v>4215</v>
      </c>
      <c r="D488" s="2">
        <f t="shared" si="7"/>
        <v>4</v>
      </c>
      <c r="F488" s="2" t="s">
        <v>4177</v>
      </c>
      <c r="G488" s="2" t="s">
        <v>53</v>
      </c>
      <c r="H488" s="4">
        <v>1</v>
      </c>
      <c r="I488" s="4">
        <v>1</v>
      </c>
      <c r="J488" s="4">
        <v>0</v>
      </c>
      <c r="L488" s="4">
        <v>0</v>
      </c>
      <c r="M488" s="2" t="s">
        <v>55</v>
      </c>
      <c r="N488" s="2" t="s">
        <v>56</v>
      </c>
      <c r="O488" s="2" t="s">
        <v>57</v>
      </c>
      <c r="P488" s="2" t="s">
        <v>3498</v>
      </c>
      <c r="Q488" s="2" t="s">
        <v>3499</v>
      </c>
      <c r="R488" s="2" t="s">
        <v>4216</v>
      </c>
      <c r="S488" s="2" t="s">
        <v>4217</v>
      </c>
      <c r="V488" s="2" t="s">
        <v>4218</v>
      </c>
      <c r="W488" s="2" t="s">
        <v>4219</v>
      </c>
      <c r="Y488" s="2" t="s">
        <v>64</v>
      </c>
      <c r="Z488" s="2" t="s">
        <v>65</v>
      </c>
      <c r="AA488" s="2" t="s">
        <v>66</v>
      </c>
      <c r="AC488" s="2" t="s">
        <v>67</v>
      </c>
      <c r="AD488" s="2" t="s">
        <v>68</v>
      </c>
      <c r="AE488" s="2" t="s">
        <v>69</v>
      </c>
      <c r="AF488" s="2" t="s">
        <v>70</v>
      </c>
      <c r="AG488" s="2" t="s">
        <v>3498</v>
      </c>
      <c r="AK488" s="2" t="s">
        <v>4220</v>
      </c>
      <c r="AM488" s="2" t="s">
        <v>72</v>
      </c>
      <c r="AN488" s="2" t="s">
        <v>73</v>
      </c>
      <c r="AP488" s="2" t="s">
        <v>3464</v>
      </c>
      <c r="AT488" s="2" t="s">
        <v>114</v>
      </c>
      <c r="AU488" s="2" t="s">
        <v>75</v>
      </c>
      <c r="AV488" s="2" t="s">
        <v>4221</v>
      </c>
      <c r="AW488" s="2" t="s">
        <v>4222</v>
      </c>
      <c r="AZ488" s="2" t="s">
        <v>116</v>
      </c>
    </row>
    <row r="489" spans="1:52" s="3" customFormat="1" x14ac:dyDescent="0.35">
      <c r="A489" s="2" t="s">
        <v>4223</v>
      </c>
      <c r="B489" s="4">
        <v>246704</v>
      </c>
      <c r="C489" s="2" t="s">
        <v>4224</v>
      </c>
      <c r="D489" s="2">
        <f t="shared" si="7"/>
        <v>4</v>
      </c>
      <c r="F489" s="2" t="s">
        <v>4177</v>
      </c>
      <c r="G489" s="2" t="s">
        <v>53</v>
      </c>
      <c r="H489" s="4">
        <v>1</v>
      </c>
      <c r="I489" s="4">
        <v>1</v>
      </c>
      <c r="J489" s="4">
        <v>0</v>
      </c>
      <c r="L489" s="4">
        <v>0</v>
      </c>
      <c r="M489" s="2" t="s">
        <v>55</v>
      </c>
      <c r="N489" s="2" t="s">
        <v>56</v>
      </c>
      <c r="O489" s="2" t="s">
        <v>57</v>
      </c>
      <c r="P489" s="2" t="s">
        <v>3498</v>
      </c>
      <c r="Q489" s="2" t="s">
        <v>3499</v>
      </c>
      <c r="R489" s="2" t="s">
        <v>4225</v>
      </c>
      <c r="S489" s="2" t="s">
        <v>4226</v>
      </c>
      <c r="V489" s="2" t="s">
        <v>4227</v>
      </c>
      <c r="W489" s="2" t="s">
        <v>4228</v>
      </c>
      <c r="Y489" s="2" t="s">
        <v>64</v>
      </c>
      <c r="Z489" s="2" t="s">
        <v>65</v>
      </c>
      <c r="AA489" s="2" t="s">
        <v>66</v>
      </c>
      <c r="AC489" s="2" t="s">
        <v>67</v>
      </c>
      <c r="AD489" s="2" t="s">
        <v>68</v>
      </c>
      <c r="AE489" s="2" t="s">
        <v>69</v>
      </c>
      <c r="AF489" s="2" t="s">
        <v>70</v>
      </c>
      <c r="AG489" s="2" t="s">
        <v>4229</v>
      </c>
      <c r="AK489" s="2" t="s">
        <v>4230</v>
      </c>
      <c r="AM489" s="2" t="s">
        <v>72</v>
      </c>
      <c r="AN489" s="2" t="s">
        <v>73</v>
      </c>
      <c r="AP489" s="2" t="s">
        <v>3464</v>
      </c>
      <c r="AT489" s="2" t="s">
        <v>114</v>
      </c>
      <c r="AU489" s="2" t="s">
        <v>75</v>
      </c>
      <c r="AW489" s="2" t="s">
        <v>4231</v>
      </c>
      <c r="AZ489" s="2" t="s">
        <v>116</v>
      </c>
    </row>
    <row r="490" spans="1:52" s="3" customFormat="1" x14ac:dyDescent="0.35">
      <c r="A490" s="2" t="s">
        <v>4232</v>
      </c>
      <c r="B490" s="4">
        <v>246703</v>
      </c>
      <c r="C490" s="2" t="s">
        <v>4233</v>
      </c>
      <c r="D490" s="2">
        <f t="shared" si="7"/>
        <v>4</v>
      </c>
      <c r="F490" s="2" t="s">
        <v>4177</v>
      </c>
      <c r="G490" s="2" t="s">
        <v>53</v>
      </c>
      <c r="H490" s="4">
        <v>1</v>
      </c>
      <c r="I490" s="4">
        <v>1</v>
      </c>
      <c r="J490" s="4">
        <v>0</v>
      </c>
      <c r="L490" s="4">
        <v>0</v>
      </c>
      <c r="M490" s="2" t="s">
        <v>55</v>
      </c>
      <c r="N490" s="2" t="s">
        <v>56</v>
      </c>
      <c r="O490" s="2" t="s">
        <v>57</v>
      </c>
      <c r="P490" s="2" t="s">
        <v>3498</v>
      </c>
      <c r="Q490" s="2" t="s">
        <v>3499</v>
      </c>
      <c r="R490" s="2" t="s">
        <v>4234</v>
      </c>
      <c r="S490" s="2" t="s">
        <v>4235</v>
      </c>
      <c r="V490" s="2" t="s">
        <v>4236</v>
      </c>
      <c r="W490" s="2" t="s">
        <v>4237</v>
      </c>
      <c r="Y490" s="2" t="s">
        <v>64</v>
      </c>
      <c r="Z490" s="2" t="s">
        <v>3302</v>
      </c>
      <c r="AA490" s="2" t="s">
        <v>66</v>
      </c>
      <c r="AC490" s="2" t="s">
        <v>67</v>
      </c>
      <c r="AD490" s="2" t="s">
        <v>68</v>
      </c>
      <c r="AE490" s="2" t="s">
        <v>69</v>
      </c>
      <c r="AF490" s="2" t="s">
        <v>70</v>
      </c>
      <c r="AG490" s="2" t="s">
        <v>3498</v>
      </c>
      <c r="AK490" s="2" t="s">
        <v>4238</v>
      </c>
      <c r="AM490" s="2" t="s">
        <v>72</v>
      </c>
      <c r="AN490" s="2" t="s">
        <v>73</v>
      </c>
      <c r="AP490" s="2" t="s">
        <v>3464</v>
      </c>
      <c r="AT490" s="2" t="s">
        <v>114</v>
      </c>
      <c r="AU490" s="2" t="s">
        <v>75</v>
      </c>
      <c r="AW490" s="2" t="s">
        <v>4239</v>
      </c>
      <c r="AZ490" s="2" t="s">
        <v>116</v>
      </c>
    </row>
    <row r="491" spans="1:52" s="3" customFormat="1" x14ac:dyDescent="0.35">
      <c r="A491" s="2" t="s">
        <v>4240</v>
      </c>
      <c r="B491" s="4">
        <v>246560</v>
      </c>
      <c r="C491" s="2" t="s">
        <v>4241</v>
      </c>
      <c r="D491" s="2">
        <f t="shared" si="7"/>
        <v>4</v>
      </c>
      <c r="F491" s="2" t="s">
        <v>4242</v>
      </c>
      <c r="G491" s="2" t="s">
        <v>53</v>
      </c>
      <c r="H491" s="4">
        <v>7</v>
      </c>
      <c r="I491" s="4">
        <v>1</v>
      </c>
      <c r="J491" s="5">
        <v>19950.009999999998</v>
      </c>
      <c r="L491" s="5">
        <v>18723.080000000002</v>
      </c>
      <c r="M491" s="2" t="s">
        <v>55</v>
      </c>
      <c r="N491" s="2" t="s">
        <v>458</v>
      </c>
      <c r="O491" s="2" t="s">
        <v>459</v>
      </c>
      <c r="P491" s="2" t="s">
        <v>58</v>
      </c>
      <c r="Q491" s="2" t="s">
        <v>59</v>
      </c>
      <c r="R491" s="2" t="s">
        <v>4243</v>
      </c>
      <c r="T491" s="2" t="s">
        <v>4244</v>
      </c>
      <c r="U491" s="2" t="s">
        <v>4245</v>
      </c>
      <c r="V491" s="2" t="s">
        <v>4246</v>
      </c>
      <c r="W491" s="2" t="s">
        <v>4247</v>
      </c>
      <c r="X491" s="2" t="s">
        <v>4248</v>
      </c>
      <c r="Y491" s="2" t="s">
        <v>4249</v>
      </c>
      <c r="Z491" s="2" t="s">
        <v>4250</v>
      </c>
      <c r="AA491" s="2" t="s">
        <v>4251</v>
      </c>
      <c r="AB491" s="2" t="s">
        <v>3519</v>
      </c>
      <c r="AC491" s="2" t="s">
        <v>4252</v>
      </c>
      <c r="AD491" s="2" t="s">
        <v>2886</v>
      </c>
      <c r="AE491" s="2" t="s">
        <v>2887</v>
      </c>
      <c r="AF491" s="2" t="s">
        <v>70</v>
      </c>
      <c r="AG491" s="2" t="s">
        <v>58</v>
      </c>
      <c r="AK491" s="2" t="s">
        <v>4253</v>
      </c>
      <c r="AM491" s="2" t="s">
        <v>72</v>
      </c>
      <c r="AN491" s="2" t="s">
        <v>344</v>
      </c>
      <c r="AP491" s="2" t="s">
        <v>74</v>
      </c>
      <c r="AU491" s="2" t="s">
        <v>75</v>
      </c>
      <c r="AV491" s="2" t="s">
        <v>4254</v>
      </c>
      <c r="AW491" s="2" t="s">
        <v>4255</v>
      </c>
      <c r="AX491" s="2" t="s">
        <v>77</v>
      </c>
      <c r="AZ491" s="2" t="s">
        <v>77</v>
      </c>
    </row>
    <row r="492" spans="1:52" s="3" customFormat="1" x14ac:dyDescent="0.35">
      <c r="A492" s="2" t="s">
        <v>4258</v>
      </c>
      <c r="B492" s="4">
        <v>246486</v>
      </c>
      <c r="C492" s="2" t="s">
        <v>4259</v>
      </c>
      <c r="D492" s="2">
        <f t="shared" si="7"/>
        <v>3</v>
      </c>
      <c r="F492" s="2" t="s">
        <v>4256</v>
      </c>
      <c r="G492" s="2" t="s">
        <v>53</v>
      </c>
      <c r="H492" s="4">
        <v>1</v>
      </c>
      <c r="I492" s="4">
        <v>1</v>
      </c>
      <c r="J492" s="5">
        <v>50000</v>
      </c>
      <c r="L492" s="5">
        <v>991056</v>
      </c>
      <c r="M492" s="2" t="s">
        <v>55</v>
      </c>
      <c r="N492" s="2" t="s">
        <v>458</v>
      </c>
      <c r="O492" s="2" t="s">
        <v>459</v>
      </c>
      <c r="P492" s="2" t="s">
        <v>4260</v>
      </c>
      <c r="Q492" s="2" t="s">
        <v>4261</v>
      </c>
      <c r="R492" s="2" t="s">
        <v>4262</v>
      </c>
      <c r="T492" s="2" t="s">
        <v>4263</v>
      </c>
      <c r="U492" s="2" t="s">
        <v>4264</v>
      </c>
      <c r="V492" s="2" t="s">
        <v>3921</v>
      </c>
      <c r="W492" s="2" t="s">
        <v>4265</v>
      </c>
      <c r="X492" s="2" t="s">
        <v>4266</v>
      </c>
      <c r="Y492" s="2" t="s">
        <v>4267</v>
      </c>
      <c r="Z492" s="2" t="s">
        <v>4268</v>
      </c>
      <c r="AA492" s="2" t="s">
        <v>3925</v>
      </c>
      <c r="AC492" s="2" t="s">
        <v>4269</v>
      </c>
      <c r="AD492" s="2" t="s">
        <v>2979</v>
      </c>
      <c r="AE492" s="2" t="s">
        <v>2980</v>
      </c>
      <c r="AF492" s="2" t="s">
        <v>70</v>
      </c>
      <c r="AG492" s="2" t="s">
        <v>4270</v>
      </c>
      <c r="AK492" s="2" t="s">
        <v>4271</v>
      </c>
      <c r="AM492" s="2" t="s">
        <v>72</v>
      </c>
      <c r="AN492" s="2" t="s">
        <v>232</v>
      </c>
      <c r="AP492" s="2" t="s">
        <v>74</v>
      </c>
      <c r="AT492" s="2" t="s">
        <v>4272</v>
      </c>
      <c r="AU492" s="2" t="s">
        <v>75</v>
      </c>
      <c r="AV492" s="2" t="s">
        <v>4273</v>
      </c>
      <c r="AW492" s="2" t="s">
        <v>4274</v>
      </c>
      <c r="AX492" s="2" t="s">
        <v>477</v>
      </c>
      <c r="AZ492" s="2" t="s">
        <v>478</v>
      </c>
    </row>
    <row r="493" spans="1:52" s="3" customFormat="1" x14ac:dyDescent="0.35">
      <c r="A493" s="2" t="s">
        <v>4258</v>
      </c>
      <c r="B493" s="4">
        <v>246486</v>
      </c>
      <c r="C493" s="2" t="s">
        <v>4259</v>
      </c>
      <c r="D493" s="2">
        <f t="shared" si="7"/>
        <v>3</v>
      </c>
      <c r="F493" s="2" t="s">
        <v>4256</v>
      </c>
      <c r="G493" s="2" t="s">
        <v>53</v>
      </c>
      <c r="H493" s="4">
        <v>1</v>
      </c>
      <c r="I493" s="4">
        <v>1</v>
      </c>
      <c r="J493" s="5">
        <v>50000</v>
      </c>
      <c r="L493" s="5">
        <v>991056</v>
      </c>
      <c r="M493" s="2" t="s">
        <v>55</v>
      </c>
      <c r="N493" s="2" t="s">
        <v>458</v>
      </c>
      <c r="O493" s="2" t="s">
        <v>459</v>
      </c>
      <c r="P493" s="2" t="s">
        <v>4275</v>
      </c>
      <c r="Q493" s="2" t="s">
        <v>4276</v>
      </c>
      <c r="R493" s="2" t="s">
        <v>4262</v>
      </c>
      <c r="T493" s="2" t="s">
        <v>4263</v>
      </c>
      <c r="U493" s="2" t="s">
        <v>4264</v>
      </c>
      <c r="V493" s="2" t="s">
        <v>3921</v>
      </c>
      <c r="W493" s="2" t="s">
        <v>4265</v>
      </c>
      <c r="X493" s="2" t="s">
        <v>4266</v>
      </c>
      <c r="Y493" s="2" t="s">
        <v>4267</v>
      </c>
      <c r="Z493" s="2" t="s">
        <v>4268</v>
      </c>
      <c r="AA493" s="2" t="s">
        <v>3925</v>
      </c>
      <c r="AC493" s="2" t="s">
        <v>4269</v>
      </c>
      <c r="AD493" s="2" t="s">
        <v>2979</v>
      </c>
      <c r="AE493" s="2" t="s">
        <v>2980</v>
      </c>
      <c r="AF493" s="2" t="s">
        <v>70</v>
      </c>
      <c r="AG493" s="2" t="s">
        <v>4270</v>
      </c>
      <c r="AK493" s="2" t="s">
        <v>4271</v>
      </c>
      <c r="AM493" s="2" t="s">
        <v>72</v>
      </c>
      <c r="AN493" s="2" t="s">
        <v>232</v>
      </c>
      <c r="AP493" s="2" t="s">
        <v>4277</v>
      </c>
      <c r="AT493" s="2" t="s">
        <v>4272</v>
      </c>
      <c r="AU493" s="2" t="s">
        <v>75</v>
      </c>
      <c r="AV493" s="2" t="s">
        <v>4273</v>
      </c>
      <c r="AW493" s="2" t="s">
        <v>4274</v>
      </c>
      <c r="AX493" s="2" t="s">
        <v>477</v>
      </c>
      <c r="AZ493" s="2" t="s">
        <v>478</v>
      </c>
    </row>
    <row r="494" spans="1:52" s="3" customFormat="1" x14ac:dyDescent="0.35">
      <c r="A494" s="2" t="s">
        <v>4258</v>
      </c>
      <c r="B494" s="4">
        <v>246486</v>
      </c>
      <c r="C494" s="2" t="s">
        <v>4259</v>
      </c>
      <c r="D494" s="2">
        <f t="shared" si="7"/>
        <v>3</v>
      </c>
      <c r="F494" s="2" t="s">
        <v>4256</v>
      </c>
      <c r="G494" s="2" t="s">
        <v>53</v>
      </c>
      <c r="H494" s="4">
        <v>1</v>
      </c>
      <c r="I494" s="4">
        <v>1</v>
      </c>
      <c r="J494" s="5">
        <v>50000</v>
      </c>
      <c r="L494" s="5">
        <v>991056</v>
      </c>
      <c r="M494" s="2" t="s">
        <v>55</v>
      </c>
      <c r="N494" s="2" t="s">
        <v>458</v>
      </c>
      <c r="O494" s="2" t="s">
        <v>459</v>
      </c>
      <c r="P494" s="2" t="s">
        <v>4278</v>
      </c>
      <c r="Q494" s="2" t="s">
        <v>4279</v>
      </c>
      <c r="R494" s="2" t="s">
        <v>4262</v>
      </c>
      <c r="T494" s="2" t="s">
        <v>4263</v>
      </c>
      <c r="U494" s="2" t="s">
        <v>4264</v>
      </c>
      <c r="V494" s="2" t="s">
        <v>3921</v>
      </c>
      <c r="W494" s="2" t="s">
        <v>4265</v>
      </c>
      <c r="X494" s="2" t="s">
        <v>4266</v>
      </c>
      <c r="Y494" s="2" t="s">
        <v>4267</v>
      </c>
      <c r="Z494" s="2" t="s">
        <v>4268</v>
      </c>
      <c r="AA494" s="2" t="s">
        <v>3925</v>
      </c>
      <c r="AC494" s="2" t="s">
        <v>4269</v>
      </c>
      <c r="AD494" s="2" t="s">
        <v>2979</v>
      </c>
      <c r="AE494" s="2" t="s">
        <v>2980</v>
      </c>
      <c r="AF494" s="2" t="s">
        <v>70</v>
      </c>
      <c r="AG494" s="2" t="s">
        <v>4270</v>
      </c>
      <c r="AK494" s="2" t="s">
        <v>4271</v>
      </c>
      <c r="AM494" s="2" t="s">
        <v>72</v>
      </c>
      <c r="AN494" s="2" t="s">
        <v>232</v>
      </c>
      <c r="AP494" s="2" t="s">
        <v>4280</v>
      </c>
      <c r="AT494" s="2" t="s">
        <v>4272</v>
      </c>
      <c r="AU494" s="2" t="s">
        <v>75</v>
      </c>
      <c r="AV494" s="2" t="s">
        <v>4273</v>
      </c>
      <c r="AW494" s="2" t="s">
        <v>4274</v>
      </c>
      <c r="AX494" s="2" t="s">
        <v>477</v>
      </c>
      <c r="AZ494" s="2" t="s">
        <v>478</v>
      </c>
    </row>
    <row r="495" spans="1:52" s="3" customFormat="1" x14ac:dyDescent="0.35">
      <c r="A495" s="2" t="s">
        <v>4258</v>
      </c>
      <c r="B495" s="4">
        <v>246486</v>
      </c>
      <c r="C495" s="2" t="s">
        <v>4259</v>
      </c>
      <c r="D495" s="2">
        <f t="shared" si="7"/>
        <v>3</v>
      </c>
      <c r="F495" s="2" t="s">
        <v>4256</v>
      </c>
      <c r="G495" s="2" t="s">
        <v>53</v>
      </c>
      <c r="H495" s="4">
        <v>1</v>
      </c>
      <c r="I495" s="4">
        <v>1</v>
      </c>
      <c r="J495" s="5">
        <v>50000</v>
      </c>
      <c r="L495" s="5">
        <v>991056</v>
      </c>
      <c r="M495" s="2" t="s">
        <v>55</v>
      </c>
      <c r="N495" s="2" t="s">
        <v>458</v>
      </c>
      <c r="O495" s="2" t="s">
        <v>459</v>
      </c>
      <c r="P495" s="2" t="s">
        <v>4281</v>
      </c>
      <c r="Q495" s="2" t="s">
        <v>4282</v>
      </c>
      <c r="R495" s="2" t="s">
        <v>4262</v>
      </c>
      <c r="T495" s="2" t="s">
        <v>4263</v>
      </c>
      <c r="U495" s="2" t="s">
        <v>4264</v>
      </c>
      <c r="V495" s="2" t="s">
        <v>3921</v>
      </c>
      <c r="W495" s="2" t="s">
        <v>4265</v>
      </c>
      <c r="X495" s="2" t="s">
        <v>4266</v>
      </c>
      <c r="Y495" s="2" t="s">
        <v>4267</v>
      </c>
      <c r="Z495" s="2" t="s">
        <v>4268</v>
      </c>
      <c r="AA495" s="2" t="s">
        <v>3925</v>
      </c>
      <c r="AC495" s="2" t="s">
        <v>4269</v>
      </c>
      <c r="AD495" s="2" t="s">
        <v>2979</v>
      </c>
      <c r="AE495" s="2" t="s">
        <v>2980</v>
      </c>
      <c r="AF495" s="2" t="s">
        <v>70</v>
      </c>
      <c r="AG495" s="2" t="s">
        <v>4270</v>
      </c>
      <c r="AK495" s="2" t="s">
        <v>4271</v>
      </c>
      <c r="AM495" s="2" t="s">
        <v>72</v>
      </c>
      <c r="AN495" s="2" t="s">
        <v>232</v>
      </c>
      <c r="AP495" s="2" t="s">
        <v>4283</v>
      </c>
      <c r="AT495" s="2" t="s">
        <v>4272</v>
      </c>
      <c r="AU495" s="2" t="s">
        <v>75</v>
      </c>
      <c r="AV495" s="2" t="s">
        <v>4273</v>
      </c>
      <c r="AW495" s="2" t="s">
        <v>4274</v>
      </c>
      <c r="AX495" s="2" t="s">
        <v>477</v>
      </c>
      <c r="AZ495" s="2" t="s">
        <v>478</v>
      </c>
    </row>
    <row r="496" spans="1:52" s="3" customFormat="1" x14ac:dyDescent="0.35">
      <c r="A496" s="2" t="s">
        <v>4258</v>
      </c>
      <c r="B496" s="4">
        <v>246486</v>
      </c>
      <c r="C496" s="2" t="s">
        <v>4259</v>
      </c>
      <c r="D496" s="2">
        <f t="shared" si="7"/>
        <v>3</v>
      </c>
      <c r="F496" s="2" t="s">
        <v>4256</v>
      </c>
      <c r="G496" s="2" t="s">
        <v>53</v>
      </c>
      <c r="H496" s="4">
        <v>1</v>
      </c>
      <c r="I496" s="4">
        <v>1</v>
      </c>
      <c r="J496" s="5">
        <v>50000</v>
      </c>
      <c r="L496" s="5">
        <v>991056</v>
      </c>
      <c r="M496" s="2" t="s">
        <v>55</v>
      </c>
      <c r="N496" s="2" t="s">
        <v>458</v>
      </c>
      <c r="O496" s="2" t="s">
        <v>459</v>
      </c>
      <c r="P496" s="2" t="s">
        <v>4284</v>
      </c>
      <c r="Q496" s="2" t="s">
        <v>4285</v>
      </c>
      <c r="R496" s="2" t="s">
        <v>4262</v>
      </c>
      <c r="T496" s="2" t="s">
        <v>4263</v>
      </c>
      <c r="U496" s="2" t="s">
        <v>4264</v>
      </c>
      <c r="V496" s="2" t="s">
        <v>3921</v>
      </c>
      <c r="W496" s="2" t="s">
        <v>4265</v>
      </c>
      <c r="X496" s="2" t="s">
        <v>4266</v>
      </c>
      <c r="Y496" s="2" t="s">
        <v>4267</v>
      </c>
      <c r="Z496" s="2" t="s">
        <v>4268</v>
      </c>
      <c r="AA496" s="2" t="s">
        <v>3925</v>
      </c>
      <c r="AC496" s="2" t="s">
        <v>4269</v>
      </c>
      <c r="AD496" s="2" t="s">
        <v>2979</v>
      </c>
      <c r="AE496" s="2" t="s">
        <v>2980</v>
      </c>
      <c r="AF496" s="2" t="s">
        <v>70</v>
      </c>
      <c r="AG496" s="2" t="s">
        <v>4270</v>
      </c>
      <c r="AK496" s="2" t="s">
        <v>4271</v>
      </c>
      <c r="AM496" s="2" t="s">
        <v>72</v>
      </c>
      <c r="AN496" s="2" t="s">
        <v>232</v>
      </c>
      <c r="AP496" s="2" t="s">
        <v>4286</v>
      </c>
      <c r="AT496" s="2" t="s">
        <v>4272</v>
      </c>
      <c r="AU496" s="2" t="s">
        <v>75</v>
      </c>
      <c r="AV496" s="2" t="s">
        <v>4273</v>
      </c>
      <c r="AW496" s="2" t="s">
        <v>4274</v>
      </c>
      <c r="AX496" s="2" t="s">
        <v>477</v>
      </c>
      <c r="AZ496" s="2" t="s">
        <v>478</v>
      </c>
    </row>
    <row r="497" spans="1:52" s="3" customFormat="1" x14ac:dyDescent="0.35">
      <c r="A497" s="2" t="s">
        <v>4258</v>
      </c>
      <c r="B497" s="4">
        <v>246486</v>
      </c>
      <c r="C497" s="2" t="s">
        <v>4259</v>
      </c>
      <c r="D497" s="2">
        <f t="shared" si="7"/>
        <v>3</v>
      </c>
      <c r="F497" s="2" t="s">
        <v>4256</v>
      </c>
      <c r="G497" s="2" t="s">
        <v>53</v>
      </c>
      <c r="H497" s="4">
        <v>1</v>
      </c>
      <c r="I497" s="4">
        <v>1</v>
      </c>
      <c r="J497" s="5">
        <v>50000</v>
      </c>
      <c r="L497" s="5">
        <v>991056</v>
      </c>
      <c r="M497" s="2" t="s">
        <v>55</v>
      </c>
      <c r="N497" s="2" t="s">
        <v>458</v>
      </c>
      <c r="O497" s="2" t="s">
        <v>459</v>
      </c>
      <c r="P497" s="2" t="s">
        <v>4287</v>
      </c>
      <c r="Q497" s="2" t="s">
        <v>4288</v>
      </c>
      <c r="R497" s="2" t="s">
        <v>4262</v>
      </c>
      <c r="T497" s="2" t="s">
        <v>4263</v>
      </c>
      <c r="U497" s="2" t="s">
        <v>4264</v>
      </c>
      <c r="V497" s="2" t="s">
        <v>3921</v>
      </c>
      <c r="W497" s="2" t="s">
        <v>4265</v>
      </c>
      <c r="X497" s="2" t="s">
        <v>4266</v>
      </c>
      <c r="Y497" s="2" t="s">
        <v>4267</v>
      </c>
      <c r="Z497" s="2" t="s">
        <v>4268</v>
      </c>
      <c r="AA497" s="2" t="s">
        <v>3925</v>
      </c>
      <c r="AC497" s="2" t="s">
        <v>4269</v>
      </c>
      <c r="AD497" s="2" t="s">
        <v>2979</v>
      </c>
      <c r="AE497" s="2" t="s">
        <v>2980</v>
      </c>
      <c r="AF497" s="2" t="s">
        <v>70</v>
      </c>
      <c r="AG497" s="2" t="s">
        <v>4270</v>
      </c>
      <c r="AK497" s="2" t="s">
        <v>4271</v>
      </c>
      <c r="AM497" s="2" t="s">
        <v>72</v>
      </c>
      <c r="AN497" s="2" t="s">
        <v>232</v>
      </c>
      <c r="AP497" s="2" t="s">
        <v>4289</v>
      </c>
      <c r="AT497" s="2" t="s">
        <v>4272</v>
      </c>
      <c r="AU497" s="2" t="s">
        <v>75</v>
      </c>
      <c r="AV497" s="2" t="s">
        <v>4273</v>
      </c>
      <c r="AW497" s="2" t="s">
        <v>4274</v>
      </c>
      <c r="AX497" s="2" t="s">
        <v>477</v>
      </c>
      <c r="AZ497" s="2" t="s">
        <v>478</v>
      </c>
    </row>
    <row r="498" spans="1:52" s="3" customFormat="1" x14ac:dyDescent="0.35">
      <c r="A498" s="2" t="s">
        <v>4258</v>
      </c>
      <c r="B498" s="4">
        <v>246486</v>
      </c>
      <c r="C498" s="2" t="s">
        <v>4259</v>
      </c>
      <c r="D498" s="2">
        <f t="shared" si="7"/>
        <v>3</v>
      </c>
      <c r="F498" s="2" t="s">
        <v>4256</v>
      </c>
      <c r="G498" s="2" t="s">
        <v>53</v>
      </c>
      <c r="H498" s="4">
        <v>1</v>
      </c>
      <c r="I498" s="4">
        <v>1</v>
      </c>
      <c r="J498" s="5">
        <v>50000</v>
      </c>
      <c r="L498" s="5">
        <v>991056</v>
      </c>
      <c r="M498" s="2" t="s">
        <v>55</v>
      </c>
      <c r="N498" s="2" t="s">
        <v>458</v>
      </c>
      <c r="O498" s="2" t="s">
        <v>459</v>
      </c>
      <c r="P498" s="2" t="s">
        <v>4290</v>
      </c>
      <c r="Q498" s="2" t="s">
        <v>4291</v>
      </c>
      <c r="R498" s="2" t="s">
        <v>4262</v>
      </c>
      <c r="T498" s="2" t="s">
        <v>4263</v>
      </c>
      <c r="U498" s="2" t="s">
        <v>4264</v>
      </c>
      <c r="V498" s="2" t="s">
        <v>3921</v>
      </c>
      <c r="W498" s="2" t="s">
        <v>4265</v>
      </c>
      <c r="X498" s="2" t="s">
        <v>4266</v>
      </c>
      <c r="Y498" s="2" t="s">
        <v>4267</v>
      </c>
      <c r="Z498" s="2" t="s">
        <v>4268</v>
      </c>
      <c r="AA498" s="2" t="s">
        <v>3925</v>
      </c>
      <c r="AC498" s="2" t="s">
        <v>4269</v>
      </c>
      <c r="AD498" s="2" t="s">
        <v>2979</v>
      </c>
      <c r="AE498" s="2" t="s">
        <v>2980</v>
      </c>
      <c r="AF498" s="2" t="s">
        <v>70</v>
      </c>
      <c r="AG498" s="2" t="s">
        <v>4270</v>
      </c>
      <c r="AK498" s="2" t="s">
        <v>4271</v>
      </c>
      <c r="AM498" s="2" t="s">
        <v>72</v>
      </c>
      <c r="AN498" s="2" t="s">
        <v>232</v>
      </c>
      <c r="AP498" s="2" t="s">
        <v>4292</v>
      </c>
      <c r="AT498" s="2" t="s">
        <v>4272</v>
      </c>
      <c r="AU498" s="2" t="s">
        <v>75</v>
      </c>
      <c r="AV498" s="2" t="s">
        <v>4273</v>
      </c>
      <c r="AW498" s="2" t="s">
        <v>4274</v>
      </c>
      <c r="AX498" s="2" t="s">
        <v>477</v>
      </c>
      <c r="AZ498" s="2" t="s">
        <v>478</v>
      </c>
    </row>
    <row r="499" spans="1:52" s="3" customFormat="1" x14ac:dyDescent="0.35">
      <c r="A499" s="2" t="s">
        <v>4258</v>
      </c>
      <c r="B499" s="4">
        <v>246486</v>
      </c>
      <c r="C499" s="2" t="s">
        <v>4259</v>
      </c>
      <c r="D499" s="2">
        <f t="shared" si="7"/>
        <v>3</v>
      </c>
      <c r="F499" s="2" t="s">
        <v>4256</v>
      </c>
      <c r="G499" s="2" t="s">
        <v>53</v>
      </c>
      <c r="H499" s="4">
        <v>1</v>
      </c>
      <c r="I499" s="4">
        <v>1</v>
      </c>
      <c r="J499" s="5">
        <v>50000</v>
      </c>
      <c r="L499" s="5">
        <v>991056</v>
      </c>
      <c r="M499" s="2" t="s">
        <v>55</v>
      </c>
      <c r="N499" s="2" t="s">
        <v>458</v>
      </c>
      <c r="O499" s="2" t="s">
        <v>459</v>
      </c>
      <c r="P499" s="2" t="s">
        <v>4293</v>
      </c>
      <c r="Q499" s="2" t="s">
        <v>4294</v>
      </c>
      <c r="R499" s="2" t="s">
        <v>4262</v>
      </c>
      <c r="T499" s="2" t="s">
        <v>4263</v>
      </c>
      <c r="U499" s="2" t="s">
        <v>4264</v>
      </c>
      <c r="V499" s="2" t="s">
        <v>3921</v>
      </c>
      <c r="W499" s="2" t="s">
        <v>4265</v>
      </c>
      <c r="X499" s="2" t="s">
        <v>4266</v>
      </c>
      <c r="Y499" s="2" t="s">
        <v>4267</v>
      </c>
      <c r="Z499" s="2" t="s">
        <v>4268</v>
      </c>
      <c r="AA499" s="2" t="s">
        <v>3925</v>
      </c>
      <c r="AC499" s="2" t="s">
        <v>4269</v>
      </c>
      <c r="AD499" s="2" t="s">
        <v>2979</v>
      </c>
      <c r="AE499" s="2" t="s">
        <v>2980</v>
      </c>
      <c r="AF499" s="2" t="s">
        <v>70</v>
      </c>
      <c r="AG499" s="2" t="s">
        <v>4270</v>
      </c>
      <c r="AK499" s="2" t="s">
        <v>4271</v>
      </c>
      <c r="AM499" s="2" t="s">
        <v>72</v>
      </c>
      <c r="AN499" s="2" t="s">
        <v>232</v>
      </c>
      <c r="AP499" s="2" t="s">
        <v>4295</v>
      </c>
      <c r="AT499" s="2" t="s">
        <v>4272</v>
      </c>
      <c r="AU499" s="2" t="s">
        <v>75</v>
      </c>
      <c r="AV499" s="2" t="s">
        <v>4273</v>
      </c>
      <c r="AW499" s="2" t="s">
        <v>4274</v>
      </c>
      <c r="AX499" s="2" t="s">
        <v>477</v>
      </c>
      <c r="AZ499" s="2" t="s">
        <v>478</v>
      </c>
    </row>
    <row r="500" spans="1:52" s="3" customFormat="1" x14ac:dyDescent="0.35">
      <c r="A500" s="2" t="s">
        <v>4258</v>
      </c>
      <c r="B500" s="4">
        <v>246486</v>
      </c>
      <c r="C500" s="2" t="s">
        <v>4259</v>
      </c>
      <c r="D500" s="2">
        <f t="shared" si="7"/>
        <v>3</v>
      </c>
      <c r="F500" s="2" t="s">
        <v>4256</v>
      </c>
      <c r="G500" s="2" t="s">
        <v>53</v>
      </c>
      <c r="H500" s="4">
        <v>1</v>
      </c>
      <c r="I500" s="4">
        <v>1</v>
      </c>
      <c r="J500" s="5">
        <v>50000</v>
      </c>
      <c r="L500" s="5">
        <v>991056</v>
      </c>
      <c r="M500" s="2" t="s">
        <v>55</v>
      </c>
      <c r="N500" s="2" t="s">
        <v>458</v>
      </c>
      <c r="O500" s="2" t="s">
        <v>459</v>
      </c>
      <c r="P500" s="2" t="s">
        <v>4296</v>
      </c>
      <c r="Q500" s="2" t="s">
        <v>4297</v>
      </c>
      <c r="R500" s="2" t="s">
        <v>4262</v>
      </c>
      <c r="T500" s="2" t="s">
        <v>4263</v>
      </c>
      <c r="U500" s="2" t="s">
        <v>4264</v>
      </c>
      <c r="V500" s="2" t="s">
        <v>3921</v>
      </c>
      <c r="W500" s="2" t="s">
        <v>4265</v>
      </c>
      <c r="X500" s="2" t="s">
        <v>4266</v>
      </c>
      <c r="Y500" s="2" t="s">
        <v>4267</v>
      </c>
      <c r="Z500" s="2" t="s">
        <v>4268</v>
      </c>
      <c r="AA500" s="2" t="s">
        <v>3925</v>
      </c>
      <c r="AC500" s="2" t="s">
        <v>4269</v>
      </c>
      <c r="AD500" s="2" t="s">
        <v>2979</v>
      </c>
      <c r="AE500" s="2" t="s">
        <v>2980</v>
      </c>
      <c r="AF500" s="2" t="s">
        <v>70</v>
      </c>
      <c r="AG500" s="2" t="s">
        <v>4270</v>
      </c>
      <c r="AK500" s="2" t="s">
        <v>4271</v>
      </c>
      <c r="AM500" s="2" t="s">
        <v>72</v>
      </c>
      <c r="AN500" s="2" t="s">
        <v>232</v>
      </c>
      <c r="AP500" s="2" t="s">
        <v>4298</v>
      </c>
      <c r="AT500" s="2" t="s">
        <v>4272</v>
      </c>
      <c r="AU500" s="2" t="s">
        <v>75</v>
      </c>
      <c r="AV500" s="2" t="s">
        <v>4273</v>
      </c>
      <c r="AW500" s="2" t="s">
        <v>4274</v>
      </c>
      <c r="AX500" s="2" t="s">
        <v>477</v>
      </c>
      <c r="AZ500" s="2" t="s">
        <v>478</v>
      </c>
    </row>
    <row r="501" spans="1:52" s="3" customFormat="1" x14ac:dyDescent="0.35">
      <c r="A501" s="2" t="s">
        <v>4258</v>
      </c>
      <c r="B501" s="4">
        <v>246486</v>
      </c>
      <c r="C501" s="2" t="s">
        <v>4259</v>
      </c>
      <c r="D501" s="2">
        <f t="shared" si="7"/>
        <v>3</v>
      </c>
      <c r="F501" s="2" t="s">
        <v>4256</v>
      </c>
      <c r="G501" s="2" t="s">
        <v>53</v>
      </c>
      <c r="H501" s="4">
        <v>1</v>
      </c>
      <c r="I501" s="4">
        <v>1</v>
      </c>
      <c r="J501" s="5">
        <v>255000</v>
      </c>
      <c r="L501" s="5">
        <v>991056</v>
      </c>
      <c r="M501" s="2" t="s">
        <v>55</v>
      </c>
      <c r="N501" s="2" t="s">
        <v>458</v>
      </c>
      <c r="O501" s="2" t="s">
        <v>459</v>
      </c>
      <c r="P501" s="2" t="s">
        <v>4270</v>
      </c>
      <c r="Q501" s="2" t="s">
        <v>4299</v>
      </c>
      <c r="R501" s="2" t="s">
        <v>4262</v>
      </c>
      <c r="T501" s="2" t="s">
        <v>4263</v>
      </c>
      <c r="U501" s="2" t="s">
        <v>4264</v>
      </c>
      <c r="V501" s="2" t="s">
        <v>3921</v>
      </c>
      <c r="W501" s="2" t="s">
        <v>4265</v>
      </c>
      <c r="X501" s="2" t="s">
        <v>4266</v>
      </c>
      <c r="Y501" s="2" t="s">
        <v>4267</v>
      </c>
      <c r="Z501" s="2" t="s">
        <v>4268</v>
      </c>
      <c r="AA501" s="2" t="s">
        <v>3925</v>
      </c>
      <c r="AC501" s="2" t="s">
        <v>4269</v>
      </c>
      <c r="AD501" s="2" t="s">
        <v>2979</v>
      </c>
      <c r="AE501" s="2" t="s">
        <v>2980</v>
      </c>
      <c r="AF501" s="2" t="s">
        <v>70</v>
      </c>
      <c r="AG501" s="2" t="s">
        <v>4270</v>
      </c>
      <c r="AK501" s="2" t="s">
        <v>4271</v>
      </c>
      <c r="AM501" s="2" t="s">
        <v>72</v>
      </c>
      <c r="AN501" s="2" t="s">
        <v>232</v>
      </c>
      <c r="AP501" s="2" t="s">
        <v>4300</v>
      </c>
      <c r="AT501" s="2" t="s">
        <v>4272</v>
      </c>
      <c r="AU501" s="2" t="s">
        <v>75</v>
      </c>
      <c r="AV501" s="2" t="s">
        <v>4273</v>
      </c>
      <c r="AW501" s="2" t="s">
        <v>4274</v>
      </c>
      <c r="AX501" s="2" t="s">
        <v>477</v>
      </c>
      <c r="AZ501" s="2" t="s">
        <v>478</v>
      </c>
    </row>
    <row r="502" spans="1:52" s="3" customFormat="1" x14ac:dyDescent="0.35">
      <c r="A502" s="2" t="s">
        <v>4258</v>
      </c>
      <c r="B502" s="4">
        <v>246486</v>
      </c>
      <c r="C502" s="2" t="s">
        <v>4259</v>
      </c>
      <c r="D502" s="2">
        <f t="shared" si="7"/>
        <v>3</v>
      </c>
      <c r="F502" s="2" t="s">
        <v>4256</v>
      </c>
      <c r="G502" s="2" t="s">
        <v>53</v>
      </c>
      <c r="H502" s="4">
        <v>1</v>
      </c>
      <c r="I502" s="4">
        <v>1</v>
      </c>
      <c r="J502" s="5">
        <v>27000</v>
      </c>
      <c r="L502" s="5">
        <v>991056</v>
      </c>
      <c r="M502" s="2" t="s">
        <v>55</v>
      </c>
      <c r="N502" s="2" t="s">
        <v>458</v>
      </c>
      <c r="O502" s="2" t="s">
        <v>459</v>
      </c>
      <c r="P502" s="2" t="s">
        <v>4260</v>
      </c>
      <c r="Q502" s="2" t="s">
        <v>4301</v>
      </c>
      <c r="R502" s="2" t="s">
        <v>4262</v>
      </c>
      <c r="T502" s="2" t="s">
        <v>4263</v>
      </c>
      <c r="U502" s="2" t="s">
        <v>4264</v>
      </c>
      <c r="V502" s="2" t="s">
        <v>3921</v>
      </c>
      <c r="W502" s="2" t="s">
        <v>4265</v>
      </c>
      <c r="X502" s="2" t="s">
        <v>4266</v>
      </c>
      <c r="Y502" s="2" t="s">
        <v>4267</v>
      </c>
      <c r="Z502" s="2" t="s">
        <v>4268</v>
      </c>
      <c r="AA502" s="2" t="s">
        <v>3925</v>
      </c>
      <c r="AC502" s="2" t="s">
        <v>4269</v>
      </c>
      <c r="AD502" s="2" t="s">
        <v>2979</v>
      </c>
      <c r="AE502" s="2" t="s">
        <v>2980</v>
      </c>
      <c r="AF502" s="2" t="s">
        <v>70</v>
      </c>
      <c r="AG502" s="2" t="s">
        <v>4270</v>
      </c>
      <c r="AK502" s="2" t="s">
        <v>4271</v>
      </c>
      <c r="AM502" s="2" t="s">
        <v>72</v>
      </c>
      <c r="AN502" s="2" t="s">
        <v>232</v>
      </c>
      <c r="AP502" s="2" t="s">
        <v>4300</v>
      </c>
      <c r="AT502" s="2" t="s">
        <v>4272</v>
      </c>
      <c r="AU502" s="2" t="s">
        <v>75</v>
      </c>
      <c r="AV502" s="2" t="s">
        <v>4273</v>
      </c>
      <c r="AW502" s="2" t="s">
        <v>4274</v>
      </c>
      <c r="AX502" s="2" t="s">
        <v>477</v>
      </c>
      <c r="AZ502" s="2" t="s">
        <v>478</v>
      </c>
    </row>
    <row r="503" spans="1:52" s="3" customFormat="1" x14ac:dyDescent="0.35">
      <c r="A503" s="2" t="s">
        <v>4258</v>
      </c>
      <c r="B503" s="4">
        <v>246486</v>
      </c>
      <c r="C503" s="2" t="s">
        <v>4259</v>
      </c>
      <c r="D503" s="2">
        <f t="shared" si="7"/>
        <v>3</v>
      </c>
      <c r="F503" s="2" t="s">
        <v>4256</v>
      </c>
      <c r="G503" s="2" t="s">
        <v>53</v>
      </c>
      <c r="H503" s="4">
        <v>1</v>
      </c>
      <c r="I503" s="4">
        <v>1</v>
      </c>
      <c r="J503" s="5">
        <v>27000</v>
      </c>
      <c r="L503" s="5">
        <v>991056</v>
      </c>
      <c r="M503" s="2" t="s">
        <v>55</v>
      </c>
      <c r="N503" s="2" t="s">
        <v>458</v>
      </c>
      <c r="O503" s="2" t="s">
        <v>459</v>
      </c>
      <c r="P503" s="2" t="s">
        <v>4275</v>
      </c>
      <c r="Q503" s="2" t="s">
        <v>4302</v>
      </c>
      <c r="R503" s="2" t="s">
        <v>4262</v>
      </c>
      <c r="T503" s="2" t="s">
        <v>4263</v>
      </c>
      <c r="U503" s="2" t="s">
        <v>4264</v>
      </c>
      <c r="V503" s="2" t="s">
        <v>3921</v>
      </c>
      <c r="W503" s="2" t="s">
        <v>4265</v>
      </c>
      <c r="X503" s="2" t="s">
        <v>4266</v>
      </c>
      <c r="Y503" s="2" t="s">
        <v>4267</v>
      </c>
      <c r="Z503" s="2" t="s">
        <v>4268</v>
      </c>
      <c r="AA503" s="2" t="s">
        <v>3925</v>
      </c>
      <c r="AC503" s="2" t="s">
        <v>4269</v>
      </c>
      <c r="AD503" s="2" t="s">
        <v>2979</v>
      </c>
      <c r="AE503" s="2" t="s">
        <v>2980</v>
      </c>
      <c r="AF503" s="2" t="s">
        <v>70</v>
      </c>
      <c r="AG503" s="2" t="s">
        <v>4270</v>
      </c>
      <c r="AK503" s="2" t="s">
        <v>4271</v>
      </c>
      <c r="AM503" s="2" t="s">
        <v>72</v>
      </c>
      <c r="AN503" s="2" t="s">
        <v>232</v>
      </c>
      <c r="AP503" s="2" t="s">
        <v>4300</v>
      </c>
      <c r="AT503" s="2" t="s">
        <v>4272</v>
      </c>
      <c r="AU503" s="2" t="s">
        <v>75</v>
      </c>
      <c r="AV503" s="2" t="s">
        <v>4273</v>
      </c>
      <c r="AW503" s="2" t="s">
        <v>4274</v>
      </c>
      <c r="AX503" s="2" t="s">
        <v>477</v>
      </c>
      <c r="AZ503" s="2" t="s">
        <v>478</v>
      </c>
    </row>
    <row r="504" spans="1:52" s="3" customFormat="1" x14ac:dyDescent="0.35">
      <c r="A504" s="2" t="s">
        <v>4258</v>
      </c>
      <c r="B504" s="4">
        <v>246486</v>
      </c>
      <c r="C504" s="2" t="s">
        <v>4259</v>
      </c>
      <c r="D504" s="2">
        <f t="shared" si="7"/>
        <v>3</v>
      </c>
      <c r="F504" s="2" t="s">
        <v>4256</v>
      </c>
      <c r="G504" s="2" t="s">
        <v>53</v>
      </c>
      <c r="H504" s="4">
        <v>1</v>
      </c>
      <c r="I504" s="4">
        <v>1</v>
      </c>
      <c r="J504" s="5">
        <v>27000</v>
      </c>
      <c r="L504" s="5">
        <v>991056</v>
      </c>
      <c r="M504" s="2" t="s">
        <v>55</v>
      </c>
      <c r="N504" s="2" t="s">
        <v>458</v>
      </c>
      <c r="O504" s="2" t="s">
        <v>459</v>
      </c>
      <c r="P504" s="2" t="s">
        <v>4278</v>
      </c>
      <c r="Q504" s="2" t="s">
        <v>4303</v>
      </c>
      <c r="R504" s="2" t="s">
        <v>4262</v>
      </c>
      <c r="T504" s="2" t="s">
        <v>4263</v>
      </c>
      <c r="U504" s="2" t="s">
        <v>4264</v>
      </c>
      <c r="V504" s="2" t="s">
        <v>3921</v>
      </c>
      <c r="W504" s="2" t="s">
        <v>4265</v>
      </c>
      <c r="X504" s="2" t="s">
        <v>4266</v>
      </c>
      <c r="Y504" s="2" t="s">
        <v>4267</v>
      </c>
      <c r="Z504" s="2" t="s">
        <v>4268</v>
      </c>
      <c r="AA504" s="2" t="s">
        <v>3925</v>
      </c>
      <c r="AC504" s="2" t="s">
        <v>4269</v>
      </c>
      <c r="AD504" s="2" t="s">
        <v>2979</v>
      </c>
      <c r="AE504" s="2" t="s">
        <v>2980</v>
      </c>
      <c r="AF504" s="2" t="s">
        <v>70</v>
      </c>
      <c r="AG504" s="2" t="s">
        <v>4270</v>
      </c>
      <c r="AK504" s="2" t="s">
        <v>4271</v>
      </c>
      <c r="AM504" s="2" t="s">
        <v>72</v>
      </c>
      <c r="AN504" s="2" t="s">
        <v>232</v>
      </c>
      <c r="AP504" s="2" t="s">
        <v>4300</v>
      </c>
      <c r="AT504" s="2" t="s">
        <v>4272</v>
      </c>
      <c r="AU504" s="2" t="s">
        <v>75</v>
      </c>
      <c r="AV504" s="2" t="s">
        <v>4273</v>
      </c>
      <c r="AW504" s="2" t="s">
        <v>4274</v>
      </c>
      <c r="AX504" s="2" t="s">
        <v>477</v>
      </c>
      <c r="AZ504" s="2" t="s">
        <v>478</v>
      </c>
    </row>
    <row r="505" spans="1:52" s="3" customFormat="1" x14ac:dyDescent="0.35">
      <c r="A505" s="2" t="s">
        <v>4258</v>
      </c>
      <c r="B505" s="4">
        <v>246486</v>
      </c>
      <c r="C505" s="2" t="s">
        <v>4259</v>
      </c>
      <c r="D505" s="2">
        <f t="shared" si="7"/>
        <v>3</v>
      </c>
      <c r="F505" s="2" t="s">
        <v>4256</v>
      </c>
      <c r="G505" s="2" t="s">
        <v>53</v>
      </c>
      <c r="H505" s="4">
        <v>1</v>
      </c>
      <c r="I505" s="4">
        <v>1</v>
      </c>
      <c r="J505" s="5">
        <v>27000</v>
      </c>
      <c r="L505" s="5">
        <v>991056</v>
      </c>
      <c r="M505" s="2" t="s">
        <v>55</v>
      </c>
      <c r="N505" s="2" t="s">
        <v>458</v>
      </c>
      <c r="O505" s="2" t="s">
        <v>459</v>
      </c>
      <c r="P505" s="2" t="s">
        <v>4281</v>
      </c>
      <c r="Q505" s="2" t="s">
        <v>4304</v>
      </c>
      <c r="R505" s="2" t="s">
        <v>4262</v>
      </c>
      <c r="T505" s="2" t="s">
        <v>4263</v>
      </c>
      <c r="U505" s="2" t="s">
        <v>4264</v>
      </c>
      <c r="V505" s="2" t="s">
        <v>3921</v>
      </c>
      <c r="W505" s="2" t="s">
        <v>4265</v>
      </c>
      <c r="X505" s="2" t="s">
        <v>4266</v>
      </c>
      <c r="Y505" s="2" t="s">
        <v>4267</v>
      </c>
      <c r="Z505" s="2" t="s">
        <v>4268</v>
      </c>
      <c r="AA505" s="2" t="s">
        <v>3925</v>
      </c>
      <c r="AC505" s="2" t="s">
        <v>4269</v>
      </c>
      <c r="AD505" s="2" t="s">
        <v>2979</v>
      </c>
      <c r="AE505" s="2" t="s">
        <v>2980</v>
      </c>
      <c r="AF505" s="2" t="s">
        <v>70</v>
      </c>
      <c r="AG505" s="2" t="s">
        <v>4270</v>
      </c>
      <c r="AK505" s="2" t="s">
        <v>4271</v>
      </c>
      <c r="AM505" s="2" t="s">
        <v>72</v>
      </c>
      <c r="AN505" s="2" t="s">
        <v>232</v>
      </c>
      <c r="AP505" s="2" t="s">
        <v>4300</v>
      </c>
      <c r="AT505" s="2" t="s">
        <v>4272</v>
      </c>
      <c r="AU505" s="2" t="s">
        <v>75</v>
      </c>
      <c r="AV505" s="2" t="s">
        <v>4273</v>
      </c>
      <c r="AW505" s="2" t="s">
        <v>4274</v>
      </c>
      <c r="AX505" s="2" t="s">
        <v>477</v>
      </c>
      <c r="AZ505" s="2" t="s">
        <v>478</v>
      </c>
    </row>
    <row r="506" spans="1:52" s="3" customFormat="1" x14ac:dyDescent="0.35">
      <c r="A506" s="2" t="s">
        <v>4258</v>
      </c>
      <c r="B506" s="4">
        <v>246486</v>
      </c>
      <c r="C506" s="2" t="s">
        <v>4259</v>
      </c>
      <c r="D506" s="2">
        <f t="shared" si="7"/>
        <v>3</v>
      </c>
      <c r="F506" s="2" t="s">
        <v>4256</v>
      </c>
      <c r="G506" s="2" t="s">
        <v>53</v>
      </c>
      <c r="H506" s="4">
        <v>1</v>
      </c>
      <c r="I506" s="4">
        <v>1</v>
      </c>
      <c r="J506" s="5">
        <v>27000</v>
      </c>
      <c r="L506" s="5">
        <v>991056</v>
      </c>
      <c r="M506" s="2" t="s">
        <v>55</v>
      </c>
      <c r="N506" s="2" t="s">
        <v>458</v>
      </c>
      <c r="O506" s="2" t="s">
        <v>459</v>
      </c>
      <c r="P506" s="2" t="s">
        <v>4284</v>
      </c>
      <c r="Q506" s="2" t="s">
        <v>4305</v>
      </c>
      <c r="R506" s="2" t="s">
        <v>4262</v>
      </c>
      <c r="T506" s="2" t="s">
        <v>4263</v>
      </c>
      <c r="U506" s="2" t="s">
        <v>4264</v>
      </c>
      <c r="V506" s="2" t="s">
        <v>3921</v>
      </c>
      <c r="W506" s="2" t="s">
        <v>4265</v>
      </c>
      <c r="X506" s="2" t="s">
        <v>4266</v>
      </c>
      <c r="Y506" s="2" t="s">
        <v>4267</v>
      </c>
      <c r="Z506" s="2" t="s">
        <v>4268</v>
      </c>
      <c r="AA506" s="2" t="s">
        <v>3925</v>
      </c>
      <c r="AC506" s="2" t="s">
        <v>4269</v>
      </c>
      <c r="AD506" s="2" t="s">
        <v>2979</v>
      </c>
      <c r="AE506" s="2" t="s">
        <v>2980</v>
      </c>
      <c r="AF506" s="2" t="s">
        <v>70</v>
      </c>
      <c r="AG506" s="2" t="s">
        <v>4270</v>
      </c>
      <c r="AK506" s="2" t="s">
        <v>4271</v>
      </c>
      <c r="AM506" s="2" t="s">
        <v>72</v>
      </c>
      <c r="AN506" s="2" t="s">
        <v>232</v>
      </c>
      <c r="AP506" s="2" t="s">
        <v>4300</v>
      </c>
      <c r="AT506" s="2" t="s">
        <v>4272</v>
      </c>
      <c r="AU506" s="2" t="s">
        <v>75</v>
      </c>
      <c r="AV506" s="2" t="s">
        <v>4273</v>
      </c>
      <c r="AW506" s="2" t="s">
        <v>4274</v>
      </c>
      <c r="AX506" s="2" t="s">
        <v>477</v>
      </c>
      <c r="AZ506" s="2" t="s">
        <v>478</v>
      </c>
    </row>
    <row r="507" spans="1:52" s="3" customFormat="1" x14ac:dyDescent="0.35">
      <c r="A507" s="2" t="s">
        <v>4258</v>
      </c>
      <c r="B507" s="4">
        <v>246486</v>
      </c>
      <c r="C507" s="2" t="s">
        <v>4259</v>
      </c>
      <c r="D507" s="2">
        <f t="shared" si="7"/>
        <v>3</v>
      </c>
      <c r="F507" s="2" t="s">
        <v>4256</v>
      </c>
      <c r="G507" s="2" t="s">
        <v>53</v>
      </c>
      <c r="H507" s="4">
        <v>1</v>
      </c>
      <c r="I507" s="4">
        <v>1</v>
      </c>
      <c r="J507" s="5">
        <v>27000</v>
      </c>
      <c r="L507" s="5">
        <v>991056</v>
      </c>
      <c r="M507" s="2" t="s">
        <v>55</v>
      </c>
      <c r="N507" s="2" t="s">
        <v>458</v>
      </c>
      <c r="O507" s="2" t="s">
        <v>459</v>
      </c>
      <c r="P507" s="2" t="s">
        <v>4287</v>
      </c>
      <c r="Q507" s="2" t="s">
        <v>4306</v>
      </c>
      <c r="R507" s="2" t="s">
        <v>4262</v>
      </c>
      <c r="T507" s="2" t="s">
        <v>4263</v>
      </c>
      <c r="U507" s="2" t="s">
        <v>4264</v>
      </c>
      <c r="V507" s="2" t="s">
        <v>3921</v>
      </c>
      <c r="W507" s="2" t="s">
        <v>4265</v>
      </c>
      <c r="X507" s="2" t="s">
        <v>4266</v>
      </c>
      <c r="Y507" s="2" t="s">
        <v>4267</v>
      </c>
      <c r="Z507" s="2" t="s">
        <v>4268</v>
      </c>
      <c r="AA507" s="2" t="s">
        <v>3925</v>
      </c>
      <c r="AC507" s="2" t="s">
        <v>4269</v>
      </c>
      <c r="AD507" s="2" t="s">
        <v>2979</v>
      </c>
      <c r="AE507" s="2" t="s">
        <v>2980</v>
      </c>
      <c r="AF507" s="2" t="s">
        <v>70</v>
      </c>
      <c r="AG507" s="2" t="s">
        <v>4270</v>
      </c>
      <c r="AK507" s="2" t="s">
        <v>4271</v>
      </c>
      <c r="AM507" s="2" t="s">
        <v>72</v>
      </c>
      <c r="AN507" s="2" t="s">
        <v>232</v>
      </c>
      <c r="AP507" s="2" t="s">
        <v>4300</v>
      </c>
      <c r="AT507" s="2" t="s">
        <v>4272</v>
      </c>
      <c r="AU507" s="2" t="s">
        <v>75</v>
      </c>
      <c r="AV507" s="2" t="s">
        <v>4273</v>
      </c>
      <c r="AW507" s="2" t="s">
        <v>4274</v>
      </c>
      <c r="AX507" s="2" t="s">
        <v>477</v>
      </c>
      <c r="AZ507" s="2" t="s">
        <v>478</v>
      </c>
    </row>
    <row r="508" spans="1:52" s="3" customFormat="1" x14ac:dyDescent="0.35">
      <c r="A508" s="2" t="s">
        <v>4258</v>
      </c>
      <c r="B508" s="4">
        <v>246486</v>
      </c>
      <c r="C508" s="2" t="s">
        <v>4259</v>
      </c>
      <c r="D508" s="2">
        <f t="shared" si="7"/>
        <v>3</v>
      </c>
      <c r="F508" s="2" t="s">
        <v>4256</v>
      </c>
      <c r="G508" s="2" t="s">
        <v>53</v>
      </c>
      <c r="H508" s="4">
        <v>1</v>
      </c>
      <c r="I508" s="4">
        <v>1</v>
      </c>
      <c r="J508" s="5">
        <v>63000</v>
      </c>
      <c r="L508" s="5">
        <v>991056</v>
      </c>
      <c r="M508" s="2" t="s">
        <v>55</v>
      </c>
      <c r="N508" s="2" t="s">
        <v>458</v>
      </c>
      <c r="O508" s="2" t="s">
        <v>459</v>
      </c>
      <c r="P508" s="2" t="s">
        <v>4290</v>
      </c>
      <c r="Q508" s="2" t="s">
        <v>4307</v>
      </c>
      <c r="R508" s="2" t="s">
        <v>4262</v>
      </c>
      <c r="T508" s="2" t="s">
        <v>4263</v>
      </c>
      <c r="U508" s="2" t="s">
        <v>4264</v>
      </c>
      <c r="V508" s="2" t="s">
        <v>3921</v>
      </c>
      <c r="W508" s="2" t="s">
        <v>4265</v>
      </c>
      <c r="X508" s="2" t="s">
        <v>4266</v>
      </c>
      <c r="Y508" s="2" t="s">
        <v>4267</v>
      </c>
      <c r="Z508" s="2" t="s">
        <v>4268</v>
      </c>
      <c r="AA508" s="2" t="s">
        <v>3925</v>
      </c>
      <c r="AC508" s="2" t="s">
        <v>4269</v>
      </c>
      <c r="AD508" s="2" t="s">
        <v>2979</v>
      </c>
      <c r="AE508" s="2" t="s">
        <v>2980</v>
      </c>
      <c r="AF508" s="2" t="s">
        <v>70</v>
      </c>
      <c r="AG508" s="2" t="s">
        <v>4270</v>
      </c>
      <c r="AK508" s="2" t="s">
        <v>4271</v>
      </c>
      <c r="AM508" s="2" t="s">
        <v>72</v>
      </c>
      <c r="AN508" s="2" t="s">
        <v>232</v>
      </c>
      <c r="AP508" s="2" t="s">
        <v>4300</v>
      </c>
      <c r="AT508" s="2" t="s">
        <v>4272</v>
      </c>
      <c r="AU508" s="2" t="s">
        <v>75</v>
      </c>
      <c r="AV508" s="2" t="s">
        <v>4273</v>
      </c>
      <c r="AW508" s="2" t="s">
        <v>4274</v>
      </c>
      <c r="AX508" s="2" t="s">
        <v>477</v>
      </c>
      <c r="AZ508" s="2" t="s">
        <v>478</v>
      </c>
    </row>
    <row r="509" spans="1:52" s="3" customFormat="1" x14ac:dyDescent="0.35">
      <c r="A509" s="2" t="s">
        <v>4258</v>
      </c>
      <c r="B509" s="4">
        <v>246486</v>
      </c>
      <c r="C509" s="2" t="s">
        <v>4259</v>
      </c>
      <c r="D509" s="2">
        <f t="shared" si="7"/>
        <v>3</v>
      </c>
      <c r="F509" s="2" t="s">
        <v>4256</v>
      </c>
      <c r="G509" s="2" t="s">
        <v>53</v>
      </c>
      <c r="H509" s="4">
        <v>1</v>
      </c>
      <c r="I509" s="4">
        <v>1</v>
      </c>
      <c r="J509" s="5">
        <v>63000</v>
      </c>
      <c r="L509" s="5">
        <v>991056</v>
      </c>
      <c r="M509" s="2" t="s">
        <v>55</v>
      </c>
      <c r="N509" s="2" t="s">
        <v>458</v>
      </c>
      <c r="O509" s="2" t="s">
        <v>459</v>
      </c>
      <c r="P509" s="2" t="s">
        <v>4308</v>
      </c>
      <c r="Q509" s="2" t="s">
        <v>4309</v>
      </c>
      <c r="R509" s="2" t="s">
        <v>4262</v>
      </c>
      <c r="T509" s="2" t="s">
        <v>4263</v>
      </c>
      <c r="U509" s="2" t="s">
        <v>4264</v>
      </c>
      <c r="V509" s="2" t="s">
        <v>3921</v>
      </c>
      <c r="W509" s="2" t="s">
        <v>4265</v>
      </c>
      <c r="X509" s="2" t="s">
        <v>4266</v>
      </c>
      <c r="Y509" s="2" t="s">
        <v>4267</v>
      </c>
      <c r="Z509" s="2" t="s">
        <v>4268</v>
      </c>
      <c r="AA509" s="2" t="s">
        <v>3925</v>
      </c>
      <c r="AC509" s="2" t="s">
        <v>4269</v>
      </c>
      <c r="AD509" s="2" t="s">
        <v>2979</v>
      </c>
      <c r="AE509" s="2" t="s">
        <v>2980</v>
      </c>
      <c r="AF509" s="2" t="s">
        <v>70</v>
      </c>
      <c r="AG509" s="2" t="s">
        <v>4270</v>
      </c>
      <c r="AK509" s="2" t="s">
        <v>4271</v>
      </c>
      <c r="AM509" s="2" t="s">
        <v>72</v>
      </c>
      <c r="AN509" s="2" t="s">
        <v>232</v>
      </c>
      <c r="AP509" s="2" t="s">
        <v>4300</v>
      </c>
      <c r="AT509" s="2" t="s">
        <v>4272</v>
      </c>
      <c r="AU509" s="2" t="s">
        <v>75</v>
      </c>
      <c r="AV509" s="2" t="s">
        <v>4273</v>
      </c>
      <c r="AW509" s="2" t="s">
        <v>4274</v>
      </c>
      <c r="AX509" s="2" t="s">
        <v>477</v>
      </c>
      <c r="AZ509" s="2" t="s">
        <v>478</v>
      </c>
    </row>
    <row r="510" spans="1:52" s="3" customFormat="1" x14ac:dyDescent="0.35">
      <c r="A510" s="2" t="s">
        <v>4258</v>
      </c>
      <c r="B510" s="4">
        <v>246486</v>
      </c>
      <c r="C510" s="2" t="s">
        <v>4259</v>
      </c>
      <c r="D510" s="2">
        <f t="shared" si="7"/>
        <v>3</v>
      </c>
      <c r="F510" s="2" t="s">
        <v>4256</v>
      </c>
      <c r="G510" s="2" t="s">
        <v>53</v>
      </c>
      <c r="H510" s="4">
        <v>1</v>
      </c>
      <c r="I510" s="4">
        <v>1</v>
      </c>
      <c r="J510" s="5">
        <v>63000</v>
      </c>
      <c r="L510" s="5">
        <v>991056</v>
      </c>
      <c r="M510" s="2" t="s">
        <v>55</v>
      </c>
      <c r="N510" s="2" t="s">
        <v>458</v>
      </c>
      <c r="O510" s="2" t="s">
        <v>459</v>
      </c>
      <c r="P510" s="2" t="s">
        <v>4296</v>
      </c>
      <c r="Q510" s="2" t="s">
        <v>4310</v>
      </c>
      <c r="R510" s="2" t="s">
        <v>4262</v>
      </c>
      <c r="T510" s="2" t="s">
        <v>4263</v>
      </c>
      <c r="U510" s="2" t="s">
        <v>4264</v>
      </c>
      <c r="V510" s="2" t="s">
        <v>3921</v>
      </c>
      <c r="W510" s="2" t="s">
        <v>4265</v>
      </c>
      <c r="X510" s="2" t="s">
        <v>4266</v>
      </c>
      <c r="Y510" s="2" t="s">
        <v>4267</v>
      </c>
      <c r="Z510" s="2" t="s">
        <v>4268</v>
      </c>
      <c r="AA510" s="2" t="s">
        <v>3925</v>
      </c>
      <c r="AC510" s="2" t="s">
        <v>4269</v>
      </c>
      <c r="AD510" s="2" t="s">
        <v>2979</v>
      </c>
      <c r="AE510" s="2" t="s">
        <v>2980</v>
      </c>
      <c r="AF510" s="2" t="s">
        <v>70</v>
      </c>
      <c r="AG510" s="2" t="s">
        <v>4270</v>
      </c>
      <c r="AK510" s="2" t="s">
        <v>4271</v>
      </c>
      <c r="AM510" s="2" t="s">
        <v>72</v>
      </c>
      <c r="AN510" s="2" t="s">
        <v>232</v>
      </c>
      <c r="AP510" s="2" t="s">
        <v>4300</v>
      </c>
      <c r="AT510" s="2" t="s">
        <v>4272</v>
      </c>
      <c r="AU510" s="2" t="s">
        <v>75</v>
      </c>
      <c r="AV510" s="2" t="s">
        <v>4273</v>
      </c>
      <c r="AW510" s="2" t="s">
        <v>4274</v>
      </c>
      <c r="AX510" s="2" t="s">
        <v>477</v>
      </c>
      <c r="AZ510" s="2" t="s">
        <v>478</v>
      </c>
    </row>
    <row r="511" spans="1:52" s="3" customFormat="1" x14ac:dyDescent="0.35">
      <c r="A511" s="2" t="s">
        <v>4311</v>
      </c>
      <c r="B511" s="4">
        <v>246482</v>
      </c>
      <c r="C511" s="2" t="s">
        <v>4312</v>
      </c>
      <c r="D511" s="2">
        <f t="shared" si="7"/>
        <v>3</v>
      </c>
      <c r="F511" s="2" t="s">
        <v>4256</v>
      </c>
      <c r="G511" s="2" t="s">
        <v>53</v>
      </c>
      <c r="H511" s="4">
        <v>1</v>
      </c>
      <c r="I511" s="4">
        <v>1</v>
      </c>
      <c r="J511" s="5">
        <v>110000</v>
      </c>
      <c r="K511" s="2" t="s">
        <v>1252</v>
      </c>
      <c r="L511" s="5">
        <v>103235</v>
      </c>
      <c r="M511" s="2" t="s">
        <v>55</v>
      </c>
      <c r="N511" s="2" t="s">
        <v>1253</v>
      </c>
      <c r="O511" s="2" t="s">
        <v>1254</v>
      </c>
      <c r="P511" s="2" t="s">
        <v>4313</v>
      </c>
      <c r="Q511" s="2" t="s">
        <v>4314</v>
      </c>
      <c r="R511" s="2" t="s">
        <v>4315</v>
      </c>
      <c r="T511" s="2" t="s">
        <v>1894</v>
      </c>
      <c r="U511" s="2" t="s">
        <v>1895</v>
      </c>
      <c r="V511" s="2" t="s">
        <v>4316</v>
      </c>
      <c r="W511" s="2" t="s">
        <v>4317</v>
      </c>
      <c r="X511" s="2" t="s">
        <v>4317</v>
      </c>
      <c r="Y511" s="2" t="s">
        <v>1899</v>
      </c>
      <c r="Z511" s="2" t="s">
        <v>1900</v>
      </c>
      <c r="AA511" s="2" t="s">
        <v>1901</v>
      </c>
      <c r="AC511" s="2" t="s">
        <v>1902</v>
      </c>
      <c r="AD511" s="2" t="s">
        <v>1903</v>
      </c>
      <c r="AE511" s="2" t="s">
        <v>69</v>
      </c>
      <c r="AF511" s="2" t="s">
        <v>70</v>
      </c>
      <c r="AG511" s="2" t="s">
        <v>4313</v>
      </c>
      <c r="AK511" s="2" t="s">
        <v>4318</v>
      </c>
      <c r="AM511" s="2" t="s">
        <v>72</v>
      </c>
      <c r="AN511" s="2" t="s">
        <v>403</v>
      </c>
      <c r="AP511" s="2" t="s">
        <v>3886</v>
      </c>
      <c r="AU511" s="2" t="s">
        <v>75</v>
      </c>
      <c r="AV511" s="2" t="s">
        <v>1905</v>
      </c>
      <c r="AW511" s="2" t="s">
        <v>1906</v>
      </c>
      <c r="AX511" s="2" t="s">
        <v>477</v>
      </c>
      <c r="AZ511" s="2" t="s">
        <v>478</v>
      </c>
    </row>
    <row r="512" spans="1:52" s="3" customFormat="1" x14ac:dyDescent="0.35">
      <c r="A512" s="2" t="s">
        <v>4319</v>
      </c>
      <c r="B512" s="4">
        <v>246479</v>
      </c>
      <c r="C512" s="2" t="s">
        <v>4320</v>
      </c>
      <c r="D512" s="2">
        <f t="shared" si="7"/>
        <v>3</v>
      </c>
      <c r="F512" s="2" t="s">
        <v>4256</v>
      </c>
      <c r="G512" s="2" t="s">
        <v>53</v>
      </c>
      <c r="H512" s="4">
        <v>1</v>
      </c>
      <c r="I512" s="4">
        <v>1</v>
      </c>
      <c r="J512" s="5">
        <v>120000</v>
      </c>
      <c r="K512" s="2" t="s">
        <v>1252</v>
      </c>
      <c r="L512" s="5">
        <v>281550</v>
      </c>
      <c r="M512" s="2" t="s">
        <v>55</v>
      </c>
      <c r="N512" s="2" t="s">
        <v>1253</v>
      </c>
      <c r="O512" s="2" t="s">
        <v>1254</v>
      </c>
      <c r="P512" s="2" t="s">
        <v>4321</v>
      </c>
      <c r="Q512" s="2" t="s">
        <v>4322</v>
      </c>
      <c r="R512" s="2" t="s">
        <v>4323</v>
      </c>
      <c r="T512" s="2" t="s">
        <v>4324</v>
      </c>
      <c r="U512" s="2" t="s">
        <v>4325</v>
      </c>
      <c r="V512" s="2" t="s">
        <v>4326</v>
      </c>
      <c r="W512" s="2" t="s">
        <v>4327</v>
      </c>
      <c r="X512" s="2" t="s">
        <v>4328</v>
      </c>
      <c r="Y512" s="2" t="s">
        <v>4329</v>
      </c>
      <c r="Z512" s="2" t="s">
        <v>4330</v>
      </c>
      <c r="AA512" s="2" t="s">
        <v>4331</v>
      </c>
      <c r="AB512" s="2" t="s">
        <v>4332</v>
      </c>
      <c r="AC512" s="2" t="s">
        <v>4333</v>
      </c>
      <c r="AD512" s="2" t="s">
        <v>3521</v>
      </c>
      <c r="AE512" s="2" t="s">
        <v>96</v>
      </c>
      <c r="AF512" s="2" t="s">
        <v>70</v>
      </c>
      <c r="AG512" s="2" t="s">
        <v>4334</v>
      </c>
      <c r="AK512" s="2" t="s">
        <v>4335</v>
      </c>
      <c r="AM512" s="2" t="s">
        <v>72</v>
      </c>
      <c r="AN512" s="2" t="s">
        <v>473</v>
      </c>
      <c r="AP512" s="2" t="s">
        <v>4256</v>
      </c>
      <c r="AU512" s="2" t="s">
        <v>75</v>
      </c>
      <c r="AV512" s="2" t="s">
        <v>4256</v>
      </c>
      <c r="AW512" s="2" t="s">
        <v>4336</v>
      </c>
      <c r="AX512" s="2" t="s">
        <v>477</v>
      </c>
      <c r="AZ512" s="2" t="s">
        <v>478</v>
      </c>
    </row>
    <row r="513" spans="1:52" s="3" customFormat="1" x14ac:dyDescent="0.35">
      <c r="A513" s="2" t="s">
        <v>4319</v>
      </c>
      <c r="B513" s="4">
        <v>246479</v>
      </c>
      <c r="C513" s="2" t="s">
        <v>4320</v>
      </c>
      <c r="D513" s="2">
        <f t="shared" si="7"/>
        <v>3</v>
      </c>
      <c r="F513" s="2" t="s">
        <v>4256</v>
      </c>
      <c r="G513" s="2" t="s">
        <v>53</v>
      </c>
      <c r="H513" s="4">
        <v>1</v>
      </c>
      <c r="I513" s="4">
        <v>1</v>
      </c>
      <c r="J513" s="5">
        <v>180000</v>
      </c>
      <c r="K513" s="2" t="s">
        <v>1252</v>
      </c>
      <c r="L513" s="5">
        <v>281550</v>
      </c>
      <c r="M513" s="2" t="s">
        <v>55</v>
      </c>
      <c r="N513" s="2" t="s">
        <v>1253</v>
      </c>
      <c r="O513" s="2" t="s">
        <v>1254</v>
      </c>
      <c r="P513" s="2" t="s">
        <v>4337</v>
      </c>
      <c r="Q513" s="2" t="s">
        <v>4338</v>
      </c>
      <c r="R513" s="2" t="s">
        <v>4323</v>
      </c>
      <c r="T513" s="2" t="s">
        <v>4324</v>
      </c>
      <c r="U513" s="2" t="s">
        <v>4325</v>
      </c>
      <c r="V513" s="2" t="s">
        <v>4326</v>
      </c>
      <c r="W513" s="2" t="s">
        <v>4327</v>
      </c>
      <c r="X513" s="2" t="s">
        <v>4328</v>
      </c>
      <c r="Y513" s="2" t="s">
        <v>4329</v>
      </c>
      <c r="Z513" s="2" t="s">
        <v>4330</v>
      </c>
      <c r="AA513" s="2" t="s">
        <v>4331</v>
      </c>
      <c r="AB513" s="2" t="s">
        <v>4332</v>
      </c>
      <c r="AC513" s="2" t="s">
        <v>4333</v>
      </c>
      <c r="AD513" s="2" t="s">
        <v>3521</v>
      </c>
      <c r="AE513" s="2" t="s">
        <v>96</v>
      </c>
      <c r="AF513" s="2" t="s">
        <v>70</v>
      </c>
      <c r="AG513" s="2" t="s">
        <v>4334</v>
      </c>
      <c r="AK513" s="2" t="s">
        <v>4335</v>
      </c>
      <c r="AM513" s="2" t="s">
        <v>72</v>
      </c>
      <c r="AN513" s="2" t="s">
        <v>473</v>
      </c>
      <c r="AP513" s="2" t="s">
        <v>2705</v>
      </c>
      <c r="AU513" s="2" t="s">
        <v>75</v>
      </c>
      <c r="AV513" s="2" t="s">
        <v>4256</v>
      </c>
      <c r="AW513" s="2" t="s">
        <v>4336</v>
      </c>
      <c r="AX513" s="2" t="s">
        <v>477</v>
      </c>
      <c r="AZ513" s="2" t="s">
        <v>478</v>
      </c>
    </row>
    <row r="514" spans="1:52" s="3" customFormat="1" x14ac:dyDescent="0.35">
      <c r="A514" s="2" t="s">
        <v>4339</v>
      </c>
      <c r="B514" s="4">
        <v>246477</v>
      </c>
      <c r="C514" s="2" t="s">
        <v>4340</v>
      </c>
      <c r="D514" s="2">
        <f t="shared" si="7"/>
        <v>3</v>
      </c>
      <c r="F514" s="2" t="s">
        <v>4256</v>
      </c>
      <c r="G514" s="2" t="s">
        <v>53</v>
      </c>
      <c r="H514" s="4">
        <v>1</v>
      </c>
      <c r="I514" s="4">
        <v>1</v>
      </c>
      <c r="J514" s="5">
        <v>100000</v>
      </c>
      <c r="L514" s="5">
        <v>93850</v>
      </c>
      <c r="M514" s="2" t="s">
        <v>55</v>
      </c>
      <c r="N514" s="2" t="s">
        <v>458</v>
      </c>
      <c r="O514" s="2" t="s">
        <v>459</v>
      </c>
      <c r="P514" s="2" t="s">
        <v>4341</v>
      </c>
      <c r="Q514" s="2" t="s">
        <v>4342</v>
      </c>
      <c r="R514" s="2" t="s">
        <v>2215</v>
      </c>
      <c r="T514" s="2" t="s">
        <v>3400</v>
      </c>
      <c r="U514" s="2" t="s">
        <v>3401</v>
      </c>
      <c r="V514" s="2" t="s">
        <v>2515</v>
      </c>
      <c r="W514" s="2" t="s">
        <v>4343</v>
      </c>
      <c r="X514" s="2" t="s">
        <v>3404</v>
      </c>
      <c r="Y514" s="2" t="s">
        <v>3405</v>
      </c>
      <c r="Z514" s="2" t="s">
        <v>2148</v>
      </c>
      <c r="AA514" s="2" t="s">
        <v>3406</v>
      </c>
      <c r="AB514" s="2" t="s">
        <v>3407</v>
      </c>
      <c r="AC514" s="2" t="s">
        <v>2151</v>
      </c>
      <c r="AD514" s="2" t="s">
        <v>68</v>
      </c>
      <c r="AE514" s="2" t="s">
        <v>69</v>
      </c>
      <c r="AF514" s="2" t="s">
        <v>70</v>
      </c>
      <c r="AG514" s="2" t="s">
        <v>4341</v>
      </c>
      <c r="AK514" s="2" t="s">
        <v>4344</v>
      </c>
      <c r="AM514" s="2" t="s">
        <v>72</v>
      </c>
      <c r="AN514" s="2" t="s">
        <v>283</v>
      </c>
      <c r="AP514" s="2" t="s">
        <v>1681</v>
      </c>
      <c r="AU514" s="2" t="s">
        <v>75</v>
      </c>
      <c r="AV514" s="2" t="s">
        <v>3409</v>
      </c>
      <c r="AW514" s="2" t="s">
        <v>3410</v>
      </c>
      <c r="AX514" s="2" t="s">
        <v>477</v>
      </c>
      <c r="AZ514" s="2" t="s">
        <v>478</v>
      </c>
    </row>
    <row r="515" spans="1:52" s="3" customFormat="1" x14ac:dyDescent="0.35">
      <c r="A515" s="2" t="s">
        <v>4345</v>
      </c>
      <c r="B515" s="4">
        <v>246474</v>
      </c>
      <c r="C515" s="2" t="s">
        <v>4346</v>
      </c>
      <c r="D515" s="2">
        <f t="shared" ref="D515:D578" si="8">MONTH(C515)</f>
        <v>3</v>
      </c>
      <c r="F515" s="2" t="s">
        <v>4256</v>
      </c>
      <c r="G515" s="2" t="s">
        <v>53</v>
      </c>
      <c r="H515" s="4">
        <v>1</v>
      </c>
      <c r="I515" s="4">
        <v>1</v>
      </c>
      <c r="J515" s="5">
        <v>1179033</v>
      </c>
      <c r="L515" s="5">
        <v>1086783</v>
      </c>
      <c r="M515" s="2" t="s">
        <v>55</v>
      </c>
      <c r="N515" s="2" t="s">
        <v>458</v>
      </c>
      <c r="O515" s="2" t="s">
        <v>459</v>
      </c>
      <c r="P515" s="2" t="s">
        <v>4347</v>
      </c>
      <c r="Q515" s="2" t="s">
        <v>4348</v>
      </c>
      <c r="R515" s="2" t="s">
        <v>4349</v>
      </c>
      <c r="T515" s="2" t="s">
        <v>4350</v>
      </c>
      <c r="U515" s="2" t="s">
        <v>4351</v>
      </c>
      <c r="V515" s="2" t="s">
        <v>4352</v>
      </c>
      <c r="W515" s="2" t="s">
        <v>4353</v>
      </c>
      <c r="X515" s="2" t="s">
        <v>4354</v>
      </c>
      <c r="Y515" s="2" t="s">
        <v>4355</v>
      </c>
      <c r="Z515" s="2" t="s">
        <v>4356</v>
      </c>
      <c r="AA515" s="2" t="s">
        <v>4357</v>
      </c>
      <c r="AC515" s="2" t="s">
        <v>4358</v>
      </c>
      <c r="AD515" s="2" t="s">
        <v>1903</v>
      </c>
      <c r="AE515" s="2" t="s">
        <v>69</v>
      </c>
      <c r="AF515" s="2" t="s">
        <v>70</v>
      </c>
      <c r="AG515" s="2" t="s">
        <v>4347</v>
      </c>
      <c r="AK515" s="2" t="s">
        <v>4359</v>
      </c>
      <c r="AM515" s="2" t="s">
        <v>72</v>
      </c>
      <c r="AN515" s="2" t="s">
        <v>73</v>
      </c>
      <c r="AP515" s="2" t="s">
        <v>2705</v>
      </c>
      <c r="AU515" s="2" t="s">
        <v>75</v>
      </c>
      <c r="AV515" s="2" t="s">
        <v>4360</v>
      </c>
      <c r="AW515" s="2" t="s">
        <v>4361</v>
      </c>
      <c r="AX515" s="2" t="s">
        <v>477</v>
      </c>
      <c r="AZ515" s="2" t="s">
        <v>478</v>
      </c>
    </row>
    <row r="516" spans="1:52" s="3" customFormat="1" x14ac:dyDescent="0.35">
      <c r="A516" s="2" t="s">
        <v>4362</v>
      </c>
      <c r="B516" s="4">
        <v>248312</v>
      </c>
      <c r="C516" s="2" t="s">
        <v>4346</v>
      </c>
      <c r="D516" s="2">
        <f t="shared" si="8"/>
        <v>3</v>
      </c>
      <c r="F516" s="2" t="s">
        <v>2645</v>
      </c>
      <c r="G516" s="2" t="s">
        <v>53</v>
      </c>
      <c r="H516" s="4">
        <v>1</v>
      </c>
      <c r="I516" s="4">
        <v>1</v>
      </c>
      <c r="J516" s="5">
        <v>342000</v>
      </c>
      <c r="L516" s="5">
        <v>320967</v>
      </c>
      <c r="M516" s="2" t="s">
        <v>55</v>
      </c>
      <c r="N516" s="2" t="s">
        <v>458</v>
      </c>
      <c r="O516" s="2" t="s">
        <v>459</v>
      </c>
      <c r="P516" s="2" t="s">
        <v>4363</v>
      </c>
      <c r="Q516" s="2" t="s">
        <v>4364</v>
      </c>
      <c r="R516" s="2" t="s">
        <v>4349</v>
      </c>
      <c r="T516" s="2" t="s">
        <v>4350</v>
      </c>
      <c r="U516" s="2" t="s">
        <v>4351</v>
      </c>
      <c r="V516" s="2" t="s">
        <v>4365</v>
      </c>
      <c r="W516" s="2" t="s">
        <v>4366</v>
      </c>
      <c r="X516" s="2" t="s">
        <v>4354</v>
      </c>
      <c r="Y516" s="2" t="s">
        <v>4355</v>
      </c>
      <c r="Z516" s="2" t="s">
        <v>4356</v>
      </c>
      <c r="AA516" s="2" t="s">
        <v>4357</v>
      </c>
      <c r="AC516" s="2" t="s">
        <v>4358</v>
      </c>
      <c r="AD516" s="2" t="s">
        <v>1903</v>
      </c>
      <c r="AE516" s="2" t="s">
        <v>69</v>
      </c>
      <c r="AF516" s="2" t="s">
        <v>70</v>
      </c>
      <c r="AG516" s="2" t="s">
        <v>4363</v>
      </c>
      <c r="AK516" s="2" t="s">
        <v>4367</v>
      </c>
      <c r="AM516" s="2" t="s">
        <v>72</v>
      </c>
      <c r="AN516" s="2" t="s">
        <v>73</v>
      </c>
      <c r="AP516" s="2" t="s">
        <v>4368</v>
      </c>
      <c r="AU516" s="2" t="s">
        <v>75</v>
      </c>
      <c r="AV516" s="2" t="s">
        <v>4360</v>
      </c>
      <c r="AW516" s="2" t="s">
        <v>4361</v>
      </c>
      <c r="AX516" s="2" t="s">
        <v>477</v>
      </c>
      <c r="AZ516" s="2" t="s">
        <v>478</v>
      </c>
    </row>
    <row r="517" spans="1:52" s="3" customFormat="1" x14ac:dyDescent="0.35">
      <c r="A517" s="2" t="s">
        <v>4369</v>
      </c>
      <c r="B517" s="4">
        <v>246468</v>
      </c>
      <c r="C517" s="2" t="s">
        <v>4370</v>
      </c>
      <c r="D517" s="2">
        <f t="shared" si="8"/>
        <v>3</v>
      </c>
      <c r="F517" s="2" t="s">
        <v>4256</v>
      </c>
      <c r="G517" s="2" t="s">
        <v>53</v>
      </c>
      <c r="H517" s="4">
        <v>1</v>
      </c>
      <c r="I517" s="4">
        <v>1</v>
      </c>
      <c r="J517" s="5">
        <v>104000</v>
      </c>
      <c r="L517" s="5">
        <v>244010</v>
      </c>
      <c r="M517" s="2" t="s">
        <v>55</v>
      </c>
      <c r="N517" s="2" t="s">
        <v>458</v>
      </c>
      <c r="O517" s="2" t="s">
        <v>459</v>
      </c>
      <c r="P517" s="2" t="s">
        <v>4371</v>
      </c>
      <c r="Q517" s="2" t="s">
        <v>4372</v>
      </c>
      <c r="R517" s="2" t="s">
        <v>4373</v>
      </c>
      <c r="T517" s="2" t="s">
        <v>4374</v>
      </c>
      <c r="U517" s="2" t="s">
        <v>4375</v>
      </c>
      <c r="V517" s="2" t="s">
        <v>4376</v>
      </c>
      <c r="W517" s="2" t="s">
        <v>4377</v>
      </c>
      <c r="X517" s="2" t="s">
        <v>4378</v>
      </c>
      <c r="Y517" s="2" t="s">
        <v>4379</v>
      </c>
      <c r="Z517" s="2" t="s">
        <v>4380</v>
      </c>
      <c r="AA517" s="2" t="s">
        <v>4381</v>
      </c>
      <c r="AC517" s="2" t="s">
        <v>4382</v>
      </c>
      <c r="AD517" s="2" t="s">
        <v>3803</v>
      </c>
      <c r="AE517" s="2" t="s">
        <v>96</v>
      </c>
      <c r="AF517" s="2" t="s">
        <v>70</v>
      </c>
      <c r="AG517" s="2" t="s">
        <v>4383</v>
      </c>
      <c r="AK517" s="2" t="s">
        <v>4384</v>
      </c>
      <c r="AM517" s="2" t="s">
        <v>72</v>
      </c>
      <c r="AN517" s="2" t="s">
        <v>283</v>
      </c>
      <c r="AP517" s="2" t="s">
        <v>113</v>
      </c>
      <c r="AU517" s="2" t="s">
        <v>75</v>
      </c>
      <c r="AV517" s="2" t="s">
        <v>4256</v>
      </c>
      <c r="AW517" s="2" t="s">
        <v>4385</v>
      </c>
      <c r="AX517" s="2" t="s">
        <v>477</v>
      </c>
      <c r="AZ517" s="2" t="s">
        <v>478</v>
      </c>
    </row>
    <row r="518" spans="1:52" s="3" customFormat="1" x14ac:dyDescent="0.35">
      <c r="A518" s="2" t="s">
        <v>4369</v>
      </c>
      <c r="B518" s="4">
        <v>246468</v>
      </c>
      <c r="C518" s="2" t="s">
        <v>4370</v>
      </c>
      <c r="D518" s="2">
        <f t="shared" si="8"/>
        <v>3</v>
      </c>
      <c r="F518" s="2" t="s">
        <v>4256</v>
      </c>
      <c r="G518" s="2" t="s">
        <v>53</v>
      </c>
      <c r="H518" s="4">
        <v>1</v>
      </c>
      <c r="I518" s="4">
        <v>1</v>
      </c>
      <c r="J518" s="5">
        <v>156000</v>
      </c>
      <c r="L518" s="5">
        <v>244010</v>
      </c>
      <c r="M518" s="2" t="s">
        <v>55</v>
      </c>
      <c r="N518" s="2" t="s">
        <v>458</v>
      </c>
      <c r="O518" s="2" t="s">
        <v>459</v>
      </c>
      <c r="P518" s="2" t="s">
        <v>4386</v>
      </c>
      <c r="Q518" s="2" t="s">
        <v>4387</v>
      </c>
      <c r="R518" s="2" t="s">
        <v>4373</v>
      </c>
      <c r="T518" s="2" t="s">
        <v>4374</v>
      </c>
      <c r="U518" s="2" t="s">
        <v>4375</v>
      </c>
      <c r="V518" s="2" t="s">
        <v>4376</v>
      </c>
      <c r="W518" s="2" t="s">
        <v>4377</v>
      </c>
      <c r="X518" s="2" t="s">
        <v>4378</v>
      </c>
      <c r="Y518" s="2" t="s">
        <v>4379</v>
      </c>
      <c r="Z518" s="2" t="s">
        <v>4380</v>
      </c>
      <c r="AA518" s="2" t="s">
        <v>4381</v>
      </c>
      <c r="AC518" s="2" t="s">
        <v>4382</v>
      </c>
      <c r="AD518" s="2" t="s">
        <v>3803</v>
      </c>
      <c r="AE518" s="2" t="s">
        <v>96</v>
      </c>
      <c r="AF518" s="2" t="s">
        <v>70</v>
      </c>
      <c r="AG518" s="2" t="s">
        <v>4383</v>
      </c>
      <c r="AK518" s="2" t="s">
        <v>4384</v>
      </c>
      <c r="AM518" s="2" t="s">
        <v>72</v>
      </c>
      <c r="AN518" s="2" t="s">
        <v>283</v>
      </c>
      <c r="AP518" s="2" t="s">
        <v>4388</v>
      </c>
      <c r="AU518" s="2" t="s">
        <v>75</v>
      </c>
      <c r="AV518" s="2" t="s">
        <v>4256</v>
      </c>
      <c r="AW518" s="2" t="s">
        <v>4385</v>
      </c>
      <c r="AX518" s="2" t="s">
        <v>477</v>
      </c>
      <c r="AZ518" s="2" t="s">
        <v>478</v>
      </c>
    </row>
    <row r="519" spans="1:52" s="3" customFormat="1" x14ac:dyDescent="0.35">
      <c r="A519" s="2" t="s">
        <v>4389</v>
      </c>
      <c r="B519" s="4">
        <v>246467</v>
      </c>
      <c r="C519" s="2" t="s">
        <v>4390</v>
      </c>
      <c r="D519" s="2">
        <f t="shared" si="8"/>
        <v>3</v>
      </c>
      <c r="F519" s="2" t="s">
        <v>4256</v>
      </c>
      <c r="G519" s="2" t="s">
        <v>53</v>
      </c>
      <c r="H519" s="4">
        <v>1</v>
      </c>
      <c r="I519" s="4">
        <v>1</v>
      </c>
      <c r="J519" s="5">
        <v>400000</v>
      </c>
      <c r="K519" s="2" t="s">
        <v>1252</v>
      </c>
      <c r="L519" s="5">
        <v>400000</v>
      </c>
      <c r="M519" s="2" t="s">
        <v>55</v>
      </c>
      <c r="N519" s="2" t="s">
        <v>1253</v>
      </c>
      <c r="O519" s="2" t="s">
        <v>1254</v>
      </c>
      <c r="P519" s="2" t="s">
        <v>4391</v>
      </c>
      <c r="Q519" s="2" t="s">
        <v>4392</v>
      </c>
      <c r="R519" s="2" t="s">
        <v>4315</v>
      </c>
      <c r="T519" s="2" t="s">
        <v>1909</v>
      </c>
      <c r="U519" s="2" t="s">
        <v>1910</v>
      </c>
      <c r="V519" s="2" t="s">
        <v>4316</v>
      </c>
      <c r="W519" s="2" t="s">
        <v>4317</v>
      </c>
      <c r="X519" s="2" t="s">
        <v>4393</v>
      </c>
      <c r="Y519" s="2" t="s">
        <v>1912</v>
      </c>
      <c r="Z519" s="2" t="s">
        <v>1900</v>
      </c>
      <c r="AA519" s="2" t="s">
        <v>1901</v>
      </c>
      <c r="AC519" s="2" t="s">
        <v>1913</v>
      </c>
      <c r="AD519" s="2" t="s">
        <v>1903</v>
      </c>
      <c r="AE519" s="2" t="s">
        <v>69</v>
      </c>
      <c r="AF519" s="2" t="s">
        <v>97</v>
      </c>
      <c r="AG519" s="2" t="s">
        <v>4391</v>
      </c>
      <c r="AK519" s="2" t="s">
        <v>4394</v>
      </c>
      <c r="AM519" s="2" t="s">
        <v>72</v>
      </c>
      <c r="AN519" s="2" t="s">
        <v>403</v>
      </c>
      <c r="AP519" s="2" t="s">
        <v>4395</v>
      </c>
      <c r="AS519" s="2" t="s">
        <v>4396</v>
      </c>
      <c r="AT519" s="2" t="s">
        <v>3657</v>
      </c>
      <c r="AU519" s="2" t="s">
        <v>75</v>
      </c>
      <c r="AV519" s="2" t="s">
        <v>1915</v>
      </c>
      <c r="AW519" s="2" t="s">
        <v>1916</v>
      </c>
      <c r="AX519" s="2" t="s">
        <v>477</v>
      </c>
      <c r="AZ519" s="2" t="s">
        <v>478</v>
      </c>
    </row>
    <row r="520" spans="1:52" s="3" customFormat="1" x14ac:dyDescent="0.35">
      <c r="A520" s="2" t="s">
        <v>4397</v>
      </c>
      <c r="B520" s="4">
        <v>246561</v>
      </c>
      <c r="C520" s="2" t="s">
        <v>4398</v>
      </c>
      <c r="D520" s="2">
        <f t="shared" si="8"/>
        <v>3</v>
      </c>
      <c r="F520" s="2" t="s">
        <v>4242</v>
      </c>
      <c r="G520" s="2" t="s">
        <v>53</v>
      </c>
      <c r="H520" s="4">
        <v>7</v>
      </c>
      <c r="I520" s="4">
        <v>2</v>
      </c>
      <c r="J520" s="5">
        <v>180000</v>
      </c>
      <c r="L520" s="5">
        <v>168930</v>
      </c>
      <c r="M520" s="2" t="s">
        <v>55</v>
      </c>
      <c r="N520" s="2" t="s">
        <v>458</v>
      </c>
      <c r="O520" s="2" t="s">
        <v>459</v>
      </c>
      <c r="P520" s="2" t="s">
        <v>4171</v>
      </c>
      <c r="Q520" s="2" t="s">
        <v>4172</v>
      </c>
      <c r="R520" s="2" t="s">
        <v>4399</v>
      </c>
      <c r="T520" s="2" t="s">
        <v>4400</v>
      </c>
      <c r="U520" s="2" t="s">
        <v>4401</v>
      </c>
      <c r="V520" s="2" t="s">
        <v>4402</v>
      </c>
      <c r="W520" s="2" t="s">
        <v>4403</v>
      </c>
      <c r="X520" s="2" t="s">
        <v>4404</v>
      </c>
      <c r="Y520" s="2" t="s">
        <v>4405</v>
      </c>
      <c r="Z520" s="2" t="s">
        <v>2854</v>
      </c>
      <c r="AA520" s="2" t="s">
        <v>4406</v>
      </c>
      <c r="AB520" s="2" t="s">
        <v>4407</v>
      </c>
      <c r="AC520" s="2" t="s">
        <v>2856</v>
      </c>
      <c r="AD520" s="2" t="s">
        <v>68</v>
      </c>
      <c r="AE520" s="2" t="s">
        <v>69</v>
      </c>
      <c r="AF520" s="2" t="s">
        <v>70</v>
      </c>
      <c r="AG520" s="2" t="s">
        <v>4408</v>
      </c>
      <c r="AK520" s="2" t="s">
        <v>4409</v>
      </c>
      <c r="AM520" s="2" t="s">
        <v>72</v>
      </c>
      <c r="AN520" s="2" t="s">
        <v>73</v>
      </c>
      <c r="AP520" s="2" t="s">
        <v>74</v>
      </c>
      <c r="AU520" s="2" t="s">
        <v>75</v>
      </c>
      <c r="AV520" s="2" t="s">
        <v>2937</v>
      </c>
      <c r="AW520" s="2" t="s">
        <v>4410</v>
      </c>
      <c r="AX520" s="2" t="s">
        <v>477</v>
      </c>
      <c r="AZ520" s="2" t="s">
        <v>1256</v>
      </c>
    </row>
    <row r="521" spans="1:52" s="3" customFormat="1" x14ac:dyDescent="0.35">
      <c r="A521" s="2" t="s">
        <v>4411</v>
      </c>
      <c r="B521" s="4">
        <v>246429</v>
      </c>
      <c r="C521" s="2" t="s">
        <v>4412</v>
      </c>
      <c r="D521" s="2">
        <f t="shared" si="8"/>
        <v>3</v>
      </c>
      <c r="F521" s="2" t="s">
        <v>4256</v>
      </c>
      <c r="G521" s="2" t="s">
        <v>53</v>
      </c>
      <c r="H521" s="4">
        <v>6</v>
      </c>
      <c r="I521" s="4">
        <v>1</v>
      </c>
      <c r="J521" s="5">
        <v>196200</v>
      </c>
      <c r="K521" s="2" t="s">
        <v>1252</v>
      </c>
      <c r="L521" s="5">
        <v>196200</v>
      </c>
      <c r="M521" s="2" t="s">
        <v>55</v>
      </c>
      <c r="N521" s="2" t="s">
        <v>1253</v>
      </c>
      <c r="O521" s="2" t="s">
        <v>1254</v>
      </c>
      <c r="P521" s="2" t="s">
        <v>4413</v>
      </c>
      <c r="Q521" s="2" t="s">
        <v>4414</v>
      </c>
      <c r="R521" s="2" t="s">
        <v>4415</v>
      </c>
      <c r="T521" s="2" t="s">
        <v>4416</v>
      </c>
      <c r="U521" s="2" t="s">
        <v>4417</v>
      </c>
      <c r="V521" s="2" t="s">
        <v>4418</v>
      </c>
      <c r="W521" s="2" t="s">
        <v>4419</v>
      </c>
      <c r="X521" s="2" t="s">
        <v>4420</v>
      </c>
      <c r="Y521" s="2" t="s">
        <v>4421</v>
      </c>
      <c r="Z521" s="2" t="s">
        <v>4422</v>
      </c>
      <c r="AA521" s="2" t="s">
        <v>3228</v>
      </c>
      <c r="AB521" s="2" t="s">
        <v>4423</v>
      </c>
      <c r="AC521" s="2" t="s">
        <v>4424</v>
      </c>
      <c r="AD521" s="2" t="s">
        <v>68</v>
      </c>
      <c r="AE521" s="2" t="s">
        <v>69</v>
      </c>
      <c r="AF521" s="2" t="s">
        <v>97</v>
      </c>
      <c r="AG521" s="2" t="s">
        <v>4413</v>
      </c>
      <c r="AK521" s="2" t="s">
        <v>4425</v>
      </c>
      <c r="AM521" s="2" t="s">
        <v>72</v>
      </c>
      <c r="AN521" s="2" t="s">
        <v>73</v>
      </c>
      <c r="AP521" s="2" t="s">
        <v>4426</v>
      </c>
      <c r="AS521" s="2" t="s">
        <v>4427</v>
      </c>
      <c r="AT521" s="2" t="s">
        <v>102</v>
      </c>
      <c r="AU521" s="2" t="s">
        <v>75</v>
      </c>
      <c r="AV521" s="2" t="s">
        <v>4428</v>
      </c>
      <c r="AW521" s="2" t="s">
        <v>4429</v>
      </c>
      <c r="AX521" s="2" t="s">
        <v>477</v>
      </c>
      <c r="AZ521" s="2" t="s">
        <v>478</v>
      </c>
    </row>
    <row r="522" spans="1:52" s="3" customFormat="1" x14ac:dyDescent="0.35">
      <c r="A522" s="2" t="s">
        <v>4430</v>
      </c>
      <c r="B522" s="4">
        <v>246557</v>
      </c>
      <c r="C522" s="2" t="s">
        <v>4431</v>
      </c>
      <c r="D522" s="2">
        <f t="shared" si="8"/>
        <v>3</v>
      </c>
      <c r="F522" s="2" t="s">
        <v>1434</v>
      </c>
      <c r="G522" s="2" t="s">
        <v>53</v>
      </c>
      <c r="H522" s="4">
        <v>1</v>
      </c>
      <c r="I522" s="4">
        <v>1</v>
      </c>
      <c r="J522" s="5">
        <v>60000</v>
      </c>
      <c r="K522" s="2" t="s">
        <v>1252</v>
      </c>
      <c r="L522" s="5">
        <v>56310</v>
      </c>
      <c r="M522" s="2" t="s">
        <v>55</v>
      </c>
      <c r="N522" s="2" t="s">
        <v>1253</v>
      </c>
      <c r="O522" s="2" t="s">
        <v>1254</v>
      </c>
      <c r="P522" s="2" t="s">
        <v>4432</v>
      </c>
      <c r="Q522" s="2" t="s">
        <v>4433</v>
      </c>
      <c r="R522" s="2" t="s">
        <v>4434</v>
      </c>
      <c r="T522" s="2" t="s">
        <v>4435</v>
      </c>
      <c r="U522" s="2" t="s">
        <v>4436</v>
      </c>
      <c r="V522" s="2" t="s">
        <v>4437</v>
      </c>
      <c r="W522" s="2" t="s">
        <v>4438</v>
      </c>
      <c r="X522" s="2" t="s">
        <v>4438</v>
      </c>
      <c r="Y522" s="2" t="s">
        <v>4439</v>
      </c>
      <c r="Z522" s="2" t="s">
        <v>4440</v>
      </c>
      <c r="AA522" s="2" t="s">
        <v>4441</v>
      </c>
      <c r="AC522" s="2" t="s">
        <v>4442</v>
      </c>
      <c r="AD522" s="2" t="s">
        <v>3803</v>
      </c>
      <c r="AE522" s="2" t="s">
        <v>96</v>
      </c>
      <c r="AF522" s="2" t="s">
        <v>70</v>
      </c>
      <c r="AG522" s="2" t="s">
        <v>4443</v>
      </c>
      <c r="AK522" s="2" t="s">
        <v>4444</v>
      </c>
      <c r="AM522" s="2" t="s">
        <v>72</v>
      </c>
      <c r="AN522" s="2" t="s">
        <v>249</v>
      </c>
      <c r="AP522" s="2" t="s">
        <v>4445</v>
      </c>
      <c r="AU522" s="2" t="s">
        <v>75</v>
      </c>
      <c r="AV522" s="2" t="s">
        <v>404</v>
      </c>
      <c r="AW522" s="2" t="s">
        <v>4446</v>
      </c>
      <c r="AX522" s="2" t="s">
        <v>477</v>
      </c>
      <c r="AZ522" s="2" t="s">
        <v>1256</v>
      </c>
    </row>
    <row r="523" spans="1:52" s="3" customFormat="1" x14ac:dyDescent="0.35">
      <c r="A523" s="2" t="s">
        <v>4447</v>
      </c>
      <c r="B523" s="4">
        <v>246387</v>
      </c>
      <c r="C523" s="2" t="s">
        <v>4448</v>
      </c>
      <c r="D523" s="2">
        <f t="shared" si="8"/>
        <v>3</v>
      </c>
      <c r="F523" s="2" t="s">
        <v>4449</v>
      </c>
      <c r="G523" s="2" t="s">
        <v>53</v>
      </c>
      <c r="H523" s="4">
        <v>1</v>
      </c>
      <c r="I523" s="4">
        <v>1</v>
      </c>
      <c r="J523" s="4">
        <v>0</v>
      </c>
      <c r="L523" s="4">
        <v>0</v>
      </c>
      <c r="M523" s="2" t="s">
        <v>55</v>
      </c>
      <c r="N523" s="2" t="s">
        <v>56</v>
      </c>
      <c r="O523" s="2" t="s">
        <v>57</v>
      </c>
      <c r="P523" s="2" t="s">
        <v>3131</v>
      </c>
      <c r="Q523" s="2" t="s">
        <v>3132</v>
      </c>
      <c r="R523" s="2" t="s">
        <v>4450</v>
      </c>
      <c r="S523" s="2" t="s">
        <v>4451</v>
      </c>
      <c r="V523" s="2" t="s">
        <v>4452</v>
      </c>
      <c r="W523" s="2" t="s">
        <v>4453</v>
      </c>
      <c r="Y523" s="2" t="s">
        <v>4454</v>
      </c>
      <c r="Z523" s="2" t="s">
        <v>4455</v>
      </c>
      <c r="AA523" s="2" t="s">
        <v>4456</v>
      </c>
      <c r="AC523" s="2" t="s">
        <v>4457</v>
      </c>
      <c r="AD523" s="2" t="s">
        <v>3652</v>
      </c>
      <c r="AE523" s="2" t="s">
        <v>69</v>
      </c>
      <c r="AF523" s="2" t="s">
        <v>70</v>
      </c>
      <c r="AG523" s="2" t="s">
        <v>3131</v>
      </c>
      <c r="AK523" s="2" t="s">
        <v>4458</v>
      </c>
      <c r="AM523" s="2" t="s">
        <v>72</v>
      </c>
      <c r="AN523" s="2" t="s">
        <v>403</v>
      </c>
      <c r="AP523" s="2" t="s">
        <v>3144</v>
      </c>
      <c r="AT523" s="2" t="s">
        <v>114</v>
      </c>
      <c r="AU523" s="2" t="s">
        <v>75</v>
      </c>
      <c r="AW523" s="2" t="s">
        <v>4459</v>
      </c>
      <c r="AZ523" s="2" t="s">
        <v>116</v>
      </c>
    </row>
    <row r="524" spans="1:52" s="3" customFormat="1" x14ac:dyDescent="0.35">
      <c r="A524" s="2" t="s">
        <v>4460</v>
      </c>
      <c r="B524" s="4">
        <v>246386</v>
      </c>
      <c r="C524" s="2" t="s">
        <v>4461</v>
      </c>
      <c r="D524" s="2">
        <f t="shared" si="8"/>
        <v>3</v>
      </c>
      <c r="F524" s="2" t="s">
        <v>4449</v>
      </c>
      <c r="G524" s="2" t="s">
        <v>53</v>
      </c>
      <c r="H524" s="4">
        <v>1</v>
      </c>
      <c r="I524" s="4">
        <v>1</v>
      </c>
      <c r="J524" s="4">
        <v>0</v>
      </c>
      <c r="L524" s="4">
        <v>0</v>
      </c>
      <c r="M524" s="2" t="s">
        <v>55</v>
      </c>
      <c r="N524" s="2" t="s">
        <v>56</v>
      </c>
      <c r="O524" s="2" t="s">
        <v>57</v>
      </c>
      <c r="P524" s="2" t="s">
        <v>4462</v>
      </c>
      <c r="Q524" s="2" t="s">
        <v>4463</v>
      </c>
      <c r="R524" s="2" t="s">
        <v>4464</v>
      </c>
      <c r="S524" s="2" t="s">
        <v>4465</v>
      </c>
      <c r="V524" s="2" t="s">
        <v>4466</v>
      </c>
      <c r="W524" s="2" t="s">
        <v>4467</v>
      </c>
      <c r="Y524" s="2" t="s">
        <v>4454</v>
      </c>
      <c r="Z524" s="2" t="s">
        <v>4455</v>
      </c>
      <c r="AA524" s="2" t="s">
        <v>4456</v>
      </c>
      <c r="AC524" s="2" t="s">
        <v>4457</v>
      </c>
      <c r="AD524" s="2" t="s">
        <v>3652</v>
      </c>
      <c r="AE524" s="2" t="s">
        <v>69</v>
      </c>
      <c r="AF524" s="2" t="s">
        <v>70</v>
      </c>
      <c r="AG524" s="2" t="s">
        <v>4462</v>
      </c>
      <c r="AK524" s="2" t="s">
        <v>4468</v>
      </c>
      <c r="AM524" s="2" t="s">
        <v>72</v>
      </c>
      <c r="AN524" s="2" t="s">
        <v>403</v>
      </c>
      <c r="AP524" s="2" t="s">
        <v>3144</v>
      </c>
      <c r="AT524" s="2" t="s">
        <v>114</v>
      </c>
      <c r="AU524" s="2" t="s">
        <v>75</v>
      </c>
      <c r="AW524" s="2" t="s">
        <v>4469</v>
      </c>
      <c r="AZ524" s="2" t="s">
        <v>116</v>
      </c>
    </row>
    <row r="525" spans="1:52" s="3" customFormat="1" x14ac:dyDescent="0.35">
      <c r="A525" s="2" t="s">
        <v>4470</v>
      </c>
      <c r="B525" s="4">
        <v>245880</v>
      </c>
      <c r="C525" s="2" t="s">
        <v>4471</v>
      </c>
      <c r="D525" s="2">
        <f t="shared" si="8"/>
        <v>3</v>
      </c>
      <c r="F525" s="2" t="s">
        <v>4449</v>
      </c>
      <c r="G525" s="2" t="s">
        <v>53</v>
      </c>
      <c r="H525" s="4">
        <v>1</v>
      </c>
      <c r="I525" s="4">
        <v>1</v>
      </c>
      <c r="J525" s="5">
        <v>34999.99</v>
      </c>
      <c r="K525" s="2" t="s">
        <v>1814</v>
      </c>
      <c r="L525" s="5">
        <v>34999.99</v>
      </c>
      <c r="N525" s="2" t="s">
        <v>1814</v>
      </c>
      <c r="O525" s="2" t="s">
        <v>1815</v>
      </c>
      <c r="P525" s="2" t="s">
        <v>3075</v>
      </c>
      <c r="Q525" s="2" t="s">
        <v>3076</v>
      </c>
      <c r="R525" s="2" t="s">
        <v>4472</v>
      </c>
      <c r="S525" s="2" t="s">
        <v>4473</v>
      </c>
      <c r="T525" s="2" t="s">
        <v>4474</v>
      </c>
      <c r="U525" s="2" t="s">
        <v>4475</v>
      </c>
      <c r="V525" s="2" t="s">
        <v>4476</v>
      </c>
      <c r="W525" s="2" t="s">
        <v>4477</v>
      </c>
      <c r="X525" s="2" t="s">
        <v>4478</v>
      </c>
      <c r="Y525" s="2" t="s">
        <v>4479</v>
      </c>
      <c r="Z525" s="2" t="s">
        <v>4480</v>
      </c>
      <c r="AA525" s="2" t="s">
        <v>4481</v>
      </c>
      <c r="AB525" s="2" t="s">
        <v>4482</v>
      </c>
      <c r="AC525" s="2" t="s">
        <v>4483</v>
      </c>
      <c r="AD525" s="2" t="s">
        <v>1402</v>
      </c>
      <c r="AE525" s="2" t="s">
        <v>1403</v>
      </c>
      <c r="AF525" s="2" t="s">
        <v>97</v>
      </c>
      <c r="AG525" s="2" t="s">
        <v>3075</v>
      </c>
      <c r="AK525" s="2" t="s">
        <v>4484</v>
      </c>
      <c r="AL525" s="2" t="s">
        <v>4485</v>
      </c>
      <c r="AM525" s="2" t="s">
        <v>72</v>
      </c>
      <c r="AN525" s="2" t="s">
        <v>73</v>
      </c>
      <c r="AP525" s="2" t="s">
        <v>3088</v>
      </c>
      <c r="AS525" s="2" t="s">
        <v>4486</v>
      </c>
      <c r="AT525" s="2" t="s">
        <v>102</v>
      </c>
      <c r="AU525" s="2" t="s">
        <v>75</v>
      </c>
      <c r="AV525" s="2" t="s">
        <v>4449</v>
      </c>
      <c r="AW525" s="2" t="s">
        <v>4487</v>
      </c>
      <c r="AX525" s="2" t="s">
        <v>77</v>
      </c>
      <c r="AZ525" s="2" t="s">
        <v>77</v>
      </c>
    </row>
    <row r="526" spans="1:52" s="3" customFormat="1" x14ac:dyDescent="0.35">
      <c r="A526" s="2" t="s">
        <v>4488</v>
      </c>
      <c r="B526" s="4">
        <v>246310</v>
      </c>
      <c r="C526" s="2" t="s">
        <v>4489</v>
      </c>
      <c r="D526" s="2">
        <f t="shared" si="8"/>
        <v>3</v>
      </c>
      <c r="F526" s="2" t="s">
        <v>4256</v>
      </c>
      <c r="G526" s="2" t="s">
        <v>53</v>
      </c>
      <c r="H526" s="4">
        <v>1</v>
      </c>
      <c r="I526" s="4">
        <v>1</v>
      </c>
      <c r="J526" s="5">
        <v>241000</v>
      </c>
      <c r="L526" s="5">
        <v>237385</v>
      </c>
      <c r="M526" s="2" t="s">
        <v>55</v>
      </c>
      <c r="N526" s="2" t="s">
        <v>458</v>
      </c>
      <c r="O526" s="2" t="s">
        <v>459</v>
      </c>
      <c r="P526" s="2" t="s">
        <v>4490</v>
      </c>
      <c r="Q526" s="2" t="s">
        <v>4491</v>
      </c>
      <c r="R526" s="2" t="s">
        <v>4492</v>
      </c>
      <c r="T526" s="2" t="s">
        <v>4493</v>
      </c>
      <c r="U526" s="2" t="s">
        <v>4494</v>
      </c>
      <c r="V526" s="2" t="s">
        <v>4495</v>
      </c>
      <c r="W526" s="2" t="s">
        <v>4496</v>
      </c>
      <c r="X526" s="2" t="s">
        <v>4496</v>
      </c>
      <c r="Y526" s="2" t="s">
        <v>4497</v>
      </c>
      <c r="Z526" s="2" t="s">
        <v>4498</v>
      </c>
      <c r="AA526" s="2" t="s">
        <v>4499</v>
      </c>
      <c r="AC526" s="2" t="s">
        <v>4500</v>
      </c>
      <c r="AD526" s="2" t="s">
        <v>3601</v>
      </c>
      <c r="AE526" s="2" t="s">
        <v>3602</v>
      </c>
      <c r="AF526" s="2" t="s">
        <v>70</v>
      </c>
      <c r="AG526" s="2" t="s">
        <v>4490</v>
      </c>
      <c r="AK526" s="2" t="s">
        <v>4501</v>
      </c>
      <c r="AM526" s="2" t="s">
        <v>72</v>
      </c>
      <c r="AN526" s="2" t="s">
        <v>232</v>
      </c>
      <c r="AP526" s="2" t="s">
        <v>1884</v>
      </c>
      <c r="AU526" s="2" t="s">
        <v>75</v>
      </c>
      <c r="AV526" s="2" t="s">
        <v>4502</v>
      </c>
      <c r="AW526" s="2" t="s">
        <v>4503</v>
      </c>
      <c r="AX526" s="2" t="s">
        <v>477</v>
      </c>
      <c r="AZ526" s="2" t="s">
        <v>478</v>
      </c>
    </row>
    <row r="527" spans="1:52" s="3" customFormat="1" x14ac:dyDescent="0.35">
      <c r="A527" s="2" t="s">
        <v>4504</v>
      </c>
      <c r="B527" s="4">
        <v>246252</v>
      </c>
      <c r="C527" s="2" t="s">
        <v>4505</v>
      </c>
      <c r="D527" s="2">
        <f t="shared" si="8"/>
        <v>3</v>
      </c>
      <c r="F527" s="2" t="s">
        <v>4256</v>
      </c>
      <c r="G527" s="2" t="s">
        <v>53</v>
      </c>
      <c r="H527" s="4">
        <v>1</v>
      </c>
      <c r="I527" s="4">
        <v>1</v>
      </c>
      <c r="J527" s="5">
        <v>3000</v>
      </c>
      <c r="L527" s="5">
        <v>2815.5</v>
      </c>
      <c r="M527" s="2" t="s">
        <v>55</v>
      </c>
      <c r="N527" s="2" t="s">
        <v>458</v>
      </c>
      <c r="O527" s="2" t="s">
        <v>459</v>
      </c>
      <c r="P527" s="2" t="s">
        <v>4506</v>
      </c>
      <c r="Q527" s="2" t="s">
        <v>4507</v>
      </c>
      <c r="R527" s="2" t="s">
        <v>4492</v>
      </c>
      <c r="T527" s="2" t="s">
        <v>4493</v>
      </c>
      <c r="U527" s="2" t="s">
        <v>4494</v>
      </c>
      <c r="V527" s="2" t="s">
        <v>4495</v>
      </c>
      <c r="W527" s="2" t="s">
        <v>4496</v>
      </c>
      <c r="X527" s="2" t="s">
        <v>4496</v>
      </c>
      <c r="Y527" s="2" t="s">
        <v>4497</v>
      </c>
      <c r="Z527" s="2" t="s">
        <v>4498</v>
      </c>
      <c r="AA527" s="2" t="s">
        <v>4499</v>
      </c>
      <c r="AC527" s="2" t="s">
        <v>4500</v>
      </c>
      <c r="AD527" s="2" t="s">
        <v>3601</v>
      </c>
      <c r="AE527" s="2" t="s">
        <v>3602</v>
      </c>
      <c r="AF527" s="2" t="s">
        <v>70</v>
      </c>
      <c r="AG527" s="2" t="s">
        <v>4506</v>
      </c>
      <c r="AK527" s="2" t="s">
        <v>4508</v>
      </c>
      <c r="AM527" s="2" t="s">
        <v>72</v>
      </c>
      <c r="AN527" s="2" t="s">
        <v>232</v>
      </c>
      <c r="AP527" s="2" t="s">
        <v>2705</v>
      </c>
      <c r="AU527" s="2" t="s">
        <v>75</v>
      </c>
      <c r="AV527" s="2" t="s">
        <v>4502</v>
      </c>
      <c r="AW527" s="2" t="s">
        <v>4503</v>
      </c>
      <c r="AX527" s="2" t="s">
        <v>477</v>
      </c>
      <c r="AZ527" s="2" t="s">
        <v>478</v>
      </c>
    </row>
    <row r="528" spans="1:52" s="3" customFormat="1" x14ac:dyDescent="0.35">
      <c r="A528" s="2" t="s">
        <v>4509</v>
      </c>
      <c r="B528" s="4">
        <v>246251</v>
      </c>
      <c r="C528" s="2" t="s">
        <v>4510</v>
      </c>
      <c r="D528" s="2">
        <f t="shared" si="8"/>
        <v>3</v>
      </c>
      <c r="F528" s="2" t="s">
        <v>4256</v>
      </c>
      <c r="G528" s="2" t="s">
        <v>53</v>
      </c>
      <c r="H528" s="4">
        <v>1</v>
      </c>
      <c r="I528" s="4">
        <v>1</v>
      </c>
      <c r="J528" s="5">
        <v>3000</v>
      </c>
      <c r="L528" s="5">
        <v>2815.5</v>
      </c>
      <c r="M528" s="2" t="s">
        <v>55</v>
      </c>
      <c r="N528" s="2" t="s">
        <v>458</v>
      </c>
      <c r="O528" s="2" t="s">
        <v>459</v>
      </c>
      <c r="P528" s="2" t="s">
        <v>4511</v>
      </c>
      <c r="Q528" s="2" t="s">
        <v>4512</v>
      </c>
      <c r="R528" s="2" t="s">
        <v>4492</v>
      </c>
      <c r="T528" s="2" t="s">
        <v>4493</v>
      </c>
      <c r="U528" s="2" t="s">
        <v>4494</v>
      </c>
      <c r="V528" s="2" t="s">
        <v>4495</v>
      </c>
      <c r="W528" s="2" t="s">
        <v>4496</v>
      </c>
      <c r="X528" s="2" t="s">
        <v>4496</v>
      </c>
      <c r="Y528" s="2" t="s">
        <v>4497</v>
      </c>
      <c r="Z528" s="2" t="s">
        <v>4498</v>
      </c>
      <c r="AA528" s="2" t="s">
        <v>4499</v>
      </c>
      <c r="AC528" s="2" t="s">
        <v>4500</v>
      </c>
      <c r="AD528" s="2" t="s">
        <v>3601</v>
      </c>
      <c r="AE528" s="2" t="s">
        <v>3602</v>
      </c>
      <c r="AF528" s="2" t="s">
        <v>70</v>
      </c>
      <c r="AG528" s="2" t="s">
        <v>4511</v>
      </c>
      <c r="AK528" s="2" t="s">
        <v>4513</v>
      </c>
      <c r="AM528" s="2" t="s">
        <v>72</v>
      </c>
      <c r="AN528" s="2" t="s">
        <v>232</v>
      </c>
      <c r="AP528" s="2" t="s">
        <v>2705</v>
      </c>
      <c r="AU528" s="2" t="s">
        <v>75</v>
      </c>
      <c r="AV528" s="2" t="s">
        <v>4502</v>
      </c>
      <c r="AW528" s="2" t="s">
        <v>4503</v>
      </c>
      <c r="AX528" s="2" t="s">
        <v>477</v>
      </c>
      <c r="AZ528" s="2" t="s">
        <v>478</v>
      </c>
    </row>
    <row r="529" spans="1:52" s="3" customFormat="1" x14ac:dyDescent="0.35">
      <c r="A529" s="2" t="s">
        <v>4514</v>
      </c>
      <c r="B529" s="4">
        <v>246248</v>
      </c>
      <c r="C529" s="2" t="s">
        <v>4515</v>
      </c>
      <c r="D529" s="2">
        <f t="shared" si="8"/>
        <v>3</v>
      </c>
      <c r="F529" s="2" t="s">
        <v>4256</v>
      </c>
      <c r="G529" s="2" t="s">
        <v>53</v>
      </c>
      <c r="H529" s="4">
        <v>1</v>
      </c>
      <c r="I529" s="4">
        <v>1</v>
      </c>
      <c r="J529" s="5">
        <v>3000</v>
      </c>
      <c r="L529" s="5">
        <v>2815.5</v>
      </c>
      <c r="M529" s="2" t="s">
        <v>55</v>
      </c>
      <c r="N529" s="2" t="s">
        <v>458</v>
      </c>
      <c r="O529" s="2" t="s">
        <v>459</v>
      </c>
      <c r="P529" s="2" t="s">
        <v>4516</v>
      </c>
      <c r="Q529" s="2" t="s">
        <v>4517</v>
      </c>
      <c r="R529" s="2" t="s">
        <v>4492</v>
      </c>
      <c r="T529" s="2" t="s">
        <v>4493</v>
      </c>
      <c r="U529" s="2" t="s">
        <v>4494</v>
      </c>
      <c r="V529" s="2" t="s">
        <v>4495</v>
      </c>
      <c r="W529" s="2" t="s">
        <v>4496</v>
      </c>
      <c r="X529" s="2" t="s">
        <v>4496</v>
      </c>
      <c r="Y529" s="2" t="s">
        <v>4497</v>
      </c>
      <c r="Z529" s="2" t="s">
        <v>4498</v>
      </c>
      <c r="AA529" s="2" t="s">
        <v>4499</v>
      </c>
      <c r="AC529" s="2" t="s">
        <v>4500</v>
      </c>
      <c r="AD529" s="2" t="s">
        <v>3601</v>
      </c>
      <c r="AE529" s="2" t="s">
        <v>3602</v>
      </c>
      <c r="AF529" s="2" t="s">
        <v>70</v>
      </c>
      <c r="AG529" s="2" t="s">
        <v>4516</v>
      </c>
      <c r="AK529" s="2" t="s">
        <v>4518</v>
      </c>
      <c r="AM529" s="2" t="s">
        <v>72</v>
      </c>
      <c r="AN529" s="2" t="s">
        <v>232</v>
      </c>
      <c r="AP529" s="2" t="s">
        <v>2705</v>
      </c>
      <c r="AU529" s="2" t="s">
        <v>75</v>
      </c>
      <c r="AV529" s="2" t="s">
        <v>4502</v>
      </c>
      <c r="AW529" s="2" t="s">
        <v>4503</v>
      </c>
      <c r="AX529" s="2" t="s">
        <v>477</v>
      </c>
      <c r="AZ529" s="2" t="s">
        <v>478</v>
      </c>
    </row>
    <row r="530" spans="1:52" s="3" customFormat="1" x14ac:dyDescent="0.35">
      <c r="A530" s="2" t="s">
        <v>4519</v>
      </c>
      <c r="B530" s="4">
        <v>246243</v>
      </c>
      <c r="C530" s="2" t="s">
        <v>4520</v>
      </c>
      <c r="D530" s="2">
        <f t="shared" si="8"/>
        <v>3</v>
      </c>
      <c r="F530" s="2" t="s">
        <v>4256</v>
      </c>
      <c r="G530" s="2" t="s">
        <v>53</v>
      </c>
      <c r="H530" s="4">
        <v>3</v>
      </c>
      <c r="I530" s="4">
        <v>1</v>
      </c>
      <c r="J530" s="5">
        <v>83700</v>
      </c>
      <c r="L530" s="5">
        <v>83700</v>
      </c>
      <c r="M530" s="2" t="s">
        <v>55</v>
      </c>
      <c r="N530" s="2" t="s">
        <v>458</v>
      </c>
      <c r="O530" s="2" t="s">
        <v>459</v>
      </c>
      <c r="P530" s="2" t="s">
        <v>4521</v>
      </c>
      <c r="Q530" s="2" t="s">
        <v>4522</v>
      </c>
      <c r="R530" s="2" t="s">
        <v>4523</v>
      </c>
      <c r="T530" s="2" t="s">
        <v>4524</v>
      </c>
      <c r="U530" s="2" t="s">
        <v>4525</v>
      </c>
      <c r="V530" s="2" t="s">
        <v>4526</v>
      </c>
      <c r="W530" s="2" t="s">
        <v>4527</v>
      </c>
      <c r="X530" s="2" t="s">
        <v>4527</v>
      </c>
      <c r="Y530" s="2" t="s">
        <v>4528</v>
      </c>
      <c r="Z530" s="2" t="s">
        <v>4529</v>
      </c>
      <c r="AA530" s="2" t="s">
        <v>4530</v>
      </c>
      <c r="AC530" s="2" t="s">
        <v>4531</v>
      </c>
      <c r="AD530" s="2" t="s">
        <v>3714</v>
      </c>
      <c r="AE530" s="2" t="s">
        <v>3425</v>
      </c>
      <c r="AF530" s="2" t="s">
        <v>97</v>
      </c>
      <c r="AG530" s="2" t="s">
        <v>4521</v>
      </c>
      <c r="AK530" s="2" t="s">
        <v>4532</v>
      </c>
      <c r="AM530" s="2" t="s">
        <v>72</v>
      </c>
      <c r="AN530" s="2" t="s">
        <v>232</v>
      </c>
      <c r="AP530" s="2" t="s">
        <v>4533</v>
      </c>
      <c r="AS530" s="2" t="s">
        <v>4534</v>
      </c>
      <c r="AT530" s="2" t="s">
        <v>3657</v>
      </c>
      <c r="AU530" s="2" t="s">
        <v>75</v>
      </c>
      <c r="AV530" s="2" t="s">
        <v>4535</v>
      </c>
      <c r="AW530" s="2" t="s">
        <v>4536</v>
      </c>
      <c r="AX530" s="2" t="s">
        <v>477</v>
      </c>
      <c r="AZ530" s="2" t="s">
        <v>478</v>
      </c>
    </row>
    <row r="531" spans="1:52" s="3" customFormat="1" x14ac:dyDescent="0.35">
      <c r="A531" s="2" t="s">
        <v>4537</v>
      </c>
      <c r="B531" s="4">
        <v>246114</v>
      </c>
      <c r="C531" s="2" t="s">
        <v>4538</v>
      </c>
      <c r="D531" s="2">
        <f t="shared" si="8"/>
        <v>3</v>
      </c>
      <c r="F531" s="2" t="s">
        <v>4256</v>
      </c>
      <c r="G531" s="2" t="s">
        <v>53</v>
      </c>
      <c r="H531" s="4">
        <v>1</v>
      </c>
      <c r="I531" s="4">
        <v>3</v>
      </c>
      <c r="J531" s="5">
        <v>4267500</v>
      </c>
      <c r="L531" s="5">
        <v>4005048.75</v>
      </c>
      <c r="M531" s="2" t="s">
        <v>55</v>
      </c>
      <c r="N531" s="2" t="s">
        <v>458</v>
      </c>
      <c r="O531" s="2" t="s">
        <v>459</v>
      </c>
      <c r="P531" s="2" t="s">
        <v>4539</v>
      </c>
      <c r="Q531" s="2" t="s">
        <v>4540</v>
      </c>
      <c r="R531" s="2" t="s">
        <v>1034</v>
      </c>
      <c r="T531" s="2" t="s">
        <v>1035</v>
      </c>
      <c r="U531" s="2" t="s">
        <v>1036</v>
      </c>
      <c r="V531" s="2" t="s">
        <v>1037</v>
      </c>
      <c r="W531" s="2" t="s">
        <v>2419</v>
      </c>
      <c r="X531" s="2" t="s">
        <v>2420</v>
      </c>
      <c r="Y531" s="2" t="s">
        <v>1040</v>
      </c>
      <c r="Z531" s="2" t="s">
        <v>1041</v>
      </c>
      <c r="AA531" s="2" t="s">
        <v>1042</v>
      </c>
      <c r="AB531" s="2" t="s">
        <v>1043</v>
      </c>
      <c r="AC531" s="2" t="s">
        <v>1044</v>
      </c>
      <c r="AD531" s="2" t="s">
        <v>68</v>
      </c>
      <c r="AE531" s="2" t="s">
        <v>69</v>
      </c>
      <c r="AF531" s="2" t="s">
        <v>70</v>
      </c>
      <c r="AG531" s="2" t="s">
        <v>4541</v>
      </c>
      <c r="AK531" s="2" t="s">
        <v>4542</v>
      </c>
      <c r="AM531" s="2" t="s">
        <v>72</v>
      </c>
      <c r="AN531" s="2" t="s">
        <v>1046</v>
      </c>
      <c r="AP531" s="2" t="s">
        <v>4543</v>
      </c>
      <c r="AU531" s="2" t="s">
        <v>75</v>
      </c>
      <c r="AV531" s="2" t="s">
        <v>1047</v>
      </c>
      <c r="AW531" s="2" t="s">
        <v>1048</v>
      </c>
      <c r="AX531" s="2" t="s">
        <v>477</v>
      </c>
      <c r="AZ531" s="2" t="s">
        <v>478</v>
      </c>
    </row>
    <row r="532" spans="1:52" s="3" customFormat="1" x14ac:dyDescent="0.35">
      <c r="A532" s="2" t="s">
        <v>4544</v>
      </c>
      <c r="B532" s="4">
        <v>246014</v>
      </c>
      <c r="C532" s="2" t="s">
        <v>4545</v>
      </c>
      <c r="D532" s="2">
        <f t="shared" si="8"/>
        <v>3</v>
      </c>
      <c r="F532" s="2" t="s">
        <v>4546</v>
      </c>
      <c r="G532" s="2" t="s">
        <v>53</v>
      </c>
      <c r="H532" s="4">
        <v>1</v>
      </c>
      <c r="I532" s="4">
        <v>1</v>
      </c>
      <c r="J532" s="5">
        <v>1999.99</v>
      </c>
      <c r="K532" s="2" t="s">
        <v>1252</v>
      </c>
      <c r="L532" s="5">
        <v>1999.99</v>
      </c>
      <c r="M532" s="2" t="s">
        <v>55</v>
      </c>
      <c r="N532" s="2" t="s">
        <v>1253</v>
      </c>
      <c r="O532" s="2" t="s">
        <v>1254</v>
      </c>
      <c r="P532" s="2" t="s">
        <v>4011</v>
      </c>
      <c r="Q532" s="2" t="s">
        <v>4012</v>
      </c>
      <c r="R532" s="2" t="s">
        <v>4547</v>
      </c>
      <c r="S532" s="2" t="s">
        <v>4548</v>
      </c>
      <c r="V532" s="2" t="s">
        <v>4549</v>
      </c>
      <c r="W532" s="2" t="s">
        <v>4550</v>
      </c>
      <c r="Y532" s="2" t="s">
        <v>4551</v>
      </c>
      <c r="Z532" s="2" t="s">
        <v>4552</v>
      </c>
      <c r="AA532" s="2" t="s">
        <v>2140</v>
      </c>
      <c r="AB532" s="2" t="s">
        <v>4553</v>
      </c>
      <c r="AC532" s="2" t="s">
        <v>4554</v>
      </c>
      <c r="AD532" s="2" t="s">
        <v>4058</v>
      </c>
      <c r="AE532" s="2" t="s">
        <v>69</v>
      </c>
      <c r="AF532" s="2" t="s">
        <v>70</v>
      </c>
      <c r="AG532" s="2" t="s">
        <v>4011</v>
      </c>
      <c r="AK532" s="2" t="s">
        <v>4555</v>
      </c>
      <c r="AM532" s="2" t="s">
        <v>72</v>
      </c>
      <c r="AN532" s="2" t="s">
        <v>1046</v>
      </c>
      <c r="AP532" s="2" t="s">
        <v>3918</v>
      </c>
      <c r="AU532" s="2" t="s">
        <v>75</v>
      </c>
      <c r="AV532" s="2" t="s">
        <v>4546</v>
      </c>
      <c r="AW532" s="2" t="s">
        <v>4556</v>
      </c>
      <c r="AX532" s="2" t="s">
        <v>77</v>
      </c>
      <c r="AZ532" s="2" t="s">
        <v>77</v>
      </c>
    </row>
    <row r="533" spans="1:52" s="3" customFormat="1" x14ac:dyDescent="0.35">
      <c r="A533" s="2" t="s">
        <v>4557</v>
      </c>
      <c r="B533" s="4">
        <v>246010</v>
      </c>
      <c r="C533" s="2" t="s">
        <v>4558</v>
      </c>
      <c r="D533" s="2">
        <f t="shared" si="8"/>
        <v>3</v>
      </c>
      <c r="F533" s="2" t="s">
        <v>4546</v>
      </c>
      <c r="G533" s="2" t="s">
        <v>53</v>
      </c>
      <c r="H533" s="4">
        <v>1</v>
      </c>
      <c r="I533" s="4">
        <v>1</v>
      </c>
      <c r="J533" s="5">
        <v>1999.99</v>
      </c>
      <c r="K533" s="2" t="s">
        <v>1252</v>
      </c>
      <c r="L533" s="5">
        <v>1999.99</v>
      </c>
      <c r="M533" s="2" t="s">
        <v>55</v>
      </c>
      <c r="N533" s="2" t="s">
        <v>1253</v>
      </c>
      <c r="O533" s="2" t="s">
        <v>1254</v>
      </c>
      <c r="P533" s="2" t="s">
        <v>4011</v>
      </c>
      <c r="Q533" s="2" t="s">
        <v>4012</v>
      </c>
      <c r="R533" s="2" t="s">
        <v>4559</v>
      </c>
      <c r="S533" s="2" t="s">
        <v>4560</v>
      </c>
      <c r="V533" s="2" t="s">
        <v>4561</v>
      </c>
      <c r="W533" s="2" t="s">
        <v>4562</v>
      </c>
      <c r="Y533" s="2" t="s">
        <v>4563</v>
      </c>
      <c r="Z533" s="2" t="s">
        <v>4564</v>
      </c>
      <c r="AA533" s="2" t="s">
        <v>2676</v>
      </c>
      <c r="AC533" s="2" t="s">
        <v>3173</v>
      </c>
      <c r="AD533" s="2" t="s">
        <v>68</v>
      </c>
      <c r="AE533" s="2" t="s">
        <v>69</v>
      </c>
      <c r="AF533" s="2" t="s">
        <v>70</v>
      </c>
      <c r="AG533" s="2" t="s">
        <v>4011</v>
      </c>
      <c r="AK533" s="2" t="s">
        <v>4565</v>
      </c>
      <c r="AM533" s="2" t="s">
        <v>72</v>
      </c>
      <c r="AN533" s="2" t="s">
        <v>1046</v>
      </c>
      <c r="AP533" s="2" t="s">
        <v>3918</v>
      </c>
      <c r="AU533" s="2" t="s">
        <v>75</v>
      </c>
      <c r="AV533" s="2" t="s">
        <v>4546</v>
      </c>
      <c r="AW533" s="2" t="s">
        <v>4566</v>
      </c>
      <c r="AX533" s="2" t="s">
        <v>77</v>
      </c>
      <c r="AZ533" s="2" t="s">
        <v>77</v>
      </c>
    </row>
    <row r="534" spans="1:52" s="3" customFormat="1" x14ac:dyDescent="0.35">
      <c r="A534" s="2" t="s">
        <v>4567</v>
      </c>
      <c r="B534" s="4">
        <v>247300</v>
      </c>
      <c r="C534" s="2" t="s">
        <v>4568</v>
      </c>
      <c r="D534" s="2">
        <f t="shared" si="8"/>
        <v>3</v>
      </c>
      <c r="F534" s="2" t="s">
        <v>3886</v>
      </c>
      <c r="G534" s="2" t="s">
        <v>53</v>
      </c>
      <c r="H534" s="4">
        <v>1</v>
      </c>
      <c r="I534" s="4">
        <v>1</v>
      </c>
      <c r="J534" s="5">
        <v>72000</v>
      </c>
      <c r="L534" s="5">
        <v>67572</v>
      </c>
      <c r="M534" s="2" t="s">
        <v>55</v>
      </c>
      <c r="N534" s="2" t="s">
        <v>458</v>
      </c>
      <c r="O534" s="2" t="s">
        <v>459</v>
      </c>
      <c r="P534" s="2" t="s">
        <v>4569</v>
      </c>
      <c r="Q534" s="2" t="s">
        <v>4570</v>
      </c>
      <c r="R534" s="2" t="s">
        <v>4571</v>
      </c>
      <c r="T534" s="2" t="s">
        <v>4572</v>
      </c>
      <c r="U534" s="2" t="s">
        <v>4573</v>
      </c>
      <c r="V534" s="2" t="s">
        <v>4574</v>
      </c>
      <c r="W534" s="2" t="s">
        <v>4575</v>
      </c>
      <c r="X534" s="2" t="s">
        <v>4576</v>
      </c>
      <c r="Y534" s="2" t="s">
        <v>3405</v>
      </c>
      <c r="Z534" s="2" t="s">
        <v>2148</v>
      </c>
      <c r="AA534" s="2" t="s">
        <v>3406</v>
      </c>
      <c r="AB534" s="2" t="s">
        <v>4577</v>
      </c>
      <c r="AC534" s="2" t="s">
        <v>2151</v>
      </c>
      <c r="AD534" s="2" t="s">
        <v>68</v>
      </c>
      <c r="AE534" s="2" t="s">
        <v>69</v>
      </c>
      <c r="AF534" s="2" t="s">
        <v>70</v>
      </c>
      <c r="AG534" s="2" t="s">
        <v>4569</v>
      </c>
      <c r="AK534" s="2" t="s">
        <v>4578</v>
      </c>
      <c r="AM534" s="2" t="s">
        <v>72</v>
      </c>
      <c r="AN534" s="2" t="s">
        <v>473</v>
      </c>
      <c r="AP534" s="2" t="s">
        <v>3918</v>
      </c>
      <c r="AU534" s="2" t="s">
        <v>75</v>
      </c>
      <c r="AV534" s="2" t="s">
        <v>4579</v>
      </c>
      <c r="AW534" s="2" t="s">
        <v>4580</v>
      </c>
      <c r="AX534" s="2" t="s">
        <v>77</v>
      </c>
      <c r="AZ534" s="2" t="s">
        <v>77</v>
      </c>
    </row>
    <row r="535" spans="1:52" s="3" customFormat="1" x14ac:dyDescent="0.35">
      <c r="A535" s="2" t="s">
        <v>4582</v>
      </c>
      <c r="B535" s="4">
        <v>245767</v>
      </c>
      <c r="C535" s="2" t="s">
        <v>4583</v>
      </c>
      <c r="D535" s="2">
        <f t="shared" si="8"/>
        <v>3</v>
      </c>
      <c r="F535" s="2" t="s">
        <v>1763</v>
      </c>
      <c r="G535" s="2" t="s">
        <v>53</v>
      </c>
      <c r="H535" s="4">
        <v>1</v>
      </c>
      <c r="I535" s="4">
        <v>1</v>
      </c>
      <c r="J535" s="5">
        <v>45000</v>
      </c>
      <c r="K535" s="2" t="s">
        <v>1252</v>
      </c>
      <c r="L535" s="5">
        <v>42232.5</v>
      </c>
      <c r="M535" s="2" t="s">
        <v>55</v>
      </c>
      <c r="N535" s="2" t="s">
        <v>1253</v>
      </c>
      <c r="O535" s="2" t="s">
        <v>1254</v>
      </c>
      <c r="P535" s="2" t="s">
        <v>4584</v>
      </c>
      <c r="Q535" s="2" t="s">
        <v>4585</v>
      </c>
      <c r="R535" s="2" t="s">
        <v>4586</v>
      </c>
      <c r="T535" s="2" t="s">
        <v>4587</v>
      </c>
      <c r="U535" s="2" t="s">
        <v>4588</v>
      </c>
      <c r="V535" s="2" t="s">
        <v>4589</v>
      </c>
      <c r="W535" s="2" t="s">
        <v>4590</v>
      </c>
      <c r="X535" s="2" t="s">
        <v>4590</v>
      </c>
      <c r="Y535" s="2" t="s">
        <v>4591</v>
      </c>
      <c r="Z535" s="2" t="s">
        <v>4592</v>
      </c>
      <c r="AA535" s="2" t="s">
        <v>4593</v>
      </c>
      <c r="AB535" s="2" t="s">
        <v>4594</v>
      </c>
      <c r="AC535" s="2" t="s">
        <v>4595</v>
      </c>
      <c r="AD535" s="2" t="s">
        <v>68</v>
      </c>
      <c r="AE535" s="2" t="s">
        <v>69</v>
      </c>
      <c r="AF535" s="2" t="s">
        <v>70</v>
      </c>
      <c r="AG535" s="2" t="s">
        <v>4584</v>
      </c>
      <c r="AK535" s="2" t="s">
        <v>4596</v>
      </c>
      <c r="AM535" s="2" t="s">
        <v>72</v>
      </c>
      <c r="AN535" s="2" t="s">
        <v>403</v>
      </c>
      <c r="AP535" s="2" t="s">
        <v>3464</v>
      </c>
      <c r="AU535" s="2" t="s">
        <v>75</v>
      </c>
      <c r="AV535" s="2" t="s">
        <v>1763</v>
      </c>
      <c r="AW535" s="2" t="s">
        <v>4597</v>
      </c>
      <c r="AX535" s="2" t="s">
        <v>477</v>
      </c>
      <c r="AZ535" s="2" t="s">
        <v>478</v>
      </c>
    </row>
    <row r="536" spans="1:52" s="3" customFormat="1" x14ac:dyDescent="0.35">
      <c r="A536" s="2" t="s">
        <v>4598</v>
      </c>
      <c r="B536" s="4">
        <v>245766</v>
      </c>
      <c r="C536" s="2" t="s">
        <v>4599</v>
      </c>
      <c r="D536" s="2">
        <f t="shared" si="8"/>
        <v>3</v>
      </c>
      <c r="F536" s="2" t="s">
        <v>4449</v>
      </c>
      <c r="G536" s="2" t="s">
        <v>53</v>
      </c>
      <c r="H536" s="4">
        <v>1</v>
      </c>
      <c r="I536" s="4">
        <v>1</v>
      </c>
      <c r="J536" s="5">
        <v>480000</v>
      </c>
      <c r="L536" s="5">
        <v>1501600</v>
      </c>
      <c r="M536" s="2" t="s">
        <v>55</v>
      </c>
      <c r="N536" s="2" t="s">
        <v>458</v>
      </c>
      <c r="O536" s="2" t="s">
        <v>459</v>
      </c>
      <c r="P536" s="2" t="s">
        <v>4600</v>
      </c>
      <c r="Q536" s="2" t="s">
        <v>4601</v>
      </c>
      <c r="R536" s="2" t="s">
        <v>4602</v>
      </c>
      <c r="T536" s="2" t="s">
        <v>4603</v>
      </c>
      <c r="U536" s="2" t="s">
        <v>4604</v>
      </c>
      <c r="V536" s="2" t="s">
        <v>4605</v>
      </c>
      <c r="W536" s="2" t="s">
        <v>4606</v>
      </c>
      <c r="X536" s="2" t="s">
        <v>4607</v>
      </c>
      <c r="Y536" s="2" t="s">
        <v>3209</v>
      </c>
      <c r="Z536" s="2" t="s">
        <v>3210</v>
      </c>
      <c r="AA536" s="2" t="s">
        <v>3211</v>
      </c>
      <c r="AB536" s="2" t="s">
        <v>4608</v>
      </c>
      <c r="AC536" s="2" t="s">
        <v>3213</v>
      </c>
      <c r="AD536" s="2" t="s">
        <v>68</v>
      </c>
      <c r="AE536" s="2" t="s">
        <v>69</v>
      </c>
      <c r="AF536" s="2" t="s">
        <v>70</v>
      </c>
      <c r="AG536" s="2" t="s">
        <v>4600</v>
      </c>
      <c r="AK536" s="2" t="s">
        <v>4609</v>
      </c>
      <c r="AM536" s="2" t="s">
        <v>72</v>
      </c>
      <c r="AN536" s="2" t="s">
        <v>344</v>
      </c>
      <c r="AP536" s="2" t="s">
        <v>4610</v>
      </c>
      <c r="AU536" s="2" t="s">
        <v>75</v>
      </c>
      <c r="AV536" s="2" t="s">
        <v>4611</v>
      </c>
      <c r="AW536" s="2" t="s">
        <v>4612</v>
      </c>
      <c r="AX536" s="2" t="s">
        <v>477</v>
      </c>
      <c r="AZ536" s="2" t="s">
        <v>478</v>
      </c>
    </row>
    <row r="537" spans="1:52" s="3" customFormat="1" x14ac:dyDescent="0.35">
      <c r="A537" s="2" t="s">
        <v>4598</v>
      </c>
      <c r="B537" s="4">
        <v>245766</v>
      </c>
      <c r="C537" s="2" t="s">
        <v>4599</v>
      </c>
      <c r="D537" s="2">
        <f t="shared" si="8"/>
        <v>3</v>
      </c>
      <c r="F537" s="2" t="s">
        <v>4449</v>
      </c>
      <c r="G537" s="2" t="s">
        <v>53</v>
      </c>
      <c r="H537" s="4">
        <v>1</v>
      </c>
      <c r="I537" s="4">
        <v>1</v>
      </c>
      <c r="J537" s="5">
        <v>560000</v>
      </c>
      <c r="L537" s="5">
        <v>1501600</v>
      </c>
      <c r="M537" s="2" t="s">
        <v>55</v>
      </c>
      <c r="N537" s="2" t="s">
        <v>458</v>
      </c>
      <c r="O537" s="2" t="s">
        <v>459</v>
      </c>
      <c r="P537" s="2" t="s">
        <v>4600</v>
      </c>
      <c r="Q537" s="2" t="s">
        <v>4613</v>
      </c>
      <c r="R537" s="2" t="s">
        <v>4602</v>
      </c>
      <c r="T537" s="2" t="s">
        <v>4603</v>
      </c>
      <c r="U537" s="2" t="s">
        <v>4604</v>
      </c>
      <c r="V537" s="2" t="s">
        <v>4605</v>
      </c>
      <c r="W537" s="2" t="s">
        <v>4606</v>
      </c>
      <c r="X537" s="2" t="s">
        <v>4607</v>
      </c>
      <c r="Y537" s="2" t="s">
        <v>3209</v>
      </c>
      <c r="Z537" s="2" t="s">
        <v>3210</v>
      </c>
      <c r="AA537" s="2" t="s">
        <v>3211</v>
      </c>
      <c r="AB537" s="2" t="s">
        <v>4608</v>
      </c>
      <c r="AC537" s="2" t="s">
        <v>3213</v>
      </c>
      <c r="AD537" s="2" t="s">
        <v>68</v>
      </c>
      <c r="AE537" s="2" t="s">
        <v>69</v>
      </c>
      <c r="AF537" s="2" t="s">
        <v>70</v>
      </c>
      <c r="AG537" s="2" t="s">
        <v>4600</v>
      </c>
      <c r="AK537" s="2" t="s">
        <v>4609</v>
      </c>
      <c r="AM537" s="2" t="s">
        <v>72</v>
      </c>
      <c r="AN537" s="2" t="s">
        <v>344</v>
      </c>
      <c r="AP537" s="2" t="s">
        <v>4426</v>
      </c>
      <c r="AU537" s="2" t="s">
        <v>75</v>
      </c>
      <c r="AV537" s="2" t="s">
        <v>4611</v>
      </c>
      <c r="AW537" s="2" t="s">
        <v>4612</v>
      </c>
      <c r="AX537" s="2" t="s">
        <v>477</v>
      </c>
      <c r="AZ537" s="2" t="s">
        <v>478</v>
      </c>
    </row>
    <row r="538" spans="1:52" s="3" customFormat="1" x14ac:dyDescent="0.35">
      <c r="A538" s="2" t="s">
        <v>4598</v>
      </c>
      <c r="B538" s="4">
        <v>245766</v>
      </c>
      <c r="C538" s="2" t="s">
        <v>4599</v>
      </c>
      <c r="D538" s="2">
        <f t="shared" si="8"/>
        <v>3</v>
      </c>
      <c r="F538" s="2" t="s">
        <v>4449</v>
      </c>
      <c r="G538" s="2" t="s">
        <v>53</v>
      </c>
      <c r="H538" s="4">
        <v>1</v>
      </c>
      <c r="I538" s="4">
        <v>1</v>
      </c>
      <c r="J538" s="5">
        <v>560000</v>
      </c>
      <c r="L538" s="5">
        <v>1501600</v>
      </c>
      <c r="M538" s="2" t="s">
        <v>55</v>
      </c>
      <c r="N538" s="2" t="s">
        <v>458</v>
      </c>
      <c r="O538" s="2" t="s">
        <v>459</v>
      </c>
      <c r="P538" s="2" t="s">
        <v>4600</v>
      </c>
      <c r="Q538" s="2" t="s">
        <v>4614</v>
      </c>
      <c r="R538" s="2" t="s">
        <v>4602</v>
      </c>
      <c r="T538" s="2" t="s">
        <v>4603</v>
      </c>
      <c r="U538" s="2" t="s">
        <v>4604</v>
      </c>
      <c r="V538" s="2" t="s">
        <v>4605</v>
      </c>
      <c r="W538" s="2" t="s">
        <v>4606</v>
      </c>
      <c r="X538" s="2" t="s">
        <v>4607</v>
      </c>
      <c r="Y538" s="2" t="s">
        <v>3209</v>
      </c>
      <c r="Z538" s="2" t="s">
        <v>3210</v>
      </c>
      <c r="AA538" s="2" t="s">
        <v>3211</v>
      </c>
      <c r="AB538" s="2" t="s">
        <v>4608</v>
      </c>
      <c r="AC538" s="2" t="s">
        <v>3213</v>
      </c>
      <c r="AD538" s="2" t="s">
        <v>68</v>
      </c>
      <c r="AE538" s="2" t="s">
        <v>69</v>
      </c>
      <c r="AF538" s="2" t="s">
        <v>70</v>
      </c>
      <c r="AG538" s="2" t="s">
        <v>4600</v>
      </c>
      <c r="AK538" s="2" t="s">
        <v>4609</v>
      </c>
      <c r="AM538" s="2" t="s">
        <v>72</v>
      </c>
      <c r="AN538" s="2" t="s">
        <v>344</v>
      </c>
      <c r="AP538" s="2" t="s">
        <v>4615</v>
      </c>
      <c r="AU538" s="2" t="s">
        <v>75</v>
      </c>
      <c r="AV538" s="2" t="s">
        <v>4611</v>
      </c>
      <c r="AW538" s="2" t="s">
        <v>4612</v>
      </c>
      <c r="AX538" s="2" t="s">
        <v>477</v>
      </c>
      <c r="AZ538" s="2" t="s">
        <v>478</v>
      </c>
    </row>
    <row r="539" spans="1:52" s="3" customFormat="1" x14ac:dyDescent="0.35">
      <c r="A539" s="2" t="s">
        <v>4616</v>
      </c>
      <c r="B539" s="4">
        <v>245721</v>
      </c>
      <c r="C539" s="2" t="s">
        <v>4617</v>
      </c>
      <c r="D539" s="2">
        <f t="shared" si="8"/>
        <v>3</v>
      </c>
      <c r="F539" s="2" t="s">
        <v>4618</v>
      </c>
      <c r="G539" s="2" t="s">
        <v>53</v>
      </c>
      <c r="H539" s="4">
        <v>1</v>
      </c>
      <c r="I539" s="4">
        <v>0</v>
      </c>
      <c r="J539" s="4">
        <v>0</v>
      </c>
      <c r="L539" s="4">
        <v>0</v>
      </c>
      <c r="N539" s="2" t="s">
        <v>56</v>
      </c>
      <c r="O539" s="2" t="s">
        <v>57</v>
      </c>
      <c r="P539" s="2" t="s">
        <v>4619</v>
      </c>
      <c r="Q539" s="2" t="s">
        <v>4620</v>
      </c>
      <c r="R539" s="2" t="s">
        <v>4621</v>
      </c>
      <c r="S539" s="2" t="s">
        <v>4622</v>
      </c>
      <c r="V539" s="2" t="s">
        <v>4623</v>
      </c>
      <c r="W539" s="2" t="s">
        <v>4624</v>
      </c>
      <c r="Y539" s="2" t="s">
        <v>4625</v>
      </c>
      <c r="Z539" s="2" t="s">
        <v>4626</v>
      </c>
      <c r="AA539" s="2" t="s">
        <v>2811</v>
      </c>
      <c r="AC539" s="2" t="s">
        <v>4627</v>
      </c>
      <c r="AD539" s="2" t="s">
        <v>3140</v>
      </c>
      <c r="AE539" s="2" t="s">
        <v>3141</v>
      </c>
      <c r="AF539" s="2" t="s">
        <v>70</v>
      </c>
      <c r="AK539" s="2" t="s">
        <v>4628</v>
      </c>
      <c r="AL539" s="2" t="s">
        <v>4629</v>
      </c>
      <c r="AM539" s="2" t="s">
        <v>72</v>
      </c>
      <c r="AN539" s="2" t="s">
        <v>73</v>
      </c>
      <c r="AP539" s="2" t="s">
        <v>3341</v>
      </c>
      <c r="AT539" s="2" t="s">
        <v>114</v>
      </c>
      <c r="AU539" s="2" t="s">
        <v>75</v>
      </c>
      <c r="AW539" s="2" t="s">
        <v>4630</v>
      </c>
      <c r="AZ539" s="2" t="s">
        <v>116</v>
      </c>
    </row>
    <row r="540" spans="1:52" s="3" customFormat="1" x14ac:dyDescent="0.35">
      <c r="A540" s="2" t="s">
        <v>4631</v>
      </c>
      <c r="B540" s="4">
        <v>245619</v>
      </c>
      <c r="C540" s="2" t="s">
        <v>4632</v>
      </c>
      <c r="D540" s="2">
        <f t="shared" si="8"/>
        <v>3</v>
      </c>
      <c r="F540" s="2" t="s">
        <v>4618</v>
      </c>
      <c r="G540" s="2" t="s">
        <v>53</v>
      </c>
      <c r="H540" s="4">
        <v>6</v>
      </c>
      <c r="I540" s="4">
        <v>1</v>
      </c>
      <c r="J540" s="5">
        <v>7194</v>
      </c>
      <c r="K540" s="2" t="s">
        <v>1252</v>
      </c>
      <c r="L540" s="5">
        <v>6751.57</v>
      </c>
      <c r="M540" s="2" t="s">
        <v>55</v>
      </c>
      <c r="N540" s="2" t="s">
        <v>1253</v>
      </c>
      <c r="O540" s="2" t="s">
        <v>1254</v>
      </c>
      <c r="P540" s="2" t="s">
        <v>4633</v>
      </c>
      <c r="Q540" s="2" t="s">
        <v>4634</v>
      </c>
      <c r="R540" s="2" t="s">
        <v>4635</v>
      </c>
      <c r="T540" s="2" t="s">
        <v>1920</v>
      </c>
      <c r="U540" s="2" t="s">
        <v>1921</v>
      </c>
      <c r="V540" s="2" t="s">
        <v>4636</v>
      </c>
      <c r="W540" s="2" t="s">
        <v>2468</v>
      </c>
      <c r="X540" s="2" t="s">
        <v>2468</v>
      </c>
      <c r="Y540" s="2" t="s">
        <v>1925</v>
      </c>
      <c r="Z540" s="2" t="s">
        <v>1926</v>
      </c>
      <c r="AA540" s="2" t="s">
        <v>1927</v>
      </c>
      <c r="AB540" s="2" t="s">
        <v>1928</v>
      </c>
      <c r="AC540" s="2" t="s">
        <v>1929</v>
      </c>
      <c r="AD540" s="2" t="s">
        <v>68</v>
      </c>
      <c r="AE540" s="2" t="s">
        <v>69</v>
      </c>
      <c r="AF540" s="2" t="s">
        <v>70</v>
      </c>
      <c r="AG540" s="2" t="s">
        <v>4633</v>
      </c>
      <c r="AK540" s="2" t="s">
        <v>4637</v>
      </c>
      <c r="AM540" s="2" t="s">
        <v>72</v>
      </c>
      <c r="AN540" s="2" t="s">
        <v>403</v>
      </c>
      <c r="AP540" s="2" t="s">
        <v>4546</v>
      </c>
      <c r="AU540" s="2" t="s">
        <v>75</v>
      </c>
      <c r="AV540" s="2" t="s">
        <v>1931</v>
      </c>
      <c r="AW540" s="2" t="s">
        <v>1932</v>
      </c>
      <c r="AX540" s="2" t="s">
        <v>77</v>
      </c>
      <c r="AZ540" s="2" t="s">
        <v>77</v>
      </c>
    </row>
    <row r="541" spans="1:52" s="3" customFormat="1" x14ac:dyDescent="0.35">
      <c r="A541" s="2" t="s">
        <v>4638</v>
      </c>
      <c r="B541" s="4">
        <v>245616</v>
      </c>
      <c r="C541" s="2" t="s">
        <v>4639</v>
      </c>
      <c r="D541" s="2">
        <f t="shared" si="8"/>
        <v>3</v>
      </c>
      <c r="F541" s="2" t="s">
        <v>4618</v>
      </c>
      <c r="G541" s="2" t="s">
        <v>53</v>
      </c>
      <c r="H541" s="4">
        <v>1</v>
      </c>
      <c r="I541" s="4">
        <v>1</v>
      </c>
      <c r="J541" s="5">
        <v>1019.15</v>
      </c>
      <c r="K541" s="2" t="s">
        <v>1252</v>
      </c>
      <c r="L541" s="4">
        <v>956.47</v>
      </c>
      <c r="M541" s="2" t="s">
        <v>55</v>
      </c>
      <c r="N541" s="2" t="s">
        <v>1253</v>
      </c>
      <c r="O541" s="2" t="s">
        <v>1254</v>
      </c>
      <c r="P541" s="2" t="s">
        <v>4633</v>
      </c>
      <c r="Q541" s="2" t="s">
        <v>4634</v>
      </c>
      <c r="R541" s="2" t="s">
        <v>4640</v>
      </c>
      <c r="T541" s="2" t="s">
        <v>4641</v>
      </c>
      <c r="U541" s="2" t="s">
        <v>4642</v>
      </c>
      <c r="V541" s="2" t="s">
        <v>4643</v>
      </c>
      <c r="W541" s="2" t="s">
        <v>4644</v>
      </c>
      <c r="X541" s="2" t="s">
        <v>4645</v>
      </c>
      <c r="Y541" s="2" t="s">
        <v>4646</v>
      </c>
      <c r="Z541" s="2" t="s">
        <v>4647</v>
      </c>
      <c r="AA541" s="2" t="s">
        <v>4648</v>
      </c>
      <c r="AB541" s="2" t="s">
        <v>4649</v>
      </c>
      <c r="AC541" s="2" t="s">
        <v>4650</v>
      </c>
      <c r="AD541" s="2" t="s">
        <v>68</v>
      </c>
      <c r="AE541" s="2" t="s">
        <v>69</v>
      </c>
      <c r="AF541" s="2" t="s">
        <v>70</v>
      </c>
      <c r="AG541" s="2" t="s">
        <v>4633</v>
      </c>
      <c r="AK541" s="2" t="s">
        <v>4651</v>
      </c>
      <c r="AM541" s="2" t="s">
        <v>72</v>
      </c>
      <c r="AN541" s="2" t="s">
        <v>73</v>
      </c>
      <c r="AP541" s="2" t="s">
        <v>4546</v>
      </c>
      <c r="AU541" s="2" t="s">
        <v>75</v>
      </c>
      <c r="AV541" s="2" t="s">
        <v>4652</v>
      </c>
      <c r="AW541" s="2" t="s">
        <v>4653</v>
      </c>
      <c r="AX541" s="2" t="s">
        <v>477</v>
      </c>
      <c r="AZ541" s="2" t="s">
        <v>1256</v>
      </c>
    </row>
    <row r="542" spans="1:52" s="3" customFormat="1" x14ac:dyDescent="0.35">
      <c r="A542" s="2" t="s">
        <v>4654</v>
      </c>
      <c r="B542" s="4">
        <v>242058</v>
      </c>
      <c r="C542" s="2" t="s">
        <v>4655</v>
      </c>
      <c r="D542" s="2">
        <f t="shared" si="8"/>
        <v>3</v>
      </c>
      <c r="F542" s="2" t="s">
        <v>4618</v>
      </c>
      <c r="G542" s="2" t="s">
        <v>53</v>
      </c>
      <c r="H542" s="4">
        <v>2</v>
      </c>
      <c r="I542" s="4">
        <v>12</v>
      </c>
      <c r="J542" s="5">
        <v>69999.98</v>
      </c>
      <c r="K542" s="2" t="s">
        <v>80</v>
      </c>
      <c r="L542" s="5">
        <v>69999.98</v>
      </c>
      <c r="M542" s="2" t="s">
        <v>4656</v>
      </c>
      <c r="N542" s="2" t="s">
        <v>82</v>
      </c>
      <c r="O542" s="2" t="s">
        <v>83</v>
      </c>
      <c r="P542" s="2" t="s">
        <v>3075</v>
      </c>
      <c r="Q542" s="2" t="s">
        <v>3076</v>
      </c>
      <c r="R542" s="2" t="s">
        <v>4657</v>
      </c>
      <c r="S542" s="2" t="s">
        <v>4658</v>
      </c>
      <c r="T542" s="2" t="s">
        <v>4659</v>
      </c>
      <c r="U542" s="2" t="s">
        <v>4660</v>
      </c>
      <c r="V542" s="2" t="s">
        <v>4661</v>
      </c>
      <c r="W542" s="2" t="s">
        <v>4662</v>
      </c>
      <c r="X542" s="2" t="s">
        <v>4663</v>
      </c>
      <c r="Y542" s="2" t="s">
        <v>4664</v>
      </c>
      <c r="Z542" s="2" t="s">
        <v>4665</v>
      </c>
      <c r="AA542" s="2" t="s">
        <v>4666</v>
      </c>
      <c r="AC542" s="2" t="s">
        <v>4500</v>
      </c>
      <c r="AD542" s="2" t="s">
        <v>3601</v>
      </c>
      <c r="AE542" s="2" t="s">
        <v>3602</v>
      </c>
      <c r="AF542" s="2" t="s">
        <v>97</v>
      </c>
      <c r="AG542" s="2" t="s">
        <v>3075</v>
      </c>
      <c r="AK542" s="2" t="s">
        <v>4667</v>
      </c>
      <c r="AL542" s="2" t="s">
        <v>4485</v>
      </c>
      <c r="AM542" s="2" t="s">
        <v>72</v>
      </c>
      <c r="AN542" s="2" t="s">
        <v>73</v>
      </c>
      <c r="AP542" s="2" t="s">
        <v>3088</v>
      </c>
      <c r="AS542" s="2" t="s">
        <v>4668</v>
      </c>
      <c r="AT542" s="2" t="s">
        <v>102</v>
      </c>
      <c r="AU542" s="2" t="s">
        <v>75</v>
      </c>
      <c r="AV542" s="2" t="s">
        <v>4618</v>
      </c>
      <c r="AW542" s="2" t="s">
        <v>4669</v>
      </c>
      <c r="AX542" s="2" t="s">
        <v>4670</v>
      </c>
      <c r="AZ542" s="2" t="s">
        <v>77</v>
      </c>
    </row>
    <row r="543" spans="1:52" s="3" customFormat="1" x14ac:dyDescent="0.35">
      <c r="A543" s="2" t="s">
        <v>4671</v>
      </c>
      <c r="B543" s="4">
        <v>245419</v>
      </c>
      <c r="C543" s="2" t="s">
        <v>4672</v>
      </c>
      <c r="D543" s="2">
        <f t="shared" si="8"/>
        <v>3</v>
      </c>
      <c r="F543" s="2" t="s">
        <v>4618</v>
      </c>
      <c r="G543" s="2" t="s">
        <v>53</v>
      </c>
      <c r="H543" s="4">
        <v>2</v>
      </c>
      <c r="I543" s="4">
        <v>1</v>
      </c>
      <c r="J543" s="5">
        <v>53800</v>
      </c>
      <c r="K543" s="2" t="s">
        <v>1252</v>
      </c>
      <c r="L543" s="5">
        <v>53800</v>
      </c>
      <c r="M543" s="2" t="s">
        <v>55</v>
      </c>
      <c r="N543" s="2" t="s">
        <v>1253</v>
      </c>
      <c r="O543" s="2" t="s">
        <v>1254</v>
      </c>
      <c r="P543" s="2" t="s">
        <v>4673</v>
      </c>
      <c r="Q543" s="2" t="s">
        <v>4674</v>
      </c>
      <c r="R543" s="2" t="s">
        <v>4675</v>
      </c>
      <c r="T543" s="2" t="s">
        <v>4676</v>
      </c>
      <c r="U543" s="2" t="s">
        <v>4677</v>
      </c>
      <c r="V543" s="2" t="s">
        <v>4678</v>
      </c>
      <c r="W543" s="2" t="s">
        <v>4679</v>
      </c>
      <c r="X543" s="2" t="s">
        <v>4679</v>
      </c>
      <c r="Y543" s="2" t="s">
        <v>2147</v>
      </c>
      <c r="Z543" s="2" t="s">
        <v>2148</v>
      </c>
      <c r="AA543" s="2" t="s">
        <v>2149</v>
      </c>
      <c r="AB543" s="2" t="s">
        <v>4680</v>
      </c>
      <c r="AC543" s="2" t="s">
        <v>2151</v>
      </c>
      <c r="AD543" s="2" t="s">
        <v>68</v>
      </c>
      <c r="AE543" s="2" t="s">
        <v>69</v>
      </c>
      <c r="AF543" s="2" t="s">
        <v>97</v>
      </c>
      <c r="AG543" s="2" t="s">
        <v>4681</v>
      </c>
      <c r="AK543" s="2" t="s">
        <v>4682</v>
      </c>
      <c r="AM543" s="2" t="s">
        <v>72</v>
      </c>
      <c r="AN543" s="2" t="s">
        <v>1046</v>
      </c>
      <c r="AP543" s="2" t="s">
        <v>4683</v>
      </c>
      <c r="AS543" s="2" t="s">
        <v>4684</v>
      </c>
      <c r="AT543" s="2" t="s">
        <v>102</v>
      </c>
      <c r="AU543" s="2" t="s">
        <v>75</v>
      </c>
      <c r="AV543" s="2" t="s">
        <v>4685</v>
      </c>
      <c r="AW543" s="2" t="s">
        <v>4686</v>
      </c>
      <c r="AX543" s="2" t="s">
        <v>477</v>
      </c>
      <c r="AZ543" s="2" t="s">
        <v>478</v>
      </c>
    </row>
    <row r="544" spans="1:52" s="3" customFormat="1" x14ac:dyDescent="0.35">
      <c r="A544" s="2" t="s">
        <v>4687</v>
      </c>
      <c r="B544" s="4">
        <v>245349</v>
      </c>
      <c r="C544" s="2" t="s">
        <v>4688</v>
      </c>
      <c r="D544" s="2">
        <f t="shared" si="8"/>
        <v>3</v>
      </c>
      <c r="F544" s="2" t="s">
        <v>4689</v>
      </c>
      <c r="G544" s="2" t="s">
        <v>53</v>
      </c>
      <c r="H544" s="4">
        <v>3</v>
      </c>
      <c r="I544" s="4">
        <v>1</v>
      </c>
      <c r="J544" s="4">
        <v>0</v>
      </c>
      <c r="L544" s="4">
        <v>0</v>
      </c>
      <c r="M544" s="2" t="s">
        <v>55</v>
      </c>
      <c r="N544" s="2" t="s">
        <v>56</v>
      </c>
      <c r="O544" s="2" t="s">
        <v>57</v>
      </c>
      <c r="P544" s="2" t="s">
        <v>4633</v>
      </c>
      <c r="Q544" s="2" t="s">
        <v>4634</v>
      </c>
      <c r="R544" s="2" t="s">
        <v>4690</v>
      </c>
      <c r="S544" s="2" t="s">
        <v>4691</v>
      </c>
      <c r="V544" s="2" t="s">
        <v>4692</v>
      </c>
      <c r="W544" s="2" t="s">
        <v>4693</v>
      </c>
      <c r="Y544" s="2" t="s">
        <v>64</v>
      </c>
      <c r="Z544" s="2" t="s">
        <v>65</v>
      </c>
      <c r="AA544" s="2" t="s">
        <v>66</v>
      </c>
      <c r="AC544" s="2" t="s">
        <v>67</v>
      </c>
      <c r="AD544" s="2" t="s">
        <v>68</v>
      </c>
      <c r="AE544" s="2" t="s">
        <v>69</v>
      </c>
      <c r="AF544" s="2" t="s">
        <v>70</v>
      </c>
      <c r="AG544" s="2" t="s">
        <v>4633</v>
      </c>
      <c r="AK544" s="2" t="s">
        <v>4694</v>
      </c>
      <c r="AM544" s="2" t="s">
        <v>72</v>
      </c>
      <c r="AN544" s="2" t="s">
        <v>473</v>
      </c>
      <c r="AP544" s="2" t="s">
        <v>4546</v>
      </c>
      <c r="AU544" s="2" t="s">
        <v>75</v>
      </c>
      <c r="AW544" s="2" t="s">
        <v>4695</v>
      </c>
      <c r="AZ544" s="2" t="s">
        <v>116</v>
      </c>
    </row>
    <row r="545" spans="1:52" s="3" customFormat="1" x14ac:dyDescent="0.35">
      <c r="A545" s="2" t="s">
        <v>4698</v>
      </c>
      <c r="B545" s="4">
        <v>245181</v>
      </c>
      <c r="C545" s="2" t="s">
        <v>4699</v>
      </c>
      <c r="D545" s="2">
        <f t="shared" si="8"/>
        <v>3</v>
      </c>
      <c r="F545" s="2" t="s">
        <v>4689</v>
      </c>
      <c r="G545" s="2" t="s">
        <v>53</v>
      </c>
      <c r="H545" s="4">
        <v>1</v>
      </c>
      <c r="I545" s="4">
        <v>1</v>
      </c>
      <c r="J545" s="5">
        <v>29000</v>
      </c>
      <c r="K545" s="2" t="s">
        <v>1252</v>
      </c>
      <c r="L545" s="5">
        <v>27216.5</v>
      </c>
      <c r="M545" s="2" t="s">
        <v>55</v>
      </c>
      <c r="N545" s="2" t="s">
        <v>1253</v>
      </c>
      <c r="O545" s="2" t="s">
        <v>1254</v>
      </c>
      <c r="P545" s="2" t="s">
        <v>2128</v>
      </c>
      <c r="Q545" s="2" t="s">
        <v>2129</v>
      </c>
      <c r="R545" s="2" t="s">
        <v>4675</v>
      </c>
      <c r="T545" s="2" t="s">
        <v>4676</v>
      </c>
      <c r="U545" s="2" t="s">
        <v>4677</v>
      </c>
      <c r="V545" s="2" t="s">
        <v>4678</v>
      </c>
      <c r="W545" s="2" t="s">
        <v>4679</v>
      </c>
      <c r="X545" s="2" t="s">
        <v>4679</v>
      </c>
      <c r="Y545" s="2" t="s">
        <v>2147</v>
      </c>
      <c r="Z545" s="2" t="s">
        <v>2148</v>
      </c>
      <c r="AA545" s="2" t="s">
        <v>2149</v>
      </c>
      <c r="AB545" s="2" t="s">
        <v>4680</v>
      </c>
      <c r="AC545" s="2" t="s">
        <v>2151</v>
      </c>
      <c r="AD545" s="2" t="s">
        <v>68</v>
      </c>
      <c r="AE545" s="2" t="s">
        <v>69</v>
      </c>
      <c r="AF545" s="2" t="s">
        <v>70</v>
      </c>
      <c r="AG545" s="2" t="s">
        <v>2128</v>
      </c>
      <c r="AK545" s="2" t="s">
        <v>4700</v>
      </c>
      <c r="AM545" s="2" t="s">
        <v>72</v>
      </c>
      <c r="AN545" s="2" t="s">
        <v>1046</v>
      </c>
      <c r="AP545" s="2" t="s">
        <v>2135</v>
      </c>
      <c r="AT545" s="2" t="s">
        <v>114</v>
      </c>
      <c r="AU545" s="2" t="s">
        <v>75</v>
      </c>
      <c r="AV545" s="2" t="s">
        <v>4685</v>
      </c>
      <c r="AW545" s="2" t="s">
        <v>4686</v>
      </c>
      <c r="AX545" s="2" t="s">
        <v>477</v>
      </c>
      <c r="AZ545" s="2" t="s">
        <v>478</v>
      </c>
    </row>
    <row r="546" spans="1:52" s="3" customFormat="1" x14ac:dyDescent="0.35">
      <c r="A546" s="2" t="s">
        <v>4701</v>
      </c>
      <c r="B546" s="4">
        <v>245179</v>
      </c>
      <c r="C546" s="2" t="s">
        <v>4702</v>
      </c>
      <c r="D546" s="2">
        <f t="shared" si="8"/>
        <v>3</v>
      </c>
      <c r="F546" s="2" t="s">
        <v>4689</v>
      </c>
      <c r="G546" s="2" t="s">
        <v>53</v>
      </c>
      <c r="H546" s="4">
        <v>1</v>
      </c>
      <c r="I546" s="4">
        <v>1</v>
      </c>
      <c r="J546" s="5">
        <v>29000</v>
      </c>
      <c r="K546" s="2" t="s">
        <v>1252</v>
      </c>
      <c r="L546" s="5">
        <v>27216.5</v>
      </c>
      <c r="M546" s="2" t="s">
        <v>55</v>
      </c>
      <c r="N546" s="2" t="s">
        <v>1253</v>
      </c>
      <c r="O546" s="2" t="s">
        <v>1254</v>
      </c>
      <c r="P546" s="2" t="s">
        <v>4703</v>
      </c>
      <c r="Q546" s="2" t="s">
        <v>4704</v>
      </c>
      <c r="R546" s="2" t="s">
        <v>4675</v>
      </c>
      <c r="T546" s="2" t="s">
        <v>4676</v>
      </c>
      <c r="U546" s="2" t="s">
        <v>4677</v>
      </c>
      <c r="V546" s="2" t="s">
        <v>4678</v>
      </c>
      <c r="W546" s="2" t="s">
        <v>4679</v>
      </c>
      <c r="X546" s="2" t="s">
        <v>4679</v>
      </c>
      <c r="Y546" s="2" t="s">
        <v>2147</v>
      </c>
      <c r="Z546" s="2" t="s">
        <v>2148</v>
      </c>
      <c r="AA546" s="2" t="s">
        <v>2149</v>
      </c>
      <c r="AB546" s="2" t="s">
        <v>4680</v>
      </c>
      <c r="AC546" s="2" t="s">
        <v>2151</v>
      </c>
      <c r="AD546" s="2" t="s">
        <v>68</v>
      </c>
      <c r="AE546" s="2" t="s">
        <v>69</v>
      </c>
      <c r="AF546" s="2" t="s">
        <v>70</v>
      </c>
      <c r="AG546" s="2" t="s">
        <v>4703</v>
      </c>
      <c r="AK546" s="2" t="s">
        <v>4705</v>
      </c>
      <c r="AM546" s="2" t="s">
        <v>72</v>
      </c>
      <c r="AN546" s="2" t="s">
        <v>1046</v>
      </c>
      <c r="AP546" s="2" t="s">
        <v>4706</v>
      </c>
      <c r="AT546" s="2" t="s">
        <v>114</v>
      </c>
      <c r="AU546" s="2" t="s">
        <v>75</v>
      </c>
      <c r="AV546" s="2" t="s">
        <v>4685</v>
      </c>
      <c r="AW546" s="2" t="s">
        <v>4686</v>
      </c>
      <c r="AX546" s="2" t="s">
        <v>477</v>
      </c>
      <c r="AZ546" s="2" t="s">
        <v>478</v>
      </c>
    </row>
    <row r="547" spans="1:52" s="3" customFormat="1" x14ac:dyDescent="0.35">
      <c r="A547" s="2" t="s">
        <v>4707</v>
      </c>
      <c r="B547" s="4">
        <v>245177</v>
      </c>
      <c r="C547" s="2" t="s">
        <v>4708</v>
      </c>
      <c r="D547" s="2">
        <f t="shared" si="8"/>
        <v>3</v>
      </c>
      <c r="F547" s="2" t="s">
        <v>4689</v>
      </c>
      <c r="G547" s="2" t="s">
        <v>53</v>
      </c>
      <c r="H547" s="4">
        <v>1</v>
      </c>
      <c r="I547" s="4">
        <v>1</v>
      </c>
      <c r="J547" s="5">
        <v>29000</v>
      </c>
      <c r="K547" s="2" t="s">
        <v>1252</v>
      </c>
      <c r="L547" s="5">
        <v>27216.5</v>
      </c>
      <c r="M547" s="2" t="s">
        <v>55</v>
      </c>
      <c r="N547" s="2" t="s">
        <v>1253</v>
      </c>
      <c r="O547" s="2" t="s">
        <v>1254</v>
      </c>
      <c r="P547" s="2" t="s">
        <v>4709</v>
      </c>
      <c r="Q547" s="2" t="s">
        <v>4710</v>
      </c>
      <c r="R547" s="2" t="s">
        <v>4675</v>
      </c>
      <c r="T547" s="2" t="s">
        <v>4676</v>
      </c>
      <c r="U547" s="2" t="s">
        <v>4677</v>
      </c>
      <c r="V547" s="2" t="s">
        <v>4678</v>
      </c>
      <c r="W547" s="2" t="s">
        <v>4679</v>
      </c>
      <c r="X547" s="2" t="s">
        <v>4679</v>
      </c>
      <c r="Y547" s="2" t="s">
        <v>2147</v>
      </c>
      <c r="Z547" s="2" t="s">
        <v>2148</v>
      </c>
      <c r="AA547" s="2" t="s">
        <v>2149</v>
      </c>
      <c r="AB547" s="2" t="s">
        <v>4680</v>
      </c>
      <c r="AC547" s="2" t="s">
        <v>2151</v>
      </c>
      <c r="AD547" s="2" t="s">
        <v>68</v>
      </c>
      <c r="AE547" s="2" t="s">
        <v>69</v>
      </c>
      <c r="AF547" s="2" t="s">
        <v>70</v>
      </c>
      <c r="AG547" s="2" t="s">
        <v>4709</v>
      </c>
      <c r="AK547" s="2" t="s">
        <v>4711</v>
      </c>
      <c r="AM547" s="2" t="s">
        <v>72</v>
      </c>
      <c r="AN547" s="2" t="s">
        <v>1046</v>
      </c>
      <c r="AP547" s="2" t="s">
        <v>2563</v>
      </c>
      <c r="AT547" s="2" t="s">
        <v>114</v>
      </c>
      <c r="AU547" s="2" t="s">
        <v>75</v>
      </c>
      <c r="AV547" s="2" t="s">
        <v>4685</v>
      </c>
      <c r="AW547" s="2" t="s">
        <v>4686</v>
      </c>
      <c r="AX547" s="2" t="s">
        <v>477</v>
      </c>
      <c r="AZ547" s="2" t="s">
        <v>478</v>
      </c>
    </row>
    <row r="548" spans="1:52" s="3" customFormat="1" x14ac:dyDescent="0.35">
      <c r="A548" s="2" t="s">
        <v>4712</v>
      </c>
      <c r="B548" s="4">
        <v>245144</v>
      </c>
      <c r="C548" s="2" t="s">
        <v>4713</v>
      </c>
      <c r="D548" s="2">
        <f t="shared" si="8"/>
        <v>3</v>
      </c>
      <c r="F548" s="2" t="s">
        <v>4714</v>
      </c>
      <c r="G548" s="2" t="s">
        <v>53</v>
      </c>
      <c r="H548" s="4">
        <v>1</v>
      </c>
      <c r="I548" s="4">
        <v>1</v>
      </c>
      <c r="J548" s="4">
        <v>0</v>
      </c>
      <c r="L548" s="4">
        <v>0</v>
      </c>
      <c r="M548" s="2" t="s">
        <v>55</v>
      </c>
      <c r="N548" s="2" t="s">
        <v>56</v>
      </c>
      <c r="O548" s="2" t="s">
        <v>57</v>
      </c>
      <c r="P548" s="2" t="s">
        <v>4715</v>
      </c>
      <c r="Q548" s="2" t="s">
        <v>4716</v>
      </c>
      <c r="R548" s="2" t="s">
        <v>2286</v>
      </c>
      <c r="S548" s="2" t="s">
        <v>2287</v>
      </c>
      <c r="V548" s="2" t="s">
        <v>2288</v>
      </c>
      <c r="W548" s="2" t="s">
        <v>2289</v>
      </c>
      <c r="Y548" s="2" t="s">
        <v>64</v>
      </c>
      <c r="Z548" s="2" t="s">
        <v>65</v>
      </c>
      <c r="AA548" s="2" t="s">
        <v>66</v>
      </c>
      <c r="AC548" s="2" t="s">
        <v>67</v>
      </c>
      <c r="AD548" s="2" t="s">
        <v>68</v>
      </c>
      <c r="AE548" s="2" t="s">
        <v>69</v>
      </c>
      <c r="AF548" s="2" t="s">
        <v>70</v>
      </c>
      <c r="AG548" s="2" t="s">
        <v>4715</v>
      </c>
      <c r="AK548" s="2" t="s">
        <v>4717</v>
      </c>
      <c r="AM548" s="2" t="s">
        <v>72</v>
      </c>
      <c r="AN548" s="2" t="s">
        <v>3636</v>
      </c>
      <c r="AP548" s="2" t="s">
        <v>1763</v>
      </c>
      <c r="AT548" s="2" t="s">
        <v>114</v>
      </c>
      <c r="AV548" s="2" t="s">
        <v>2291</v>
      </c>
      <c r="AW548" s="2" t="s">
        <v>2292</v>
      </c>
      <c r="AZ548" s="2" t="s">
        <v>116</v>
      </c>
    </row>
    <row r="549" spans="1:52" s="3" customFormat="1" x14ac:dyDescent="0.35">
      <c r="A549" s="2" t="s">
        <v>4718</v>
      </c>
      <c r="B549" s="4">
        <v>245143</v>
      </c>
      <c r="C549" s="2" t="s">
        <v>4719</v>
      </c>
      <c r="D549" s="2">
        <f t="shared" si="8"/>
        <v>3</v>
      </c>
      <c r="F549" s="2" t="s">
        <v>4714</v>
      </c>
      <c r="G549" s="2" t="s">
        <v>53</v>
      </c>
      <c r="H549" s="4">
        <v>3</v>
      </c>
      <c r="I549" s="4">
        <v>1</v>
      </c>
      <c r="J549" s="5">
        <v>33700</v>
      </c>
      <c r="L549" s="5">
        <v>31627.45</v>
      </c>
      <c r="M549" s="2" t="s">
        <v>55</v>
      </c>
      <c r="N549" s="2" t="s">
        <v>458</v>
      </c>
      <c r="O549" s="2" t="s">
        <v>459</v>
      </c>
      <c r="P549" s="2" t="s">
        <v>499</v>
      </c>
      <c r="Q549" s="2" t="s">
        <v>500</v>
      </c>
      <c r="R549" s="2" t="s">
        <v>4720</v>
      </c>
      <c r="T549" s="2" t="s">
        <v>4721</v>
      </c>
      <c r="U549" s="2" t="s">
        <v>4722</v>
      </c>
      <c r="V549" s="2" t="s">
        <v>4723</v>
      </c>
      <c r="W549" s="2" t="s">
        <v>4724</v>
      </c>
      <c r="X549" s="2" t="s">
        <v>4725</v>
      </c>
      <c r="Y549" s="2" t="s">
        <v>4726</v>
      </c>
      <c r="Z549" s="2" t="s">
        <v>4727</v>
      </c>
      <c r="AA549" s="2" t="s">
        <v>4728</v>
      </c>
      <c r="AC549" s="2" t="s">
        <v>4729</v>
      </c>
      <c r="AD549" s="2" t="s">
        <v>4058</v>
      </c>
      <c r="AE549" s="2" t="s">
        <v>69</v>
      </c>
      <c r="AF549" s="2" t="s">
        <v>70</v>
      </c>
      <c r="AG549" s="2" t="s">
        <v>499</v>
      </c>
      <c r="AK549" s="2" t="s">
        <v>4730</v>
      </c>
      <c r="AM549" s="2" t="s">
        <v>72</v>
      </c>
      <c r="AN549" s="2" t="s">
        <v>595</v>
      </c>
      <c r="AP549" s="2" t="s">
        <v>74</v>
      </c>
      <c r="AU549" s="2" t="s">
        <v>75</v>
      </c>
      <c r="AV549" s="2" t="s">
        <v>4731</v>
      </c>
      <c r="AW549" s="2" t="s">
        <v>4732</v>
      </c>
      <c r="AX549" s="2" t="s">
        <v>477</v>
      </c>
      <c r="AZ549" s="2" t="s">
        <v>1256</v>
      </c>
    </row>
    <row r="550" spans="1:52" s="3" customFormat="1" x14ac:dyDescent="0.35">
      <c r="A550" s="2" t="s">
        <v>4733</v>
      </c>
      <c r="B550" s="4">
        <v>245013</v>
      </c>
      <c r="C550" s="2" t="s">
        <v>4734</v>
      </c>
      <c r="D550" s="2">
        <f t="shared" si="8"/>
        <v>3</v>
      </c>
      <c r="F550" s="2" t="s">
        <v>4714</v>
      </c>
      <c r="G550" s="2" t="s">
        <v>53</v>
      </c>
      <c r="H550" s="4">
        <v>1</v>
      </c>
      <c r="I550" s="4">
        <v>1</v>
      </c>
      <c r="J550" s="5">
        <v>116500</v>
      </c>
      <c r="K550" s="2" t="s">
        <v>1252</v>
      </c>
      <c r="L550" s="5">
        <v>656011.5</v>
      </c>
      <c r="M550" s="2" t="s">
        <v>55</v>
      </c>
      <c r="N550" s="2" t="s">
        <v>1253</v>
      </c>
      <c r="O550" s="2" t="s">
        <v>1254</v>
      </c>
      <c r="P550" s="2" t="s">
        <v>4735</v>
      </c>
      <c r="Q550" s="2" t="s">
        <v>4736</v>
      </c>
      <c r="R550" s="2" t="s">
        <v>4737</v>
      </c>
      <c r="T550" s="2" t="s">
        <v>4738</v>
      </c>
      <c r="U550" s="2" t="s">
        <v>4739</v>
      </c>
      <c r="V550" s="2" t="s">
        <v>4740</v>
      </c>
      <c r="W550" s="2" t="s">
        <v>4741</v>
      </c>
      <c r="X550" s="2" t="s">
        <v>4742</v>
      </c>
      <c r="Y550" s="2" t="s">
        <v>4743</v>
      </c>
      <c r="Z550" s="2" t="s">
        <v>4744</v>
      </c>
      <c r="AA550" s="2" t="s">
        <v>4530</v>
      </c>
      <c r="AC550" s="2" t="s">
        <v>4745</v>
      </c>
      <c r="AD550" s="2" t="s">
        <v>1627</v>
      </c>
      <c r="AE550" s="2" t="s">
        <v>69</v>
      </c>
      <c r="AF550" s="2" t="s">
        <v>70</v>
      </c>
      <c r="AG550" s="2" t="s">
        <v>4746</v>
      </c>
      <c r="AK550" s="2" t="s">
        <v>4747</v>
      </c>
      <c r="AM550" s="2" t="s">
        <v>72</v>
      </c>
      <c r="AN550" s="2" t="s">
        <v>403</v>
      </c>
      <c r="AP550" s="2" t="s">
        <v>3758</v>
      </c>
      <c r="AT550" s="2" t="s">
        <v>2890</v>
      </c>
      <c r="AU550" s="2" t="s">
        <v>75</v>
      </c>
      <c r="AV550" s="2" t="s">
        <v>4748</v>
      </c>
      <c r="AW550" s="2" t="s">
        <v>4749</v>
      </c>
      <c r="AX550" s="2" t="s">
        <v>477</v>
      </c>
      <c r="AZ550" s="2" t="s">
        <v>4750</v>
      </c>
    </row>
    <row r="551" spans="1:52" s="3" customFormat="1" x14ac:dyDescent="0.35">
      <c r="A551" s="2" t="s">
        <v>4733</v>
      </c>
      <c r="B551" s="4">
        <v>245013</v>
      </c>
      <c r="C551" s="2" t="s">
        <v>4734</v>
      </c>
      <c r="D551" s="2">
        <f t="shared" si="8"/>
        <v>3</v>
      </c>
      <c r="F551" s="2" t="s">
        <v>4714</v>
      </c>
      <c r="G551" s="2" t="s">
        <v>53</v>
      </c>
      <c r="H551" s="4">
        <v>1</v>
      </c>
      <c r="I551" s="4">
        <v>1</v>
      </c>
      <c r="J551" s="5">
        <v>116500</v>
      </c>
      <c r="K551" s="2" t="s">
        <v>1252</v>
      </c>
      <c r="L551" s="5">
        <v>656011.5</v>
      </c>
      <c r="M551" s="2" t="s">
        <v>55</v>
      </c>
      <c r="N551" s="2" t="s">
        <v>1253</v>
      </c>
      <c r="O551" s="2" t="s">
        <v>1254</v>
      </c>
      <c r="P551" s="2" t="s">
        <v>4751</v>
      </c>
      <c r="Q551" s="2" t="s">
        <v>4752</v>
      </c>
      <c r="R551" s="2" t="s">
        <v>4737</v>
      </c>
      <c r="T551" s="2" t="s">
        <v>4738</v>
      </c>
      <c r="U551" s="2" t="s">
        <v>4739</v>
      </c>
      <c r="V551" s="2" t="s">
        <v>4740</v>
      </c>
      <c r="W551" s="2" t="s">
        <v>4741</v>
      </c>
      <c r="X551" s="2" t="s">
        <v>4742</v>
      </c>
      <c r="Y551" s="2" t="s">
        <v>4743</v>
      </c>
      <c r="Z551" s="2" t="s">
        <v>4744</v>
      </c>
      <c r="AA551" s="2" t="s">
        <v>4530</v>
      </c>
      <c r="AC551" s="2" t="s">
        <v>4745</v>
      </c>
      <c r="AD551" s="2" t="s">
        <v>1627</v>
      </c>
      <c r="AE551" s="2" t="s">
        <v>69</v>
      </c>
      <c r="AF551" s="2" t="s">
        <v>70</v>
      </c>
      <c r="AG551" s="2" t="s">
        <v>4746</v>
      </c>
      <c r="AK551" s="2" t="s">
        <v>4747</v>
      </c>
      <c r="AM551" s="2" t="s">
        <v>72</v>
      </c>
      <c r="AN551" s="2" t="s">
        <v>403</v>
      </c>
      <c r="AP551" s="2" t="s">
        <v>3464</v>
      </c>
      <c r="AT551" s="2" t="s">
        <v>2890</v>
      </c>
      <c r="AU551" s="2" t="s">
        <v>75</v>
      </c>
      <c r="AV551" s="2" t="s">
        <v>4748</v>
      </c>
      <c r="AW551" s="2" t="s">
        <v>4749</v>
      </c>
      <c r="AX551" s="2" t="s">
        <v>477</v>
      </c>
      <c r="AZ551" s="2" t="s">
        <v>4750</v>
      </c>
    </row>
    <row r="552" spans="1:52" s="3" customFormat="1" x14ac:dyDescent="0.35">
      <c r="A552" s="2" t="s">
        <v>4733</v>
      </c>
      <c r="B552" s="4">
        <v>245013</v>
      </c>
      <c r="C552" s="2" t="s">
        <v>4734</v>
      </c>
      <c r="D552" s="2">
        <f t="shared" si="8"/>
        <v>3</v>
      </c>
      <c r="F552" s="2" t="s">
        <v>4714</v>
      </c>
      <c r="G552" s="2" t="s">
        <v>53</v>
      </c>
      <c r="H552" s="4">
        <v>1</v>
      </c>
      <c r="I552" s="4">
        <v>1</v>
      </c>
      <c r="J552" s="5">
        <v>116500</v>
      </c>
      <c r="K552" s="2" t="s">
        <v>1252</v>
      </c>
      <c r="L552" s="5">
        <v>656011.5</v>
      </c>
      <c r="M552" s="2" t="s">
        <v>55</v>
      </c>
      <c r="N552" s="2" t="s">
        <v>1253</v>
      </c>
      <c r="O552" s="2" t="s">
        <v>1254</v>
      </c>
      <c r="P552" s="2" t="s">
        <v>4753</v>
      </c>
      <c r="Q552" s="2" t="s">
        <v>4754</v>
      </c>
      <c r="R552" s="2" t="s">
        <v>4737</v>
      </c>
      <c r="T552" s="2" t="s">
        <v>4738</v>
      </c>
      <c r="U552" s="2" t="s">
        <v>4739</v>
      </c>
      <c r="V552" s="2" t="s">
        <v>4740</v>
      </c>
      <c r="W552" s="2" t="s">
        <v>4741</v>
      </c>
      <c r="X552" s="2" t="s">
        <v>4742</v>
      </c>
      <c r="Y552" s="2" t="s">
        <v>4743</v>
      </c>
      <c r="Z552" s="2" t="s">
        <v>4744</v>
      </c>
      <c r="AA552" s="2" t="s">
        <v>4530</v>
      </c>
      <c r="AC552" s="2" t="s">
        <v>4745</v>
      </c>
      <c r="AD552" s="2" t="s">
        <v>1627</v>
      </c>
      <c r="AE552" s="2" t="s">
        <v>69</v>
      </c>
      <c r="AF552" s="2" t="s">
        <v>70</v>
      </c>
      <c r="AG552" s="2" t="s">
        <v>4746</v>
      </c>
      <c r="AK552" s="2" t="s">
        <v>4747</v>
      </c>
      <c r="AM552" s="2" t="s">
        <v>72</v>
      </c>
      <c r="AN552" s="2" t="s">
        <v>403</v>
      </c>
      <c r="AP552" s="2" t="s">
        <v>4755</v>
      </c>
      <c r="AT552" s="2" t="s">
        <v>2890</v>
      </c>
      <c r="AU552" s="2" t="s">
        <v>75</v>
      </c>
      <c r="AV552" s="2" t="s">
        <v>4748</v>
      </c>
      <c r="AW552" s="2" t="s">
        <v>4749</v>
      </c>
      <c r="AX552" s="2" t="s">
        <v>477</v>
      </c>
      <c r="AZ552" s="2" t="s">
        <v>4750</v>
      </c>
    </row>
    <row r="553" spans="1:52" s="3" customFormat="1" x14ac:dyDescent="0.35">
      <c r="A553" s="2" t="s">
        <v>4733</v>
      </c>
      <c r="B553" s="4">
        <v>245013</v>
      </c>
      <c r="C553" s="2" t="s">
        <v>4734</v>
      </c>
      <c r="D553" s="2">
        <f t="shared" si="8"/>
        <v>3</v>
      </c>
      <c r="F553" s="2" t="s">
        <v>4714</v>
      </c>
      <c r="G553" s="2" t="s">
        <v>53</v>
      </c>
      <c r="H553" s="4">
        <v>1</v>
      </c>
      <c r="I553" s="4">
        <v>1</v>
      </c>
      <c r="J553" s="5">
        <v>116500</v>
      </c>
      <c r="K553" s="2" t="s">
        <v>1252</v>
      </c>
      <c r="L553" s="5">
        <v>656011.5</v>
      </c>
      <c r="M553" s="2" t="s">
        <v>55</v>
      </c>
      <c r="N553" s="2" t="s">
        <v>1253</v>
      </c>
      <c r="O553" s="2" t="s">
        <v>1254</v>
      </c>
      <c r="P553" s="2" t="s">
        <v>4756</v>
      </c>
      <c r="Q553" s="2" t="s">
        <v>4757</v>
      </c>
      <c r="R553" s="2" t="s">
        <v>4737</v>
      </c>
      <c r="T553" s="2" t="s">
        <v>4738</v>
      </c>
      <c r="U553" s="2" t="s">
        <v>4739</v>
      </c>
      <c r="V553" s="2" t="s">
        <v>4740</v>
      </c>
      <c r="W553" s="2" t="s">
        <v>4741</v>
      </c>
      <c r="X553" s="2" t="s">
        <v>4742</v>
      </c>
      <c r="Y553" s="2" t="s">
        <v>4743</v>
      </c>
      <c r="Z553" s="2" t="s">
        <v>4744</v>
      </c>
      <c r="AA553" s="2" t="s">
        <v>4530</v>
      </c>
      <c r="AC553" s="2" t="s">
        <v>4745</v>
      </c>
      <c r="AD553" s="2" t="s">
        <v>1627</v>
      </c>
      <c r="AE553" s="2" t="s">
        <v>69</v>
      </c>
      <c r="AF553" s="2" t="s">
        <v>70</v>
      </c>
      <c r="AG553" s="2" t="s">
        <v>4746</v>
      </c>
      <c r="AK553" s="2" t="s">
        <v>4747</v>
      </c>
      <c r="AM553" s="2" t="s">
        <v>72</v>
      </c>
      <c r="AN553" s="2" t="s">
        <v>403</v>
      </c>
      <c r="AP553" s="2" t="s">
        <v>4758</v>
      </c>
      <c r="AT553" s="2" t="s">
        <v>2890</v>
      </c>
      <c r="AU553" s="2" t="s">
        <v>75</v>
      </c>
      <c r="AV553" s="2" t="s">
        <v>4748</v>
      </c>
      <c r="AW553" s="2" t="s">
        <v>4749</v>
      </c>
      <c r="AX553" s="2" t="s">
        <v>477</v>
      </c>
      <c r="AZ553" s="2" t="s">
        <v>4750</v>
      </c>
    </row>
    <row r="554" spans="1:52" s="3" customFormat="1" x14ac:dyDescent="0.35">
      <c r="A554" s="2" t="s">
        <v>4733</v>
      </c>
      <c r="B554" s="4">
        <v>245013</v>
      </c>
      <c r="C554" s="2" t="s">
        <v>4734</v>
      </c>
      <c r="D554" s="2">
        <f t="shared" si="8"/>
        <v>3</v>
      </c>
      <c r="F554" s="2" t="s">
        <v>4714</v>
      </c>
      <c r="G554" s="2" t="s">
        <v>53</v>
      </c>
      <c r="H554" s="4">
        <v>1</v>
      </c>
      <c r="I554" s="4">
        <v>1</v>
      </c>
      <c r="J554" s="5">
        <v>116500</v>
      </c>
      <c r="K554" s="2" t="s">
        <v>1252</v>
      </c>
      <c r="L554" s="5">
        <v>656011.5</v>
      </c>
      <c r="M554" s="2" t="s">
        <v>55</v>
      </c>
      <c r="N554" s="2" t="s">
        <v>1253</v>
      </c>
      <c r="O554" s="2" t="s">
        <v>1254</v>
      </c>
      <c r="P554" s="2" t="s">
        <v>4759</v>
      </c>
      <c r="Q554" s="2" t="s">
        <v>4760</v>
      </c>
      <c r="R554" s="2" t="s">
        <v>4737</v>
      </c>
      <c r="T554" s="2" t="s">
        <v>4738</v>
      </c>
      <c r="U554" s="2" t="s">
        <v>4739</v>
      </c>
      <c r="V554" s="2" t="s">
        <v>4740</v>
      </c>
      <c r="W554" s="2" t="s">
        <v>4741</v>
      </c>
      <c r="X554" s="2" t="s">
        <v>4742</v>
      </c>
      <c r="Y554" s="2" t="s">
        <v>4743</v>
      </c>
      <c r="Z554" s="2" t="s">
        <v>4744</v>
      </c>
      <c r="AA554" s="2" t="s">
        <v>4530</v>
      </c>
      <c r="AC554" s="2" t="s">
        <v>4745</v>
      </c>
      <c r="AD554" s="2" t="s">
        <v>1627</v>
      </c>
      <c r="AE554" s="2" t="s">
        <v>69</v>
      </c>
      <c r="AF554" s="2" t="s">
        <v>70</v>
      </c>
      <c r="AG554" s="2" t="s">
        <v>4746</v>
      </c>
      <c r="AK554" s="2" t="s">
        <v>4747</v>
      </c>
      <c r="AM554" s="2" t="s">
        <v>72</v>
      </c>
      <c r="AN554" s="2" t="s">
        <v>403</v>
      </c>
      <c r="AP554" s="2" t="s">
        <v>4761</v>
      </c>
      <c r="AT554" s="2" t="s">
        <v>2890</v>
      </c>
      <c r="AU554" s="2" t="s">
        <v>75</v>
      </c>
      <c r="AV554" s="2" t="s">
        <v>4748</v>
      </c>
      <c r="AW554" s="2" t="s">
        <v>4749</v>
      </c>
      <c r="AX554" s="2" t="s">
        <v>477</v>
      </c>
      <c r="AZ554" s="2" t="s">
        <v>4750</v>
      </c>
    </row>
    <row r="555" spans="1:52" s="3" customFormat="1" x14ac:dyDescent="0.35">
      <c r="A555" s="2" t="s">
        <v>4733</v>
      </c>
      <c r="B555" s="4">
        <v>245013</v>
      </c>
      <c r="C555" s="2" t="s">
        <v>4734</v>
      </c>
      <c r="D555" s="2">
        <f t="shared" si="8"/>
        <v>3</v>
      </c>
      <c r="F555" s="2" t="s">
        <v>4714</v>
      </c>
      <c r="G555" s="2" t="s">
        <v>53</v>
      </c>
      <c r="H555" s="4">
        <v>1</v>
      </c>
      <c r="I555" s="4">
        <v>1</v>
      </c>
      <c r="J555" s="5">
        <v>116500</v>
      </c>
      <c r="K555" s="2" t="s">
        <v>1252</v>
      </c>
      <c r="L555" s="5">
        <v>656011.5</v>
      </c>
      <c r="M555" s="2" t="s">
        <v>55</v>
      </c>
      <c r="N555" s="2" t="s">
        <v>1253</v>
      </c>
      <c r="O555" s="2" t="s">
        <v>1254</v>
      </c>
      <c r="P555" s="2" t="s">
        <v>4762</v>
      </c>
      <c r="Q555" s="2" t="s">
        <v>4763</v>
      </c>
      <c r="R555" s="2" t="s">
        <v>4737</v>
      </c>
      <c r="T555" s="2" t="s">
        <v>4738</v>
      </c>
      <c r="U555" s="2" t="s">
        <v>4739</v>
      </c>
      <c r="V555" s="2" t="s">
        <v>4740</v>
      </c>
      <c r="W555" s="2" t="s">
        <v>4741</v>
      </c>
      <c r="X555" s="2" t="s">
        <v>4742</v>
      </c>
      <c r="Y555" s="2" t="s">
        <v>4743</v>
      </c>
      <c r="Z555" s="2" t="s">
        <v>4744</v>
      </c>
      <c r="AA555" s="2" t="s">
        <v>4530</v>
      </c>
      <c r="AC555" s="2" t="s">
        <v>4745</v>
      </c>
      <c r="AD555" s="2" t="s">
        <v>1627</v>
      </c>
      <c r="AE555" s="2" t="s">
        <v>69</v>
      </c>
      <c r="AF555" s="2" t="s">
        <v>70</v>
      </c>
      <c r="AG555" s="2" t="s">
        <v>4746</v>
      </c>
      <c r="AK555" s="2" t="s">
        <v>4747</v>
      </c>
      <c r="AM555" s="2" t="s">
        <v>72</v>
      </c>
      <c r="AN555" s="2" t="s">
        <v>403</v>
      </c>
      <c r="AP555" s="2" t="s">
        <v>4764</v>
      </c>
      <c r="AT555" s="2" t="s">
        <v>2890</v>
      </c>
      <c r="AU555" s="2" t="s">
        <v>75</v>
      </c>
      <c r="AV555" s="2" t="s">
        <v>4748</v>
      </c>
      <c r="AW555" s="2" t="s">
        <v>4749</v>
      </c>
      <c r="AX555" s="2" t="s">
        <v>477</v>
      </c>
      <c r="AZ555" s="2" t="s">
        <v>4750</v>
      </c>
    </row>
    <row r="556" spans="1:52" s="3" customFormat="1" x14ac:dyDescent="0.35">
      <c r="A556" s="2" t="s">
        <v>4765</v>
      </c>
      <c r="B556" s="4">
        <v>245010</v>
      </c>
      <c r="C556" s="2" t="s">
        <v>4766</v>
      </c>
      <c r="D556" s="2">
        <f t="shared" si="8"/>
        <v>3</v>
      </c>
      <c r="F556" s="2" t="s">
        <v>4714</v>
      </c>
      <c r="G556" s="2" t="s">
        <v>53</v>
      </c>
      <c r="H556" s="4">
        <v>6</v>
      </c>
      <c r="I556" s="4">
        <v>1</v>
      </c>
      <c r="J556" s="5">
        <v>12800</v>
      </c>
      <c r="L556" s="5">
        <v>12012.8</v>
      </c>
      <c r="M556" s="2" t="s">
        <v>55</v>
      </c>
      <c r="N556" s="2" t="s">
        <v>458</v>
      </c>
      <c r="O556" s="2" t="s">
        <v>459</v>
      </c>
      <c r="P556" s="2" t="s">
        <v>58</v>
      </c>
      <c r="Q556" s="2" t="s">
        <v>59</v>
      </c>
      <c r="R556" s="2" t="s">
        <v>4720</v>
      </c>
      <c r="T556" s="2" t="s">
        <v>4721</v>
      </c>
      <c r="U556" s="2" t="s">
        <v>4722</v>
      </c>
      <c r="V556" s="2" t="s">
        <v>4723</v>
      </c>
      <c r="W556" s="2" t="s">
        <v>4724</v>
      </c>
      <c r="X556" s="2" t="s">
        <v>4725</v>
      </c>
      <c r="Y556" s="2" t="s">
        <v>4726</v>
      </c>
      <c r="Z556" s="2" t="s">
        <v>4727</v>
      </c>
      <c r="AA556" s="2" t="s">
        <v>4728</v>
      </c>
      <c r="AC556" s="2" t="s">
        <v>4729</v>
      </c>
      <c r="AD556" s="2" t="s">
        <v>4058</v>
      </c>
      <c r="AE556" s="2" t="s">
        <v>69</v>
      </c>
      <c r="AF556" s="2" t="s">
        <v>70</v>
      </c>
      <c r="AG556" s="2" t="s">
        <v>58</v>
      </c>
      <c r="AK556" s="2" t="s">
        <v>4767</v>
      </c>
      <c r="AM556" s="2" t="s">
        <v>72</v>
      </c>
      <c r="AN556" s="2" t="s">
        <v>595</v>
      </c>
      <c r="AP556" s="2" t="s">
        <v>74</v>
      </c>
      <c r="AU556" s="2" t="s">
        <v>75</v>
      </c>
      <c r="AV556" s="2" t="s">
        <v>4731</v>
      </c>
      <c r="AW556" s="2" t="s">
        <v>4732</v>
      </c>
      <c r="AX556" s="2" t="s">
        <v>477</v>
      </c>
      <c r="AZ556" s="2" t="s">
        <v>478</v>
      </c>
    </row>
    <row r="557" spans="1:52" s="3" customFormat="1" x14ac:dyDescent="0.35">
      <c r="A557" s="2" t="s">
        <v>4768</v>
      </c>
      <c r="B557" s="4">
        <v>244986</v>
      </c>
      <c r="C557" s="2" t="s">
        <v>4769</v>
      </c>
      <c r="D557" s="2">
        <f t="shared" si="8"/>
        <v>3</v>
      </c>
      <c r="F557" s="2" t="s">
        <v>4770</v>
      </c>
      <c r="G557" s="2" t="s">
        <v>53</v>
      </c>
      <c r="H557" s="4">
        <v>2</v>
      </c>
      <c r="I557" s="4">
        <v>1</v>
      </c>
      <c r="J557" s="4">
        <v>0</v>
      </c>
      <c r="L557" s="4">
        <v>0</v>
      </c>
      <c r="M557" s="2" t="s">
        <v>55</v>
      </c>
      <c r="N557" s="2" t="s">
        <v>56</v>
      </c>
      <c r="O557" s="2" t="s">
        <v>57</v>
      </c>
      <c r="P557" s="2" t="s">
        <v>3954</v>
      </c>
      <c r="Q557" s="2" t="s">
        <v>3955</v>
      </c>
      <c r="R557" s="2" t="s">
        <v>4771</v>
      </c>
      <c r="S557" s="2" t="s">
        <v>4772</v>
      </c>
      <c r="T557" s="2" t="s">
        <v>4773</v>
      </c>
      <c r="U557" s="2" t="s">
        <v>4774</v>
      </c>
      <c r="V557" s="2" t="s">
        <v>4775</v>
      </c>
      <c r="W557" s="2" t="s">
        <v>4776</v>
      </c>
      <c r="X557" s="2" t="s">
        <v>4776</v>
      </c>
      <c r="Y557" s="2" t="s">
        <v>4777</v>
      </c>
      <c r="Z557" s="2" t="s">
        <v>4778</v>
      </c>
      <c r="AA557" s="2" t="s">
        <v>4779</v>
      </c>
      <c r="AB557" s="2" t="s">
        <v>4780</v>
      </c>
      <c r="AC557" s="2" t="s">
        <v>2842</v>
      </c>
      <c r="AD557" s="2" t="s">
        <v>4781</v>
      </c>
      <c r="AE557" s="2" t="s">
        <v>69</v>
      </c>
      <c r="AF557" s="2" t="s">
        <v>70</v>
      </c>
      <c r="AG557" s="2" t="s">
        <v>4782</v>
      </c>
      <c r="AK557" s="2" t="s">
        <v>4783</v>
      </c>
      <c r="AM557" s="2" t="s">
        <v>72</v>
      </c>
      <c r="AN557" s="2" t="s">
        <v>1046</v>
      </c>
      <c r="AP557" s="2" t="s">
        <v>3886</v>
      </c>
      <c r="AU557" s="2" t="s">
        <v>75</v>
      </c>
      <c r="AV557" s="2" t="s">
        <v>4784</v>
      </c>
      <c r="AW557" s="2" t="s">
        <v>4785</v>
      </c>
      <c r="AZ557" s="2" t="s">
        <v>116</v>
      </c>
    </row>
    <row r="558" spans="1:52" s="3" customFormat="1" x14ac:dyDescent="0.35">
      <c r="A558" s="2" t="s">
        <v>4786</v>
      </c>
      <c r="B558" s="4">
        <v>244984</v>
      </c>
      <c r="C558" s="2" t="s">
        <v>4787</v>
      </c>
      <c r="D558" s="2">
        <f t="shared" si="8"/>
        <v>3</v>
      </c>
      <c r="F558" s="2" t="s">
        <v>4689</v>
      </c>
      <c r="G558" s="2" t="s">
        <v>53</v>
      </c>
      <c r="H558" s="4">
        <v>1</v>
      </c>
      <c r="I558" s="4">
        <v>1</v>
      </c>
      <c r="J558" s="5">
        <v>47400</v>
      </c>
      <c r="L558" s="5">
        <v>111212.25</v>
      </c>
      <c r="M558" s="2" t="s">
        <v>55</v>
      </c>
      <c r="N558" s="2" t="s">
        <v>458</v>
      </c>
      <c r="O558" s="2" t="s">
        <v>459</v>
      </c>
      <c r="P558" s="2" t="s">
        <v>4788</v>
      </c>
      <c r="Q558" s="2" t="s">
        <v>4789</v>
      </c>
      <c r="R558" s="2" t="s">
        <v>4790</v>
      </c>
      <c r="T558" s="2" t="s">
        <v>4791</v>
      </c>
      <c r="U558" s="2" t="s">
        <v>4792</v>
      </c>
      <c r="V558" s="2" t="s">
        <v>4793</v>
      </c>
      <c r="W558" s="2" t="s">
        <v>4794</v>
      </c>
      <c r="X558" s="2" t="s">
        <v>4795</v>
      </c>
      <c r="Y558" s="2" t="s">
        <v>4796</v>
      </c>
      <c r="Z558" s="2" t="s">
        <v>4797</v>
      </c>
      <c r="AA558" s="2" t="s">
        <v>4798</v>
      </c>
      <c r="AB558" s="2" t="s">
        <v>4799</v>
      </c>
      <c r="AC558" s="2" t="s">
        <v>4800</v>
      </c>
      <c r="AD558" s="2" t="s">
        <v>68</v>
      </c>
      <c r="AE558" s="2" t="s">
        <v>69</v>
      </c>
      <c r="AF558" s="2" t="s">
        <v>70</v>
      </c>
      <c r="AG558" s="2" t="s">
        <v>4801</v>
      </c>
      <c r="AK558" s="2" t="s">
        <v>4802</v>
      </c>
      <c r="AM558" s="2" t="s">
        <v>72</v>
      </c>
      <c r="AN558" s="2" t="s">
        <v>249</v>
      </c>
      <c r="AP558" s="2" t="s">
        <v>3680</v>
      </c>
      <c r="AU558" s="2" t="s">
        <v>75</v>
      </c>
      <c r="AV558" s="2" t="s">
        <v>4803</v>
      </c>
      <c r="AW558" s="2" t="s">
        <v>4804</v>
      </c>
      <c r="AX558" s="2" t="s">
        <v>477</v>
      </c>
      <c r="AZ558" s="2" t="s">
        <v>478</v>
      </c>
    </row>
    <row r="559" spans="1:52" s="3" customFormat="1" x14ac:dyDescent="0.35">
      <c r="A559" s="2" t="s">
        <v>4786</v>
      </c>
      <c r="B559" s="4">
        <v>244984</v>
      </c>
      <c r="C559" s="2" t="s">
        <v>4787</v>
      </c>
      <c r="D559" s="2">
        <f t="shared" si="8"/>
        <v>3</v>
      </c>
      <c r="F559" s="2" t="s">
        <v>4689</v>
      </c>
      <c r="G559" s="2" t="s">
        <v>53</v>
      </c>
      <c r="H559" s="4">
        <v>1</v>
      </c>
      <c r="I559" s="4">
        <v>1</v>
      </c>
      <c r="J559" s="5">
        <v>71100</v>
      </c>
      <c r="L559" s="5">
        <v>111212.25</v>
      </c>
      <c r="M559" s="2" t="s">
        <v>55</v>
      </c>
      <c r="N559" s="2" t="s">
        <v>458</v>
      </c>
      <c r="O559" s="2" t="s">
        <v>459</v>
      </c>
      <c r="P559" s="2" t="s">
        <v>4788</v>
      </c>
      <c r="Q559" s="2" t="s">
        <v>4805</v>
      </c>
      <c r="R559" s="2" t="s">
        <v>4790</v>
      </c>
      <c r="T559" s="2" t="s">
        <v>4791</v>
      </c>
      <c r="U559" s="2" t="s">
        <v>4792</v>
      </c>
      <c r="V559" s="2" t="s">
        <v>4793</v>
      </c>
      <c r="W559" s="2" t="s">
        <v>4794</v>
      </c>
      <c r="X559" s="2" t="s">
        <v>4795</v>
      </c>
      <c r="Y559" s="2" t="s">
        <v>4796</v>
      </c>
      <c r="Z559" s="2" t="s">
        <v>4797</v>
      </c>
      <c r="AA559" s="2" t="s">
        <v>4798</v>
      </c>
      <c r="AB559" s="2" t="s">
        <v>4799</v>
      </c>
      <c r="AC559" s="2" t="s">
        <v>4800</v>
      </c>
      <c r="AD559" s="2" t="s">
        <v>68</v>
      </c>
      <c r="AE559" s="2" t="s">
        <v>69</v>
      </c>
      <c r="AF559" s="2" t="s">
        <v>70</v>
      </c>
      <c r="AG559" s="2" t="s">
        <v>4801</v>
      </c>
      <c r="AK559" s="2" t="s">
        <v>4802</v>
      </c>
      <c r="AM559" s="2" t="s">
        <v>72</v>
      </c>
      <c r="AN559" s="2" t="s">
        <v>249</v>
      </c>
      <c r="AP559" s="2" t="s">
        <v>3334</v>
      </c>
      <c r="AU559" s="2" t="s">
        <v>75</v>
      </c>
      <c r="AV559" s="2" t="s">
        <v>4803</v>
      </c>
      <c r="AW559" s="2" t="s">
        <v>4804</v>
      </c>
      <c r="AX559" s="2" t="s">
        <v>477</v>
      </c>
      <c r="AZ559" s="2" t="s">
        <v>478</v>
      </c>
    </row>
    <row r="560" spans="1:52" s="3" customFormat="1" x14ac:dyDescent="0.35">
      <c r="A560" s="2" t="s">
        <v>4806</v>
      </c>
      <c r="B560" s="4">
        <v>244936</v>
      </c>
      <c r="C560" s="2" t="s">
        <v>4807</v>
      </c>
      <c r="D560" s="2">
        <f t="shared" si="8"/>
        <v>3</v>
      </c>
      <c r="F560" s="2" t="s">
        <v>4770</v>
      </c>
      <c r="G560" s="2" t="s">
        <v>53</v>
      </c>
      <c r="H560" s="4">
        <v>2</v>
      </c>
      <c r="I560" s="4">
        <v>1</v>
      </c>
      <c r="J560" s="5">
        <v>360000</v>
      </c>
      <c r="K560" s="2" t="s">
        <v>1252</v>
      </c>
      <c r="L560" s="5">
        <v>337860</v>
      </c>
      <c r="M560" s="2" t="s">
        <v>55</v>
      </c>
      <c r="N560" s="2" t="s">
        <v>1253</v>
      </c>
      <c r="O560" s="2" t="s">
        <v>1254</v>
      </c>
      <c r="P560" s="2" t="s">
        <v>4808</v>
      </c>
      <c r="Q560" s="2" t="s">
        <v>4809</v>
      </c>
      <c r="R560" s="2" t="s">
        <v>4810</v>
      </c>
      <c r="T560" s="2" t="s">
        <v>2547</v>
      </c>
      <c r="U560" s="2" t="s">
        <v>2548</v>
      </c>
      <c r="V560" s="2" t="s">
        <v>2549</v>
      </c>
      <c r="W560" s="2" t="s">
        <v>3455</v>
      </c>
      <c r="X560" s="2" t="s">
        <v>3456</v>
      </c>
      <c r="Y560" s="2" t="s">
        <v>2551</v>
      </c>
      <c r="Z560" s="2" t="s">
        <v>3457</v>
      </c>
      <c r="AA560" s="2" t="s">
        <v>2553</v>
      </c>
      <c r="AB560" s="2" t="s">
        <v>3458</v>
      </c>
      <c r="AC560" s="2" t="s">
        <v>3459</v>
      </c>
      <c r="AD560" s="2" t="s">
        <v>2556</v>
      </c>
      <c r="AE560" s="2" t="s">
        <v>69</v>
      </c>
      <c r="AF560" s="2" t="s">
        <v>70</v>
      </c>
      <c r="AG560" s="2" t="s">
        <v>4808</v>
      </c>
      <c r="AK560" s="2" t="s">
        <v>4811</v>
      </c>
      <c r="AM560" s="2" t="s">
        <v>72</v>
      </c>
      <c r="AN560" s="2" t="s">
        <v>283</v>
      </c>
      <c r="AP560" s="2" t="s">
        <v>3788</v>
      </c>
      <c r="AU560" s="2" t="s">
        <v>75</v>
      </c>
      <c r="AV560" s="2" t="s">
        <v>2559</v>
      </c>
      <c r="AW560" s="2" t="s">
        <v>2560</v>
      </c>
      <c r="AX560" s="2" t="s">
        <v>477</v>
      </c>
      <c r="AZ560" s="2" t="s">
        <v>478</v>
      </c>
    </row>
    <row r="561" spans="1:52" s="3" customFormat="1" x14ac:dyDescent="0.35">
      <c r="A561" s="2" t="s">
        <v>4812</v>
      </c>
      <c r="B561" s="4">
        <v>244933</v>
      </c>
      <c r="C561" s="2" t="s">
        <v>4813</v>
      </c>
      <c r="D561" s="2">
        <f t="shared" si="8"/>
        <v>3</v>
      </c>
      <c r="F561" s="2" t="s">
        <v>4770</v>
      </c>
      <c r="G561" s="2" t="s">
        <v>53</v>
      </c>
      <c r="H561" s="4">
        <v>1</v>
      </c>
      <c r="I561" s="4">
        <v>1</v>
      </c>
      <c r="J561" s="5">
        <v>230000</v>
      </c>
      <c r="L561" s="5">
        <v>1013580.04</v>
      </c>
      <c r="M561" s="2" t="s">
        <v>55</v>
      </c>
      <c r="N561" s="2" t="s">
        <v>458</v>
      </c>
      <c r="O561" s="2" t="s">
        <v>459</v>
      </c>
      <c r="P561" s="2" t="s">
        <v>4814</v>
      </c>
      <c r="Q561" s="2" t="s">
        <v>4815</v>
      </c>
      <c r="R561" s="2" t="s">
        <v>4816</v>
      </c>
      <c r="T561" s="2" t="s">
        <v>4817</v>
      </c>
      <c r="U561" s="2" t="s">
        <v>4818</v>
      </c>
      <c r="V561" s="2" t="s">
        <v>4819</v>
      </c>
      <c r="W561" s="2" t="s">
        <v>4820</v>
      </c>
      <c r="X561" s="2" t="s">
        <v>4820</v>
      </c>
      <c r="Y561" s="2" t="s">
        <v>4821</v>
      </c>
      <c r="Z561" s="2" t="s">
        <v>4822</v>
      </c>
      <c r="AA561" s="2" t="s">
        <v>4823</v>
      </c>
      <c r="AC561" s="2" t="s">
        <v>4824</v>
      </c>
      <c r="AD561" s="2" t="s">
        <v>4825</v>
      </c>
      <c r="AE561" s="2" t="s">
        <v>4826</v>
      </c>
      <c r="AF561" s="2" t="s">
        <v>70</v>
      </c>
      <c r="AG561" s="2" t="s">
        <v>4814</v>
      </c>
      <c r="AK561" s="2" t="s">
        <v>4827</v>
      </c>
      <c r="AM561" s="2" t="s">
        <v>72</v>
      </c>
      <c r="AN561" s="2" t="s">
        <v>232</v>
      </c>
      <c r="AP561" s="2" t="s">
        <v>2705</v>
      </c>
      <c r="AT561" s="2" t="s">
        <v>4828</v>
      </c>
      <c r="AU561" s="2" t="s">
        <v>75</v>
      </c>
      <c r="AV561" s="2" t="s">
        <v>4829</v>
      </c>
      <c r="AW561" s="2" t="s">
        <v>4830</v>
      </c>
      <c r="AX561" s="2" t="s">
        <v>477</v>
      </c>
      <c r="AZ561" s="2" t="s">
        <v>478</v>
      </c>
    </row>
    <row r="562" spans="1:52" s="3" customFormat="1" x14ac:dyDescent="0.35">
      <c r="A562" s="2" t="s">
        <v>4812</v>
      </c>
      <c r="B562" s="4">
        <v>244933</v>
      </c>
      <c r="C562" s="2" t="s">
        <v>4813</v>
      </c>
      <c r="D562" s="2">
        <f t="shared" si="8"/>
        <v>3</v>
      </c>
      <c r="F562" s="2" t="s">
        <v>4770</v>
      </c>
      <c r="G562" s="2" t="s">
        <v>53</v>
      </c>
      <c r="H562" s="4">
        <v>1</v>
      </c>
      <c r="I562" s="4">
        <v>1</v>
      </c>
      <c r="J562" s="5">
        <v>350000</v>
      </c>
      <c r="L562" s="5">
        <v>1013580.04</v>
      </c>
      <c r="M562" s="2" t="s">
        <v>55</v>
      </c>
      <c r="N562" s="2" t="s">
        <v>458</v>
      </c>
      <c r="O562" s="2" t="s">
        <v>459</v>
      </c>
      <c r="P562" s="2" t="s">
        <v>4814</v>
      </c>
      <c r="Q562" s="2" t="s">
        <v>4831</v>
      </c>
      <c r="R562" s="2" t="s">
        <v>4816</v>
      </c>
      <c r="T562" s="2" t="s">
        <v>4817</v>
      </c>
      <c r="U562" s="2" t="s">
        <v>4818</v>
      </c>
      <c r="V562" s="2" t="s">
        <v>4819</v>
      </c>
      <c r="W562" s="2" t="s">
        <v>4820</v>
      </c>
      <c r="X562" s="2" t="s">
        <v>4820</v>
      </c>
      <c r="Y562" s="2" t="s">
        <v>4821</v>
      </c>
      <c r="Z562" s="2" t="s">
        <v>4822</v>
      </c>
      <c r="AA562" s="2" t="s">
        <v>4823</v>
      </c>
      <c r="AC562" s="2" t="s">
        <v>4824</v>
      </c>
      <c r="AD562" s="2" t="s">
        <v>4825</v>
      </c>
      <c r="AE562" s="2" t="s">
        <v>4826</v>
      </c>
      <c r="AF562" s="2" t="s">
        <v>70</v>
      </c>
      <c r="AG562" s="2" t="s">
        <v>4814</v>
      </c>
      <c r="AK562" s="2" t="s">
        <v>4827</v>
      </c>
      <c r="AM562" s="2" t="s">
        <v>72</v>
      </c>
      <c r="AN562" s="2" t="s">
        <v>232</v>
      </c>
      <c r="AP562" s="2" t="s">
        <v>2705</v>
      </c>
      <c r="AT562" s="2" t="s">
        <v>4828</v>
      </c>
      <c r="AU562" s="2" t="s">
        <v>75</v>
      </c>
      <c r="AV562" s="2" t="s">
        <v>4829</v>
      </c>
      <c r="AW562" s="2" t="s">
        <v>4830</v>
      </c>
      <c r="AX562" s="2" t="s">
        <v>477</v>
      </c>
      <c r="AZ562" s="2" t="s">
        <v>478</v>
      </c>
    </row>
    <row r="563" spans="1:52" s="3" customFormat="1" x14ac:dyDescent="0.35">
      <c r="A563" s="2" t="s">
        <v>4812</v>
      </c>
      <c r="B563" s="4">
        <v>244933</v>
      </c>
      <c r="C563" s="2" t="s">
        <v>4813</v>
      </c>
      <c r="D563" s="2">
        <f t="shared" si="8"/>
        <v>3</v>
      </c>
      <c r="F563" s="2" t="s">
        <v>4770</v>
      </c>
      <c r="G563" s="2" t="s">
        <v>53</v>
      </c>
      <c r="H563" s="4">
        <v>1</v>
      </c>
      <c r="I563" s="4">
        <v>1</v>
      </c>
      <c r="J563" s="5">
        <v>41666.67</v>
      </c>
      <c r="L563" s="5">
        <v>1013580.04</v>
      </c>
      <c r="M563" s="2" t="s">
        <v>55</v>
      </c>
      <c r="N563" s="2" t="s">
        <v>458</v>
      </c>
      <c r="O563" s="2" t="s">
        <v>459</v>
      </c>
      <c r="P563" s="2" t="s">
        <v>4814</v>
      </c>
      <c r="Q563" s="2" t="s">
        <v>4832</v>
      </c>
      <c r="R563" s="2" t="s">
        <v>4816</v>
      </c>
      <c r="T563" s="2" t="s">
        <v>4817</v>
      </c>
      <c r="U563" s="2" t="s">
        <v>4818</v>
      </c>
      <c r="V563" s="2" t="s">
        <v>4819</v>
      </c>
      <c r="W563" s="2" t="s">
        <v>4820</v>
      </c>
      <c r="X563" s="2" t="s">
        <v>4820</v>
      </c>
      <c r="Y563" s="2" t="s">
        <v>4821</v>
      </c>
      <c r="Z563" s="2" t="s">
        <v>4822</v>
      </c>
      <c r="AA563" s="2" t="s">
        <v>4823</v>
      </c>
      <c r="AC563" s="2" t="s">
        <v>4824</v>
      </c>
      <c r="AD563" s="2" t="s">
        <v>4825</v>
      </c>
      <c r="AE563" s="2" t="s">
        <v>4826</v>
      </c>
      <c r="AF563" s="2" t="s">
        <v>70</v>
      </c>
      <c r="AG563" s="2" t="s">
        <v>4814</v>
      </c>
      <c r="AK563" s="2" t="s">
        <v>4827</v>
      </c>
      <c r="AM563" s="2" t="s">
        <v>72</v>
      </c>
      <c r="AN563" s="2" t="s">
        <v>232</v>
      </c>
      <c r="AP563" s="2" t="s">
        <v>2705</v>
      </c>
      <c r="AT563" s="2" t="s">
        <v>4828</v>
      </c>
      <c r="AU563" s="2" t="s">
        <v>75</v>
      </c>
      <c r="AV563" s="2" t="s">
        <v>4829</v>
      </c>
      <c r="AW563" s="2" t="s">
        <v>4830</v>
      </c>
      <c r="AX563" s="2" t="s">
        <v>477</v>
      </c>
      <c r="AZ563" s="2" t="s">
        <v>478</v>
      </c>
    </row>
    <row r="564" spans="1:52" s="3" customFormat="1" x14ac:dyDescent="0.35">
      <c r="A564" s="2" t="s">
        <v>4812</v>
      </c>
      <c r="B564" s="4">
        <v>244933</v>
      </c>
      <c r="C564" s="2" t="s">
        <v>4813</v>
      </c>
      <c r="D564" s="2">
        <f t="shared" si="8"/>
        <v>3</v>
      </c>
      <c r="F564" s="2" t="s">
        <v>4770</v>
      </c>
      <c r="G564" s="2" t="s">
        <v>53</v>
      </c>
      <c r="H564" s="4">
        <v>1</v>
      </c>
      <c r="I564" s="4">
        <v>1</v>
      </c>
      <c r="J564" s="5">
        <v>41666.67</v>
      </c>
      <c r="L564" s="5">
        <v>1013580.04</v>
      </c>
      <c r="M564" s="2" t="s">
        <v>55</v>
      </c>
      <c r="N564" s="2" t="s">
        <v>458</v>
      </c>
      <c r="O564" s="2" t="s">
        <v>459</v>
      </c>
      <c r="P564" s="2" t="s">
        <v>4814</v>
      </c>
      <c r="Q564" s="2" t="s">
        <v>4833</v>
      </c>
      <c r="R564" s="2" t="s">
        <v>4816</v>
      </c>
      <c r="T564" s="2" t="s">
        <v>4817</v>
      </c>
      <c r="U564" s="2" t="s">
        <v>4818</v>
      </c>
      <c r="V564" s="2" t="s">
        <v>4819</v>
      </c>
      <c r="W564" s="2" t="s">
        <v>4820</v>
      </c>
      <c r="X564" s="2" t="s">
        <v>4820</v>
      </c>
      <c r="Y564" s="2" t="s">
        <v>4821</v>
      </c>
      <c r="Z564" s="2" t="s">
        <v>4822</v>
      </c>
      <c r="AA564" s="2" t="s">
        <v>4823</v>
      </c>
      <c r="AC564" s="2" t="s">
        <v>4824</v>
      </c>
      <c r="AD564" s="2" t="s">
        <v>4825</v>
      </c>
      <c r="AE564" s="2" t="s">
        <v>4826</v>
      </c>
      <c r="AF564" s="2" t="s">
        <v>70</v>
      </c>
      <c r="AG564" s="2" t="s">
        <v>4814</v>
      </c>
      <c r="AK564" s="2" t="s">
        <v>4827</v>
      </c>
      <c r="AM564" s="2" t="s">
        <v>72</v>
      </c>
      <c r="AN564" s="2" t="s">
        <v>232</v>
      </c>
      <c r="AP564" s="2" t="s">
        <v>2705</v>
      </c>
      <c r="AT564" s="2" t="s">
        <v>4828</v>
      </c>
      <c r="AU564" s="2" t="s">
        <v>75</v>
      </c>
      <c r="AV564" s="2" t="s">
        <v>4829</v>
      </c>
      <c r="AW564" s="2" t="s">
        <v>4830</v>
      </c>
      <c r="AX564" s="2" t="s">
        <v>477</v>
      </c>
      <c r="AZ564" s="2" t="s">
        <v>478</v>
      </c>
    </row>
    <row r="565" spans="1:52" s="3" customFormat="1" x14ac:dyDescent="0.35">
      <c r="A565" s="2" t="s">
        <v>4812</v>
      </c>
      <c r="B565" s="4">
        <v>244933</v>
      </c>
      <c r="C565" s="2" t="s">
        <v>4813</v>
      </c>
      <c r="D565" s="2">
        <f t="shared" si="8"/>
        <v>3</v>
      </c>
      <c r="F565" s="2" t="s">
        <v>4770</v>
      </c>
      <c r="G565" s="2" t="s">
        <v>53</v>
      </c>
      <c r="H565" s="4">
        <v>1</v>
      </c>
      <c r="I565" s="4">
        <v>1</v>
      </c>
      <c r="J565" s="5">
        <v>41666.67</v>
      </c>
      <c r="L565" s="5">
        <v>1013580.04</v>
      </c>
      <c r="M565" s="2" t="s">
        <v>55</v>
      </c>
      <c r="N565" s="2" t="s">
        <v>458</v>
      </c>
      <c r="O565" s="2" t="s">
        <v>459</v>
      </c>
      <c r="P565" s="2" t="s">
        <v>4814</v>
      </c>
      <c r="Q565" s="2" t="s">
        <v>4834</v>
      </c>
      <c r="R565" s="2" t="s">
        <v>4816</v>
      </c>
      <c r="T565" s="2" t="s">
        <v>4817</v>
      </c>
      <c r="U565" s="2" t="s">
        <v>4818</v>
      </c>
      <c r="V565" s="2" t="s">
        <v>4819</v>
      </c>
      <c r="W565" s="2" t="s">
        <v>4820</v>
      </c>
      <c r="X565" s="2" t="s">
        <v>4820</v>
      </c>
      <c r="Y565" s="2" t="s">
        <v>4821</v>
      </c>
      <c r="Z565" s="2" t="s">
        <v>4822</v>
      </c>
      <c r="AA565" s="2" t="s">
        <v>4823</v>
      </c>
      <c r="AC565" s="2" t="s">
        <v>4824</v>
      </c>
      <c r="AD565" s="2" t="s">
        <v>4825</v>
      </c>
      <c r="AE565" s="2" t="s">
        <v>4826</v>
      </c>
      <c r="AF565" s="2" t="s">
        <v>70</v>
      </c>
      <c r="AG565" s="2" t="s">
        <v>4814</v>
      </c>
      <c r="AK565" s="2" t="s">
        <v>4827</v>
      </c>
      <c r="AM565" s="2" t="s">
        <v>72</v>
      </c>
      <c r="AN565" s="2" t="s">
        <v>232</v>
      </c>
      <c r="AP565" s="2" t="s">
        <v>2705</v>
      </c>
      <c r="AT565" s="2" t="s">
        <v>4828</v>
      </c>
      <c r="AU565" s="2" t="s">
        <v>75</v>
      </c>
      <c r="AV565" s="2" t="s">
        <v>4829</v>
      </c>
      <c r="AW565" s="2" t="s">
        <v>4830</v>
      </c>
      <c r="AX565" s="2" t="s">
        <v>477</v>
      </c>
      <c r="AZ565" s="2" t="s">
        <v>478</v>
      </c>
    </row>
    <row r="566" spans="1:52" s="3" customFormat="1" x14ac:dyDescent="0.35">
      <c r="A566" s="2" t="s">
        <v>4812</v>
      </c>
      <c r="B566" s="4">
        <v>244933</v>
      </c>
      <c r="C566" s="2" t="s">
        <v>4813</v>
      </c>
      <c r="D566" s="2">
        <f t="shared" si="8"/>
        <v>3</v>
      </c>
      <c r="F566" s="2" t="s">
        <v>4770</v>
      </c>
      <c r="G566" s="2" t="s">
        <v>53</v>
      </c>
      <c r="H566" s="4">
        <v>1</v>
      </c>
      <c r="I566" s="4">
        <v>1</v>
      </c>
      <c r="J566" s="5">
        <v>41666.67</v>
      </c>
      <c r="L566" s="5">
        <v>1013580.04</v>
      </c>
      <c r="M566" s="2" t="s">
        <v>55</v>
      </c>
      <c r="N566" s="2" t="s">
        <v>458</v>
      </c>
      <c r="O566" s="2" t="s">
        <v>459</v>
      </c>
      <c r="P566" s="2" t="s">
        <v>4814</v>
      </c>
      <c r="Q566" s="2" t="s">
        <v>4835</v>
      </c>
      <c r="R566" s="2" t="s">
        <v>4816</v>
      </c>
      <c r="T566" s="2" t="s">
        <v>4817</v>
      </c>
      <c r="U566" s="2" t="s">
        <v>4818</v>
      </c>
      <c r="V566" s="2" t="s">
        <v>4819</v>
      </c>
      <c r="W566" s="2" t="s">
        <v>4820</v>
      </c>
      <c r="X566" s="2" t="s">
        <v>4820</v>
      </c>
      <c r="Y566" s="2" t="s">
        <v>4821</v>
      </c>
      <c r="Z566" s="2" t="s">
        <v>4822</v>
      </c>
      <c r="AA566" s="2" t="s">
        <v>4823</v>
      </c>
      <c r="AC566" s="2" t="s">
        <v>4824</v>
      </c>
      <c r="AD566" s="2" t="s">
        <v>4825</v>
      </c>
      <c r="AE566" s="2" t="s">
        <v>4826</v>
      </c>
      <c r="AF566" s="2" t="s">
        <v>70</v>
      </c>
      <c r="AG566" s="2" t="s">
        <v>4814</v>
      </c>
      <c r="AK566" s="2" t="s">
        <v>4827</v>
      </c>
      <c r="AM566" s="2" t="s">
        <v>72</v>
      </c>
      <c r="AN566" s="2" t="s">
        <v>232</v>
      </c>
      <c r="AP566" s="2" t="s">
        <v>2705</v>
      </c>
      <c r="AT566" s="2" t="s">
        <v>4828</v>
      </c>
      <c r="AU566" s="2" t="s">
        <v>75</v>
      </c>
      <c r="AV566" s="2" t="s">
        <v>4829</v>
      </c>
      <c r="AW566" s="2" t="s">
        <v>4830</v>
      </c>
      <c r="AX566" s="2" t="s">
        <v>477</v>
      </c>
      <c r="AZ566" s="2" t="s">
        <v>478</v>
      </c>
    </row>
    <row r="567" spans="1:52" s="3" customFormat="1" x14ac:dyDescent="0.35">
      <c r="A567" s="2" t="s">
        <v>4812</v>
      </c>
      <c r="B567" s="4">
        <v>244933</v>
      </c>
      <c r="C567" s="2" t="s">
        <v>4813</v>
      </c>
      <c r="D567" s="2">
        <f t="shared" si="8"/>
        <v>3</v>
      </c>
      <c r="F567" s="2" t="s">
        <v>4770</v>
      </c>
      <c r="G567" s="2" t="s">
        <v>53</v>
      </c>
      <c r="H567" s="4">
        <v>1</v>
      </c>
      <c r="I567" s="4">
        <v>1</v>
      </c>
      <c r="J567" s="5">
        <v>41666.67</v>
      </c>
      <c r="L567" s="5">
        <v>1013580.04</v>
      </c>
      <c r="M567" s="2" t="s">
        <v>55</v>
      </c>
      <c r="N567" s="2" t="s">
        <v>458</v>
      </c>
      <c r="O567" s="2" t="s">
        <v>459</v>
      </c>
      <c r="P567" s="2" t="s">
        <v>4814</v>
      </c>
      <c r="Q567" s="2" t="s">
        <v>4836</v>
      </c>
      <c r="R567" s="2" t="s">
        <v>4816</v>
      </c>
      <c r="T567" s="2" t="s">
        <v>4817</v>
      </c>
      <c r="U567" s="2" t="s">
        <v>4818</v>
      </c>
      <c r="V567" s="2" t="s">
        <v>4819</v>
      </c>
      <c r="W567" s="2" t="s">
        <v>4820</v>
      </c>
      <c r="X567" s="2" t="s">
        <v>4820</v>
      </c>
      <c r="Y567" s="2" t="s">
        <v>4821</v>
      </c>
      <c r="Z567" s="2" t="s">
        <v>4822</v>
      </c>
      <c r="AA567" s="2" t="s">
        <v>4823</v>
      </c>
      <c r="AC567" s="2" t="s">
        <v>4824</v>
      </c>
      <c r="AD567" s="2" t="s">
        <v>4825</v>
      </c>
      <c r="AE567" s="2" t="s">
        <v>4826</v>
      </c>
      <c r="AF567" s="2" t="s">
        <v>70</v>
      </c>
      <c r="AG567" s="2" t="s">
        <v>4814</v>
      </c>
      <c r="AK567" s="2" t="s">
        <v>4827</v>
      </c>
      <c r="AM567" s="2" t="s">
        <v>72</v>
      </c>
      <c r="AN567" s="2" t="s">
        <v>232</v>
      </c>
      <c r="AP567" s="2" t="s">
        <v>2705</v>
      </c>
      <c r="AT567" s="2" t="s">
        <v>4828</v>
      </c>
      <c r="AU567" s="2" t="s">
        <v>75</v>
      </c>
      <c r="AV567" s="2" t="s">
        <v>4829</v>
      </c>
      <c r="AW567" s="2" t="s">
        <v>4830</v>
      </c>
      <c r="AX567" s="2" t="s">
        <v>477</v>
      </c>
      <c r="AZ567" s="2" t="s">
        <v>478</v>
      </c>
    </row>
    <row r="568" spans="1:52" s="3" customFormat="1" x14ac:dyDescent="0.35">
      <c r="A568" s="2" t="s">
        <v>4812</v>
      </c>
      <c r="B568" s="4">
        <v>244933</v>
      </c>
      <c r="C568" s="2" t="s">
        <v>4813</v>
      </c>
      <c r="D568" s="2">
        <f t="shared" si="8"/>
        <v>3</v>
      </c>
      <c r="F568" s="2" t="s">
        <v>4770</v>
      </c>
      <c r="G568" s="2" t="s">
        <v>53</v>
      </c>
      <c r="H568" s="4">
        <v>1</v>
      </c>
      <c r="I568" s="4">
        <v>1</v>
      </c>
      <c r="J568" s="5">
        <v>41666.67</v>
      </c>
      <c r="L568" s="5">
        <v>1013580.04</v>
      </c>
      <c r="M568" s="2" t="s">
        <v>55</v>
      </c>
      <c r="N568" s="2" t="s">
        <v>458</v>
      </c>
      <c r="O568" s="2" t="s">
        <v>459</v>
      </c>
      <c r="P568" s="2" t="s">
        <v>4814</v>
      </c>
      <c r="Q568" s="2" t="s">
        <v>4837</v>
      </c>
      <c r="R568" s="2" t="s">
        <v>4816</v>
      </c>
      <c r="T568" s="2" t="s">
        <v>4817</v>
      </c>
      <c r="U568" s="2" t="s">
        <v>4818</v>
      </c>
      <c r="V568" s="2" t="s">
        <v>4819</v>
      </c>
      <c r="W568" s="2" t="s">
        <v>4820</v>
      </c>
      <c r="X568" s="2" t="s">
        <v>4820</v>
      </c>
      <c r="Y568" s="2" t="s">
        <v>4821</v>
      </c>
      <c r="Z568" s="2" t="s">
        <v>4822</v>
      </c>
      <c r="AA568" s="2" t="s">
        <v>4823</v>
      </c>
      <c r="AC568" s="2" t="s">
        <v>4824</v>
      </c>
      <c r="AD568" s="2" t="s">
        <v>4825</v>
      </c>
      <c r="AE568" s="2" t="s">
        <v>4826</v>
      </c>
      <c r="AF568" s="2" t="s">
        <v>70</v>
      </c>
      <c r="AG568" s="2" t="s">
        <v>4814</v>
      </c>
      <c r="AK568" s="2" t="s">
        <v>4827</v>
      </c>
      <c r="AM568" s="2" t="s">
        <v>72</v>
      </c>
      <c r="AN568" s="2" t="s">
        <v>232</v>
      </c>
      <c r="AP568" s="2" t="s">
        <v>2705</v>
      </c>
      <c r="AT568" s="2" t="s">
        <v>4828</v>
      </c>
      <c r="AU568" s="2" t="s">
        <v>75</v>
      </c>
      <c r="AV568" s="2" t="s">
        <v>4829</v>
      </c>
      <c r="AW568" s="2" t="s">
        <v>4830</v>
      </c>
      <c r="AX568" s="2" t="s">
        <v>477</v>
      </c>
      <c r="AZ568" s="2" t="s">
        <v>478</v>
      </c>
    </row>
    <row r="569" spans="1:52" s="3" customFormat="1" x14ac:dyDescent="0.35">
      <c r="A569" s="2" t="s">
        <v>4812</v>
      </c>
      <c r="B569" s="4">
        <v>244933</v>
      </c>
      <c r="C569" s="2" t="s">
        <v>4813</v>
      </c>
      <c r="D569" s="2">
        <f t="shared" si="8"/>
        <v>3</v>
      </c>
      <c r="F569" s="2" t="s">
        <v>4770</v>
      </c>
      <c r="G569" s="2" t="s">
        <v>53</v>
      </c>
      <c r="H569" s="4">
        <v>1</v>
      </c>
      <c r="I569" s="4">
        <v>1</v>
      </c>
      <c r="J569" s="5">
        <v>41666.67</v>
      </c>
      <c r="L569" s="5">
        <v>1013580.04</v>
      </c>
      <c r="M569" s="2" t="s">
        <v>55</v>
      </c>
      <c r="N569" s="2" t="s">
        <v>458</v>
      </c>
      <c r="O569" s="2" t="s">
        <v>459</v>
      </c>
      <c r="P569" s="2" t="s">
        <v>4814</v>
      </c>
      <c r="Q569" s="2" t="s">
        <v>4838</v>
      </c>
      <c r="R569" s="2" t="s">
        <v>4816</v>
      </c>
      <c r="T569" s="2" t="s">
        <v>4817</v>
      </c>
      <c r="U569" s="2" t="s">
        <v>4818</v>
      </c>
      <c r="V569" s="2" t="s">
        <v>4819</v>
      </c>
      <c r="W569" s="2" t="s">
        <v>4820</v>
      </c>
      <c r="X569" s="2" t="s">
        <v>4820</v>
      </c>
      <c r="Y569" s="2" t="s">
        <v>4821</v>
      </c>
      <c r="Z569" s="2" t="s">
        <v>4822</v>
      </c>
      <c r="AA569" s="2" t="s">
        <v>4823</v>
      </c>
      <c r="AC569" s="2" t="s">
        <v>4824</v>
      </c>
      <c r="AD569" s="2" t="s">
        <v>4825</v>
      </c>
      <c r="AE569" s="2" t="s">
        <v>4826</v>
      </c>
      <c r="AF569" s="2" t="s">
        <v>70</v>
      </c>
      <c r="AG569" s="2" t="s">
        <v>4814</v>
      </c>
      <c r="AK569" s="2" t="s">
        <v>4827</v>
      </c>
      <c r="AM569" s="2" t="s">
        <v>72</v>
      </c>
      <c r="AN569" s="2" t="s">
        <v>232</v>
      </c>
      <c r="AP569" s="2" t="s">
        <v>2705</v>
      </c>
      <c r="AT569" s="2" t="s">
        <v>4828</v>
      </c>
      <c r="AU569" s="2" t="s">
        <v>75</v>
      </c>
      <c r="AV569" s="2" t="s">
        <v>4829</v>
      </c>
      <c r="AW569" s="2" t="s">
        <v>4830</v>
      </c>
      <c r="AX569" s="2" t="s">
        <v>477</v>
      </c>
      <c r="AZ569" s="2" t="s">
        <v>478</v>
      </c>
    </row>
    <row r="570" spans="1:52" s="3" customFormat="1" x14ac:dyDescent="0.35">
      <c r="A570" s="2" t="s">
        <v>4812</v>
      </c>
      <c r="B570" s="4">
        <v>244933</v>
      </c>
      <c r="C570" s="2" t="s">
        <v>4813</v>
      </c>
      <c r="D570" s="2">
        <f t="shared" si="8"/>
        <v>3</v>
      </c>
      <c r="F570" s="2" t="s">
        <v>4770</v>
      </c>
      <c r="G570" s="2" t="s">
        <v>53</v>
      </c>
      <c r="H570" s="4">
        <v>1</v>
      </c>
      <c r="I570" s="4">
        <v>1</v>
      </c>
      <c r="J570" s="5">
        <v>41666.67</v>
      </c>
      <c r="L570" s="5">
        <v>1013580.04</v>
      </c>
      <c r="M570" s="2" t="s">
        <v>55</v>
      </c>
      <c r="N570" s="2" t="s">
        <v>458</v>
      </c>
      <c r="O570" s="2" t="s">
        <v>459</v>
      </c>
      <c r="P570" s="2" t="s">
        <v>4814</v>
      </c>
      <c r="Q570" s="2" t="s">
        <v>4839</v>
      </c>
      <c r="R570" s="2" t="s">
        <v>4816</v>
      </c>
      <c r="T570" s="2" t="s">
        <v>4817</v>
      </c>
      <c r="U570" s="2" t="s">
        <v>4818</v>
      </c>
      <c r="V570" s="2" t="s">
        <v>4819</v>
      </c>
      <c r="W570" s="2" t="s">
        <v>4820</v>
      </c>
      <c r="X570" s="2" t="s">
        <v>4820</v>
      </c>
      <c r="Y570" s="2" t="s">
        <v>4821</v>
      </c>
      <c r="Z570" s="2" t="s">
        <v>4822</v>
      </c>
      <c r="AA570" s="2" t="s">
        <v>4823</v>
      </c>
      <c r="AC570" s="2" t="s">
        <v>4824</v>
      </c>
      <c r="AD570" s="2" t="s">
        <v>4825</v>
      </c>
      <c r="AE570" s="2" t="s">
        <v>4826</v>
      </c>
      <c r="AF570" s="2" t="s">
        <v>70</v>
      </c>
      <c r="AG570" s="2" t="s">
        <v>4814</v>
      </c>
      <c r="AK570" s="2" t="s">
        <v>4827</v>
      </c>
      <c r="AM570" s="2" t="s">
        <v>72</v>
      </c>
      <c r="AN570" s="2" t="s">
        <v>232</v>
      </c>
      <c r="AP570" s="2" t="s">
        <v>2705</v>
      </c>
      <c r="AT570" s="2" t="s">
        <v>4828</v>
      </c>
      <c r="AU570" s="2" t="s">
        <v>75</v>
      </c>
      <c r="AV570" s="2" t="s">
        <v>4829</v>
      </c>
      <c r="AW570" s="2" t="s">
        <v>4830</v>
      </c>
      <c r="AX570" s="2" t="s">
        <v>477</v>
      </c>
      <c r="AZ570" s="2" t="s">
        <v>478</v>
      </c>
    </row>
    <row r="571" spans="1:52" s="3" customFormat="1" x14ac:dyDescent="0.35">
      <c r="A571" s="2" t="s">
        <v>4812</v>
      </c>
      <c r="B571" s="4">
        <v>244933</v>
      </c>
      <c r="C571" s="2" t="s">
        <v>4813</v>
      </c>
      <c r="D571" s="2">
        <f t="shared" si="8"/>
        <v>3</v>
      </c>
      <c r="F571" s="2" t="s">
        <v>4770</v>
      </c>
      <c r="G571" s="2" t="s">
        <v>53</v>
      </c>
      <c r="H571" s="4">
        <v>1</v>
      </c>
      <c r="I571" s="4">
        <v>1</v>
      </c>
      <c r="J571" s="5">
        <v>41666.67</v>
      </c>
      <c r="L571" s="5">
        <v>1013580.04</v>
      </c>
      <c r="M571" s="2" t="s">
        <v>55</v>
      </c>
      <c r="N571" s="2" t="s">
        <v>458</v>
      </c>
      <c r="O571" s="2" t="s">
        <v>459</v>
      </c>
      <c r="P571" s="2" t="s">
        <v>4814</v>
      </c>
      <c r="Q571" s="2" t="s">
        <v>4840</v>
      </c>
      <c r="R571" s="2" t="s">
        <v>4816</v>
      </c>
      <c r="T571" s="2" t="s">
        <v>4817</v>
      </c>
      <c r="U571" s="2" t="s">
        <v>4818</v>
      </c>
      <c r="V571" s="2" t="s">
        <v>4819</v>
      </c>
      <c r="W571" s="2" t="s">
        <v>4820</v>
      </c>
      <c r="X571" s="2" t="s">
        <v>4820</v>
      </c>
      <c r="Y571" s="2" t="s">
        <v>4821</v>
      </c>
      <c r="Z571" s="2" t="s">
        <v>4822</v>
      </c>
      <c r="AA571" s="2" t="s">
        <v>4823</v>
      </c>
      <c r="AC571" s="2" t="s">
        <v>4824</v>
      </c>
      <c r="AD571" s="2" t="s">
        <v>4825</v>
      </c>
      <c r="AE571" s="2" t="s">
        <v>4826</v>
      </c>
      <c r="AF571" s="2" t="s">
        <v>70</v>
      </c>
      <c r="AG571" s="2" t="s">
        <v>4814</v>
      </c>
      <c r="AK571" s="2" t="s">
        <v>4827</v>
      </c>
      <c r="AM571" s="2" t="s">
        <v>72</v>
      </c>
      <c r="AN571" s="2" t="s">
        <v>232</v>
      </c>
      <c r="AP571" s="2" t="s">
        <v>2705</v>
      </c>
      <c r="AT571" s="2" t="s">
        <v>4828</v>
      </c>
      <c r="AU571" s="2" t="s">
        <v>75</v>
      </c>
      <c r="AV571" s="2" t="s">
        <v>4829</v>
      </c>
      <c r="AW571" s="2" t="s">
        <v>4830</v>
      </c>
      <c r="AX571" s="2" t="s">
        <v>477</v>
      </c>
      <c r="AZ571" s="2" t="s">
        <v>478</v>
      </c>
    </row>
    <row r="572" spans="1:52" s="3" customFormat="1" x14ac:dyDescent="0.35">
      <c r="A572" s="2" t="s">
        <v>4812</v>
      </c>
      <c r="B572" s="4">
        <v>244933</v>
      </c>
      <c r="C572" s="2" t="s">
        <v>4813</v>
      </c>
      <c r="D572" s="2">
        <f t="shared" si="8"/>
        <v>3</v>
      </c>
      <c r="F572" s="2" t="s">
        <v>4770</v>
      </c>
      <c r="G572" s="2" t="s">
        <v>53</v>
      </c>
      <c r="H572" s="4">
        <v>1</v>
      </c>
      <c r="I572" s="4">
        <v>1</v>
      </c>
      <c r="J572" s="5">
        <v>41666.67</v>
      </c>
      <c r="L572" s="5">
        <v>1013580.04</v>
      </c>
      <c r="M572" s="2" t="s">
        <v>55</v>
      </c>
      <c r="N572" s="2" t="s">
        <v>458</v>
      </c>
      <c r="O572" s="2" t="s">
        <v>459</v>
      </c>
      <c r="P572" s="2" t="s">
        <v>4814</v>
      </c>
      <c r="Q572" s="2" t="s">
        <v>4841</v>
      </c>
      <c r="R572" s="2" t="s">
        <v>4816</v>
      </c>
      <c r="T572" s="2" t="s">
        <v>4817</v>
      </c>
      <c r="U572" s="2" t="s">
        <v>4818</v>
      </c>
      <c r="V572" s="2" t="s">
        <v>4819</v>
      </c>
      <c r="W572" s="2" t="s">
        <v>4820</v>
      </c>
      <c r="X572" s="2" t="s">
        <v>4820</v>
      </c>
      <c r="Y572" s="2" t="s">
        <v>4821</v>
      </c>
      <c r="Z572" s="2" t="s">
        <v>4822</v>
      </c>
      <c r="AA572" s="2" t="s">
        <v>4823</v>
      </c>
      <c r="AC572" s="2" t="s">
        <v>4824</v>
      </c>
      <c r="AD572" s="2" t="s">
        <v>4825</v>
      </c>
      <c r="AE572" s="2" t="s">
        <v>4826</v>
      </c>
      <c r="AF572" s="2" t="s">
        <v>70</v>
      </c>
      <c r="AG572" s="2" t="s">
        <v>4814</v>
      </c>
      <c r="AK572" s="2" t="s">
        <v>4827</v>
      </c>
      <c r="AM572" s="2" t="s">
        <v>72</v>
      </c>
      <c r="AN572" s="2" t="s">
        <v>232</v>
      </c>
      <c r="AP572" s="2" t="s">
        <v>2705</v>
      </c>
      <c r="AT572" s="2" t="s">
        <v>4828</v>
      </c>
      <c r="AU572" s="2" t="s">
        <v>75</v>
      </c>
      <c r="AV572" s="2" t="s">
        <v>4829</v>
      </c>
      <c r="AW572" s="2" t="s">
        <v>4830</v>
      </c>
      <c r="AX572" s="2" t="s">
        <v>477</v>
      </c>
      <c r="AZ572" s="2" t="s">
        <v>478</v>
      </c>
    </row>
    <row r="573" spans="1:52" s="3" customFormat="1" x14ac:dyDescent="0.35">
      <c r="A573" s="2" t="s">
        <v>4812</v>
      </c>
      <c r="B573" s="4">
        <v>244933</v>
      </c>
      <c r="C573" s="2" t="s">
        <v>4813</v>
      </c>
      <c r="D573" s="2">
        <f t="shared" si="8"/>
        <v>3</v>
      </c>
      <c r="F573" s="2" t="s">
        <v>4770</v>
      </c>
      <c r="G573" s="2" t="s">
        <v>53</v>
      </c>
      <c r="H573" s="4">
        <v>1</v>
      </c>
      <c r="I573" s="4">
        <v>1</v>
      </c>
      <c r="J573" s="5">
        <v>41666.67</v>
      </c>
      <c r="L573" s="5">
        <v>1013580.04</v>
      </c>
      <c r="M573" s="2" t="s">
        <v>55</v>
      </c>
      <c r="N573" s="2" t="s">
        <v>458</v>
      </c>
      <c r="O573" s="2" t="s">
        <v>459</v>
      </c>
      <c r="P573" s="2" t="s">
        <v>4814</v>
      </c>
      <c r="Q573" s="2" t="s">
        <v>4842</v>
      </c>
      <c r="R573" s="2" t="s">
        <v>4816</v>
      </c>
      <c r="T573" s="2" t="s">
        <v>4817</v>
      </c>
      <c r="U573" s="2" t="s">
        <v>4818</v>
      </c>
      <c r="V573" s="2" t="s">
        <v>4819</v>
      </c>
      <c r="W573" s="2" t="s">
        <v>4820</v>
      </c>
      <c r="X573" s="2" t="s">
        <v>4820</v>
      </c>
      <c r="Y573" s="2" t="s">
        <v>4821</v>
      </c>
      <c r="Z573" s="2" t="s">
        <v>4822</v>
      </c>
      <c r="AA573" s="2" t="s">
        <v>4823</v>
      </c>
      <c r="AC573" s="2" t="s">
        <v>4824</v>
      </c>
      <c r="AD573" s="2" t="s">
        <v>4825</v>
      </c>
      <c r="AE573" s="2" t="s">
        <v>4826</v>
      </c>
      <c r="AF573" s="2" t="s">
        <v>70</v>
      </c>
      <c r="AG573" s="2" t="s">
        <v>4814</v>
      </c>
      <c r="AK573" s="2" t="s">
        <v>4827</v>
      </c>
      <c r="AM573" s="2" t="s">
        <v>72</v>
      </c>
      <c r="AN573" s="2" t="s">
        <v>232</v>
      </c>
      <c r="AP573" s="2" t="s">
        <v>2705</v>
      </c>
      <c r="AT573" s="2" t="s">
        <v>4828</v>
      </c>
      <c r="AU573" s="2" t="s">
        <v>75</v>
      </c>
      <c r="AV573" s="2" t="s">
        <v>4829</v>
      </c>
      <c r="AW573" s="2" t="s">
        <v>4830</v>
      </c>
      <c r="AX573" s="2" t="s">
        <v>477</v>
      </c>
      <c r="AZ573" s="2" t="s">
        <v>478</v>
      </c>
    </row>
    <row r="574" spans="1:52" s="3" customFormat="1" x14ac:dyDescent="0.35">
      <c r="A574" s="2" t="s">
        <v>4812</v>
      </c>
      <c r="B574" s="4">
        <v>244933</v>
      </c>
      <c r="C574" s="2" t="s">
        <v>4813</v>
      </c>
      <c r="D574" s="2">
        <f t="shared" si="8"/>
        <v>3</v>
      </c>
      <c r="F574" s="2" t="s">
        <v>4770</v>
      </c>
      <c r="G574" s="2" t="s">
        <v>53</v>
      </c>
      <c r="H574" s="4">
        <v>1</v>
      </c>
      <c r="I574" s="4">
        <v>1</v>
      </c>
      <c r="J574" s="5">
        <v>41666.67</v>
      </c>
      <c r="L574" s="5">
        <v>1013580.04</v>
      </c>
      <c r="M574" s="2" t="s">
        <v>55</v>
      </c>
      <c r="N574" s="2" t="s">
        <v>458</v>
      </c>
      <c r="O574" s="2" t="s">
        <v>459</v>
      </c>
      <c r="P574" s="2" t="s">
        <v>4814</v>
      </c>
      <c r="Q574" s="2" t="s">
        <v>4843</v>
      </c>
      <c r="R574" s="2" t="s">
        <v>4816</v>
      </c>
      <c r="T574" s="2" t="s">
        <v>4817</v>
      </c>
      <c r="U574" s="2" t="s">
        <v>4818</v>
      </c>
      <c r="V574" s="2" t="s">
        <v>4819</v>
      </c>
      <c r="W574" s="2" t="s">
        <v>4820</v>
      </c>
      <c r="X574" s="2" t="s">
        <v>4820</v>
      </c>
      <c r="Y574" s="2" t="s">
        <v>4821</v>
      </c>
      <c r="Z574" s="2" t="s">
        <v>4822</v>
      </c>
      <c r="AA574" s="2" t="s">
        <v>4823</v>
      </c>
      <c r="AC574" s="2" t="s">
        <v>4824</v>
      </c>
      <c r="AD574" s="2" t="s">
        <v>4825</v>
      </c>
      <c r="AE574" s="2" t="s">
        <v>4826</v>
      </c>
      <c r="AF574" s="2" t="s">
        <v>70</v>
      </c>
      <c r="AG574" s="2" t="s">
        <v>4814</v>
      </c>
      <c r="AK574" s="2" t="s">
        <v>4827</v>
      </c>
      <c r="AM574" s="2" t="s">
        <v>72</v>
      </c>
      <c r="AN574" s="2" t="s">
        <v>232</v>
      </c>
      <c r="AP574" s="2" t="s">
        <v>2705</v>
      </c>
      <c r="AT574" s="2" t="s">
        <v>4828</v>
      </c>
      <c r="AU574" s="2" t="s">
        <v>75</v>
      </c>
      <c r="AV574" s="2" t="s">
        <v>4829</v>
      </c>
      <c r="AW574" s="2" t="s">
        <v>4830</v>
      </c>
      <c r="AX574" s="2" t="s">
        <v>477</v>
      </c>
      <c r="AZ574" s="2" t="s">
        <v>478</v>
      </c>
    </row>
    <row r="575" spans="1:52" s="3" customFormat="1" x14ac:dyDescent="0.35">
      <c r="A575" s="2" t="s">
        <v>4844</v>
      </c>
      <c r="B575" s="4">
        <v>244927</v>
      </c>
      <c r="C575" s="2" t="s">
        <v>4845</v>
      </c>
      <c r="D575" s="2">
        <f t="shared" si="8"/>
        <v>3</v>
      </c>
      <c r="F575" s="2" t="s">
        <v>4770</v>
      </c>
      <c r="G575" s="2" t="s">
        <v>53</v>
      </c>
      <c r="H575" s="4">
        <v>1</v>
      </c>
      <c r="I575" s="4">
        <v>1</v>
      </c>
      <c r="J575" s="5">
        <v>28000</v>
      </c>
      <c r="L575" s="5">
        <v>65695</v>
      </c>
      <c r="M575" s="2" t="s">
        <v>55</v>
      </c>
      <c r="N575" s="2" t="s">
        <v>458</v>
      </c>
      <c r="O575" s="2" t="s">
        <v>459</v>
      </c>
      <c r="P575" s="2" t="s">
        <v>4846</v>
      </c>
      <c r="Q575" s="2" t="s">
        <v>4847</v>
      </c>
      <c r="R575" s="2" t="s">
        <v>4848</v>
      </c>
      <c r="T575" s="2" t="s">
        <v>4849</v>
      </c>
      <c r="U575" s="2" t="s">
        <v>4850</v>
      </c>
      <c r="V575" s="2" t="s">
        <v>4851</v>
      </c>
      <c r="W575" s="2" t="s">
        <v>4852</v>
      </c>
      <c r="X575" s="2" t="s">
        <v>4853</v>
      </c>
      <c r="Y575" s="2" t="s">
        <v>1040</v>
      </c>
      <c r="Z575" s="2" t="s">
        <v>4854</v>
      </c>
      <c r="AA575" s="2" t="s">
        <v>4855</v>
      </c>
      <c r="AB575" s="2" t="s">
        <v>4856</v>
      </c>
      <c r="AC575" s="2" t="s">
        <v>1044</v>
      </c>
      <c r="AD575" s="2" t="s">
        <v>68</v>
      </c>
      <c r="AE575" s="2" t="s">
        <v>69</v>
      </c>
      <c r="AF575" s="2" t="s">
        <v>70</v>
      </c>
      <c r="AG575" s="2" t="s">
        <v>4846</v>
      </c>
      <c r="AK575" s="2" t="s">
        <v>4857</v>
      </c>
      <c r="AM575" s="2" t="s">
        <v>72</v>
      </c>
      <c r="AN575" s="2" t="s">
        <v>283</v>
      </c>
      <c r="AP575" s="2" t="s">
        <v>2705</v>
      </c>
      <c r="AU575" s="2" t="s">
        <v>75</v>
      </c>
      <c r="AV575" s="2" t="s">
        <v>4858</v>
      </c>
      <c r="AW575" s="2" t="s">
        <v>4859</v>
      </c>
      <c r="AX575" s="2" t="s">
        <v>477</v>
      </c>
      <c r="AZ575" s="2" t="s">
        <v>478</v>
      </c>
    </row>
    <row r="576" spans="1:52" s="3" customFormat="1" x14ac:dyDescent="0.35">
      <c r="A576" s="2" t="s">
        <v>4844</v>
      </c>
      <c r="B576" s="4">
        <v>244927</v>
      </c>
      <c r="C576" s="2" t="s">
        <v>4845</v>
      </c>
      <c r="D576" s="2">
        <f t="shared" si="8"/>
        <v>3</v>
      </c>
      <c r="F576" s="2" t="s">
        <v>4770</v>
      </c>
      <c r="G576" s="2" t="s">
        <v>53</v>
      </c>
      <c r="H576" s="4">
        <v>1</v>
      </c>
      <c r="I576" s="4">
        <v>1</v>
      </c>
      <c r="J576" s="5">
        <v>42000</v>
      </c>
      <c r="L576" s="5">
        <v>65695</v>
      </c>
      <c r="M576" s="2" t="s">
        <v>55</v>
      </c>
      <c r="N576" s="2" t="s">
        <v>458</v>
      </c>
      <c r="O576" s="2" t="s">
        <v>459</v>
      </c>
      <c r="P576" s="2" t="s">
        <v>4846</v>
      </c>
      <c r="Q576" s="2" t="s">
        <v>4860</v>
      </c>
      <c r="R576" s="2" t="s">
        <v>4848</v>
      </c>
      <c r="T576" s="2" t="s">
        <v>4849</v>
      </c>
      <c r="U576" s="2" t="s">
        <v>4850</v>
      </c>
      <c r="V576" s="2" t="s">
        <v>4851</v>
      </c>
      <c r="W576" s="2" t="s">
        <v>4852</v>
      </c>
      <c r="X576" s="2" t="s">
        <v>4853</v>
      </c>
      <c r="Y576" s="2" t="s">
        <v>1040</v>
      </c>
      <c r="Z576" s="2" t="s">
        <v>4854</v>
      </c>
      <c r="AA576" s="2" t="s">
        <v>4855</v>
      </c>
      <c r="AB576" s="2" t="s">
        <v>4856</v>
      </c>
      <c r="AC576" s="2" t="s">
        <v>1044</v>
      </c>
      <c r="AD576" s="2" t="s">
        <v>68</v>
      </c>
      <c r="AE576" s="2" t="s">
        <v>69</v>
      </c>
      <c r="AF576" s="2" t="s">
        <v>70</v>
      </c>
      <c r="AG576" s="2" t="s">
        <v>4846</v>
      </c>
      <c r="AK576" s="2" t="s">
        <v>4857</v>
      </c>
      <c r="AM576" s="2" t="s">
        <v>72</v>
      </c>
      <c r="AN576" s="2" t="s">
        <v>283</v>
      </c>
      <c r="AP576" s="2" t="s">
        <v>2705</v>
      </c>
      <c r="AU576" s="2" t="s">
        <v>75</v>
      </c>
      <c r="AV576" s="2" t="s">
        <v>4858</v>
      </c>
      <c r="AW576" s="2" t="s">
        <v>4859</v>
      </c>
      <c r="AX576" s="2" t="s">
        <v>477</v>
      </c>
      <c r="AZ576" s="2" t="s">
        <v>478</v>
      </c>
    </row>
    <row r="577" spans="1:52" s="3" customFormat="1" x14ac:dyDescent="0.35">
      <c r="A577" s="2" t="s">
        <v>4861</v>
      </c>
      <c r="B577" s="4">
        <v>244926</v>
      </c>
      <c r="C577" s="2" t="s">
        <v>4862</v>
      </c>
      <c r="D577" s="2">
        <f t="shared" si="8"/>
        <v>3</v>
      </c>
      <c r="F577" s="2" t="s">
        <v>4829</v>
      </c>
      <c r="G577" s="2" t="s">
        <v>53</v>
      </c>
      <c r="H577" s="4">
        <v>1</v>
      </c>
      <c r="I577" s="4">
        <v>1</v>
      </c>
      <c r="J577" s="4">
        <v>0</v>
      </c>
      <c r="L577" s="4">
        <v>0</v>
      </c>
      <c r="M577" s="2" t="s">
        <v>55</v>
      </c>
      <c r="N577" s="2" t="s">
        <v>56</v>
      </c>
      <c r="O577" s="2" t="s">
        <v>57</v>
      </c>
      <c r="P577" s="2" t="s">
        <v>3131</v>
      </c>
      <c r="Q577" s="2" t="s">
        <v>3132</v>
      </c>
      <c r="R577" s="2" t="s">
        <v>4863</v>
      </c>
      <c r="S577" s="2" t="s">
        <v>4864</v>
      </c>
      <c r="V577" s="2" t="s">
        <v>4865</v>
      </c>
      <c r="W577" s="2" t="s">
        <v>4866</v>
      </c>
      <c r="Y577" s="2" t="s">
        <v>64</v>
      </c>
      <c r="Z577" s="2" t="s">
        <v>3302</v>
      </c>
      <c r="AA577" s="2" t="s">
        <v>66</v>
      </c>
      <c r="AC577" s="2" t="s">
        <v>67</v>
      </c>
      <c r="AD577" s="2" t="s">
        <v>68</v>
      </c>
      <c r="AE577" s="2" t="s">
        <v>69</v>
      </c>
      <c r="AF577" s="2" t="s">
        <v>70</v>
      </c>
      <c r="AG577" s="2" t="s">
        <v>3131</v>
      </c>
      <c r="AK577" s="2" t="s">
        <v>4867</v>
      </c>
      <c r="AM577" s="2" t="s">
        <v>72</v>
      </c>
      <c r="AN577" s="2" t="s">
        <v>283</v>
      </c>
      <c r="AP577" s="2" t="s">
        <v>3144</v>
      </c>
      <c r="AT577" s="2" t="s">
        <v>114</v>
      </c>
      <c r="AU577" s="2" t="s">
        <v>75</v>
      </c>
      <c r="AW577" s="2" t="s">
        <v>4868</v>
      </c>
      <c r="AZ577" s="2" t="s">
        <v>116</v>
      </c>
    </row>
    <row r="578" spans="1:52" s="3" customFormat="1" x14ac:dyDescent="0.35">
      <c r="A578" s="2" t="s">
        <v>4869</v>
      </c>
      <c r="B578" s="4">
        <v>244907</v>
      </c>
      <c r="C578" s="2" t="s">
        <v>4870</v>
      </c>
      <c r="D578" s="2">
        <f t="shared" si="8"/>
        <v>3</v>
      </c>
      <c r="F578" s="2" t="s">
        <v>4829</v>
      </c>
      <c r="G578" s="2" t="s">
        <v>53</v>
      </c>
      <c r="H578" s="4">
        <v>1</v>
      </c>
      <c r="I578" s="4">
        <v>1</v>
      </c>
      <c r="J578" s="4">
        <v>0</v>
      </c>
      <c r="L578" s="4">
        <v>0</v>
      </c>
      <c r="M578" s="2" t="s">
        <v>55</v>
      </c>
      <c r="N578" s="2" t="s">
        <v>56</v>
      </c>
      <c r="O578" s="2" t="s">
        <v>57</v>
      </c>
      <c r="P578" s="2" t="s">
        <v>4633</v>
      </c>
      <c r="Q578" s="2" t="s">
        <v>4634</v>
      </c>
      <c r="R578" s="2" t="s">
        <v>4871</v>
      </c>
      <c r="S578" s="2" t="s">
        <v>888</v>
      </c>
      <c r="V578" s="2" t="s">
        <v>4872</v>
      </c>
      <c r="W578" s="2" t="s">
        <v>4873</v>
      </c>
      <c r="Y578" s="2" t="s">
        <v>64</v>
      </c>
      <c r="Z578" s="2" t="s">
        <v>65</v>
      </c>
      <c r="AA578" s="2" t="s">
        <v>66</v>
      </c>
      <c r="AC578" s="2" t="s">
        <v>67</v>
      </c>
      <c r="AD578" s="2" t="s">
        <v>68</v>
      </c>
      <c r="AE578" s="2" t="s">
        <v>69</v>
      </c>
      <c r="AF578" s="2" t="s">
        <v>70</v>
      </c>
      <c r="AG578" s="2" t="s">
        <v>4633</v>
      </c>
      <c r="AK578" s="2" t="s">
        <v>4874</v>
      </c>
      <c r="AM578" s="2" t="s">
        <v>72</v>
      </c>
      <c r="AN578" s="2" t="s">
        <v>1383</v>
      </c>
      <c r="AP578" s="2" t="s">
        <v>4546</v>
      </c>
      <c r="AU578" s="2" t="s">
        <v>75</v>
      </c>
      <c r="AV578" s="2" t="s">
        <v>892</v>
      </c>
      <c r="AW578" s="2" t="s">
        <v>893</v>
      </c>
      <c r="AZ578" s="2" t="s">
        <v>116</v>
      </c>
    </row>
    <row r="579" spans="1:52" s="3" customFormat="1" x14ac:dyDescent="0.35">
      <c r="A579" s="2" t="s">
        <v>4875</v>
      </c>
      <c r="B579" s="4">
        <v>244899</v>
      </c>
      <c r="C579" s="2" t="s">
        <v>4876</v>
      </c>
      <c r="D579" s="2">
        <f t="shared" ref="D579:D642" si="9">MONTH(C579)</f>
        <v>3</v>
      </c>
      <c r="F579" s="2" t="s">
        <v>4829</v>
      </c>
      <c r="G579" s="2" t="s">
        <v>53</v>
      </c>
      <c r="H579" s="4">
        <v>1</v>
      </c>
      <c r="I579" s="4">
        <v>1</v>
      </c>
      <c r="J579" s="4">
        <v>0</v>
      </c>
      <c r="L579" s="4">
        <v>0</v>
      </c>
      <c r="M579" s="2" t="s">
        <v>55</v>
      </c>
      <c r="N579" s="2" t="s">
        <v>56</v>
      </c>
      <c r="O579" s="2" t="s">
        <v>57</v>
      </c>
      <c r="P579" s="2" t="s">
        <v>4877</v>
      </c>
      <c r="Q579" s="2" t="s">
        <v>4878</v>
      </c>
      <c r="R579" s="2" t="s">
        <v>4879</v>
      </c>
      <c r="S579" s="2" t="s">
        <v>4880</v>
      </c>
      <c r="V579" s="2" t="s">
        <v>4881</v>
      </c>
      <c r="W579" s="2" t="s">
        <v>4882</v>
      </c>
      <c r="Y579" s="2" t="s">
        <v>64</v>
      </c>
      <c r="Z579" s="2" t="s">
        <v>3302</v>
      </c>
      <c r="AA579" s="2" t="s">
        <v>66</v>
      </c>
      <c r="AC579" s="2" t="s">
        <v>67</v>
      </c>
      <c r="AD579" s="2" t="s">
        <v>68</v>
      </c>
      <c r="AE579" s="2" t="s">
        <v>69</v>
      </c>
      <c r="AF579" s="2" t="s">
        <v>70</v>
      </c>
      <c r="AG579" s="2" t="s">
        <v>4877</v>
      </c>
      <c r="AK579" s="2" t="s">
        <v>4883</v>
      </c>
      <c r="AM579" s="2" t="s">
        <v>72</v>
      </c>
      <c r="AN579" s="2" t="s">
        <v>283</v>
      </c>
      <c r="AP579" s="2" t="s">
        <v>3758</v>
      </c>
      <c r="AU579" s="2" t="s">
        <v>75</v>
      </c>
      <c r="AW579" s="2" t="s">
        <v>4884</v>
      </c>
      <c r="AZ579" s="2" t="s">
        <v>116</v>
      </c>
    </row>
    <row r="580" spans="1:52" s="3" customFormat="1" x14ac:dyDescent="0.35">
      <c r="A580" s="2" t="s">
        <v>4885</v>
      </c>
      <c r="B580" s="4">
        <v>244876</v>
      </c>
      <c r="C580" s="2" t="s">
        <v>4886</v>
      </c>
      <c r="D580" s="2">
        <f t="shared" si="9"/>
        <v>3</v>
      </c>
      <c r="F580" s="2" t="s">
        <v>4829</v>
      </c>
      <c r="G580" s="2" t="s">
        <v>53</v>
      </c>
      <c r="H580" s="4">
        <v>1</v>
      </c>
      <c r="I580" s="4">
        <v>1</v>
      </c>
      <c r="J580" s="5">
        <v>4200</v>
      </c>
      <c r="K580" s="2" t="s">
        <v>1252</v>
      </c>
      <c r="L580" s="5">
        <v>3941.7</v>
      </c>
      <c r="M580" s="2" t="s">
        <v>55</v>
      </c>
      <c r="N580" s="2" t="s">
        <v>1253</v>
      </c>
      <c r="O580" s="2" t="s">
        <v>1254</v>
      </c>
      <c r="P580" s="2" t="s">
        <v>4887</v>
      </c>
      <c r="Q580" s="2" t="s">
        <v>4888</v>
      </c>
      <c r="R580" s="2" t="s">
        <v>4889</v>
      </c>
      <c r="S580" s="2" t="s">
        <v>4890</v>
      </c>
      <c r="T580" s="2" t="s">
        <v>4891</v>
      </c>
      <c r="U580" s="2" t="s">
        <v>4892</v>
      </c>
      <c r="V580" s="2" t="s">
        <v>4893</v>
      </c>
      <c r="W580" s="2" t="s">
        <v>4894</v>
      </c>
      <c r="X580" s="2" t="s">
        <v>4894</v>
      </c>
      <c r="Y580" s="2" t="s">
        <v>4895</v>
      </c>
      <c r="Z580" s="2" t="s">
        <v>4896</v>
      </c>
      <c r="AA580" s="2" t="s">
        <v>4897</v>
      </c>
      <c r="AB580" s="2" t="s">
        <v>4898</v>
      </c>
      <c r="AC580" s="2" t="s">
        <v>4899</v>
      </c>
      <c r="AD580" s="2" t="s">
        <v>68</v>
      </c>
      <c r="AE580" s="2" t="s">
        <v>69</v>
      </c>
      <c r="AF580" s="2" t="s">
        <v>70</v>
      </c>
      <c r="AG580" s="2" t="s">
        <v>4887</v>
      </c>
      <c r="AK580" s="2" t="s">
        <v>4900</v>
      </c>
      <c r="AM580" s="2" t="s">
        <v>72</v>
      </c>
      <c r="AN580" s="2" t="s">
        <v>73</v>
      </c>
      <c r="AP580" s="2" t="s">
        <v>4546</v>
      </c>
      <c r="AU580" s="2" t="s">
        <v>75</v>
      </c>
      <c r="AV580" s="2" t="s">
        <v>4901</v>
      </c>
      <c r="AW580" s="2" t="s">
        <v>4902</v>
      </c>
      <c r="AX580" s="2" t="s">
        <v>77</v>
      </c>
      <c r="AZ580" s="2" t="s">
        <v>77</v>
      </c>
    </row>
    <row r="581" spans="1:52" s="3" customFormat="1" x14ac:dyDescent="0.35">
      <c r="A581" s="2" t="s">
        <v>4903</v>
      </c>
      <c r="B581" s="4">
        <v>244872</v>
      </c>
      <c r="C581" s="2" t="s">
        <v>4904</v>
      </c>
      <c r="D581" s="2">
        <f t="shared" si="9"/>
        <v>3</v>
      </c>
      <c r="F581" s="2" t="s">
        <v>4829</v>
      </c>
      <c r="G581" s="2" t="s">
        <v>53</v>
      </c>
      <c r="H581" s="4">
        <v>3</v>
      </c>
      <c r="I581" s="4">
        <v>1</v>
      </c>
      <c r="J581" s="5">
        <v>3597</v>
      </c>
      <c r="K581" s="2" t="s">
        <v>1252</v>
      </c>
      <c r="L581" s="5">
        <v>3375.78</v>
      </c>
      <c r="M581" s="2" t="s">
        <v>55</v>
      </c>
      <c r="N581" s="2" t="s">
        <v>1253</v>
      </c>
      <c r="O581" s="2" t="s">
        <v>1254</v>
      </c>
      <c r="P581" s="2" t="s">
        <v>4633</v>
      </c>
      <c r="Q581" s="2" t="s">
        <v>4634</v>
      </c>
      <c r="R581" s="2" t="s">
        <v>4905</v>
      </c>
      <c r="T581" s="2" t="s">
        <v>4906</v>
      </c>
      <c r="U581" s="2" t="s">
        <v>4907</v>
      </c>
      <c r="V581" s="2" t="s">
        <v>4908</v>
      </c>
      <c r="W581" s="2" t="s">
        <v>4909</v>
      </c>
      <c r="X581" s="2" t="s">
        <v>4910</v>
      </c>
      <c r="Y581" s="2" t="s">
        <v>4911</v>
      </c>
      <c r="Z581" s="2" t="s">
        <v>4912</v>
      </c>
      <c r="AA581" s="2" t="s">
        <v>4913</v>
      </c>
      <c r="AB581" s="2" t="s">
        <v>4914</v>
      </c>
      <c r="AC581" s="2" t="s">
        <v>1255</v>
      </c>
      <c r="AD581" s="2" t="s">
        <v>68</v>
      </c>
      <c r="AE581" s="2" t="s">
        <v>69</v>
      </c>
      <c r="AF581" s="2" t="s">
        <v>70</v>
      </c>
      <c r="AG581" s="2" t="s">
        <v>4633</v>
      </c>
      <c r="AK581" s="2" t="s">
        <v>4915</v>
      </c>
      <c r="AM581" s="2" t="s">
        <v>72</v>
      </c>
      <c r="AN581" s="2" t="s">
        <v>283</v>
      </c>
      <c r="AP581" s="2" t="s">
        <v>4546</v>
      </c>
      <c r="AU581" s="2" t="s">
        <v>75</v>
      </c>
      <c r="AV581" s="2" t="s">
        <v>318</v>
      </c>
      <c r="AW581" s="2" t="s">
        <v>4916</v>
      </c>
      <c r="AX581" s="2" t="s">
        <v>77</v>
      </c>
      <c r="AZ581" s="2" t="s">
        <v>77</v>
      </c>
    </row>
    <row r="582" spans="1:52" s="3" customFormat="1" x14ac:dyDescent="0.35">
      <c r="A582" s="2" t="s">
        <v>4917</v>
      </c>
      <c r="B582" s="4">
        <v>244858</v>
      </c>
      <c r="C582" s="2" t="s">
        <v>4918</v>
      </c>
      <c r="D582" s="2">
        <f t="shared" si="9"/>
        <v>3</v>
      </c>
      <c r="F582" s="2" t="s">
        <v>4829</v>
      </c>
      <c r="G582" s="2" t="s">
        <v>53</v>
      </c>
      <c r="H582" s="4">
        <v>20</v>
      </c>
      <c r="I582" s="4">
        <v>1</v>
      </c>
      <c r="J582" s="5">
        <v>350000</v>
      </c>
      <c r="L582" s="5">
        <v>427017.5</v>
      </c>
      <c r="M582" s="2" t="s">
        <v>55</v>
      </c>
      <c r="N582" s="2" t="s">
        <v>458</v>
      </c>
      <c r="O582" s="2" t="s">
        <v>459</v>
      </c>
      <c r="P582" s="2" t="s">
        <v>4920</v>
      </c>
      <c r="Q582" s="2" t="s">
        <v>4921</v>
      </c>
      <c r="R582" s="2" t="s">
        <v>4922</v>
      </c>
      <c r="T582" s="2" t="s">
        <v>4923</v>
      </c>
      <c r="U582" s="2" t="s">
        <v>4924</v>
      </c>
      <c r="V582" s="2" t="s">
        <v>4925</v>
      </c>
      <c r="W582" s="2" t="s">
        <v>4926</v>
      </c>
      <c r="X582" s="2" t="s">
        <v>4926</v>
      </c>
      <c r="Y582" s="2" t="s">
        <v>4927</v>
      </c>
      <c r="Z582" s="2" t="s">
        <v>4928</v>
      </c>
      <c r="AA582" s="2" t="s">
        <v>4929</v>
      </c>
      <c r="AC582" s="2" t="s">
        <v>4930</v>
      </c>
      <c r="AD582" s="2" t="s">
        <v>68</v>
      </c>
      <c r="AE582" s="2" t="s">
        <v>69</v>
      </c>
      <c r="AF582" s="2" t="s">
        <v>70</v>
      </c>
      <c r="AG582" s="2" t="s">
        <v>4931</v>
      </c>
      <c r="AK582" s="2" t="s">
        <v>4932</v>
      </c>
      <c r="AM582" s="2" t="s">
        <v>72</v>
      </c>
      <c r="AN582" s="2" t="s">
        <v>232</v>
      </c>
      <c r="AP582" s="2" t="s">
        <v>2705</v>
      </c>
      <c r="AU582" s="2" t="s">
        <v>75</v>
      </c>
      <c r="AV582" s="2" t="s">
        <v>4933</v>
      </c>
      <c r="AW582" s="2" t="s">
        <v>4934</v>
      </c>
      <c r="AX582" s="2" t="s">
        <v>477</v>
      </c>
      <c r="AZ582" s="2" t="s">
        <v>478</v>
      </c>
    </row>
    <row r="583" spans="1:52" s="3" customFormat="1" x14ac:dyDescent="0.35">
      <c r="A583" s="2" t="s">
        <v>4917</v>
      </c>
      <c r="B583" s="4">
        <v>244858</v>
      </c>
      <c r="C583" s="2" t="s">
        <v>4918</v>
      </c>
      <c r="D583" s="2">
        <f t="shared" si="9"/>
        <v>3</v>
      </c>
      <c r="F583" s="2" t="s">
        <v>4829</v>
      </c>
      <c r="G583" s="2" t="s">
        <v>53</v>
      </c>
      <c r="H583" s="4">
        <v>5</v>
      </c>
      <c r="I583" s="4">
        <v>1</v>
      </c>
      <c r="J583" s="5">
        <v>87500</v>
      </c>
      <c r="L583" s="5">
        <v>427017.5</v>
      </c>
      <c r="M583" s="2" t="s">
        <v>55</v>
      </c>
      <c r="N583" s="2" t="s">
        <v>458</v>
      </c>
      <c r="O583" s="2" t="s">
        <v>459</v>
      </c>
      <c r="P583" s="2" t="s">
        <v>460</v>
      </c>
      <c r="Q583" s="2" t="s">
        <v>461</v>
      </c>
      <c r="R583" s="2" t="s">
        <v>4922</v>
      </c>
      <c r="T583" s="2" t="s">
        <v>4923</v>
      </c>
      <c r="U583" s="2" t="s">
        <v>4924</v>
      </c>
      <c r="V583" s="2" t="s">
        <v>4925</v>
      </c>
      <c r="W583" s="2" t="s">
        <v>4926</v>
      </c>
      <c r="X583" s="2" t="s">
        <v>4926</v>
      </c>
      <c r="Y583" s="2" t="s">
        <v>4927</v>
      </c>
      <c r="Z583" s="2" t="s">
        <v>4928</v>
      </c>
      <c r="AA583" s="2" t="s">
        <v>4929</v>
      </c>
      <c r="AC583" s="2" t="s">
        <v>4930</v>
      </c>
      <c r="AD583" s="2" t="s">
        <v>68</v>
      </c>
      <c r="AE583" s="2" t="s">
        <v>69</v>
      </c>
      <c r="AF583" s="2" t="s">
        <v>70</v>
      </c>
      <c r="AG583" s="2" t="s">
        <v>4931</v>
      </c>
      <c r="AK583" s="2" t="s">
        <v>4932</v>
      </c>
      <c r="AM583" s="2" t="s">
        <v>72</v>
      </c>
      <c r="AN583" s="2" t="s">
        <v>232</v>
      </c>
      <c r="AP583" s="2" t="s">
        <v>474</v>
      </c>
      <c r="AU583" s="2" t="s">
        <v>75</v>
      </c>
      <c r="AV583" s="2" t="s">
        <v>4933</v>
      </c>
      <c r="AW583" s="2" t="s">
        <v>4934</v>
      </c>
      <c r="AX583" s="2" t="s">
        <v>477</v>
      </c>
      <c r="AZ583" s="2" t="s">
        <v>478</v>
      </c>
    </row>
    <row r="584" spans="1:52" s="3" customFormat="1" x14ac:dyDescent="0.35">
      <c r="A584" s="2" t="s">
        <v>4917</v>
      </c>
      <c r="B584" s="4">
        <v>244858</v>
      </c>
      <c r="C584" s="2" t="s">
        <v>4918</v>
      </c>
      <c r="D584" s="2">
        <f t="shared" si="9"/>
        <v>3</v>
      </c>
      <c r="F584" s="2" t="s">
        <v>4829</v>
      </c>
      <c r="G584" s="2" t="s">
        <v>53</v>
      </c>
      <c r="H584" s="4">
        <v>1</v>
      </c>
      <c r="I584" s="4">
        <v>1</v>
      </c>
      <c r="J584" s="5">
        <v>17500</v>
      </c>
      <c r="L584" s="5">
        <v>427017.5</v>
      </c>
      <c r="M584" s="2" t="s">
        <v>55</v>
      </c>
      <c r="N584" s="2" t="s">
        <v>458</v>
      </c>
      <c r="O584" s="2" t="s">
        <v>459</v>
      </c>
      <c r="P584" s="2" t="s">
        <v>1051</v>
      </c>
      <c r="Q584" s="2" t="s">
        <v>1052</v>
      </c>
      <c r="R584" s="2" t="s">
        <v>4922</v>
      </c>
      <c r="T584" s="2" t="s">
        <v>4923</v>
      </c>
      <c r="U584" s="2" t="s">
        <v>4924</v>
      </c>
      <c r="V584" s="2" t="s">
        <v>4925</v>
      </c>
      <c r="W584" s="2" t="s">
        <v>4926</v>
      </c>
      <c r="X584" s="2" t="s">
        <v>4926</v>
      </c>
      <c r="Y584" s="2" t="s">
        <v>4927</v>
      </c>
      <c r="Z584" s="2" t="s">
        <v>4928</v>
      </c>
      <c r="AA584" s="2" t="s">
        <v>4929</v>
      </c>
      <c r="AC584" s="2" t="s">
        <v>4930</v>
      </c>
      <c r="AD584" s="2" t="s">
        <v>68</v>
      </c>
      <c r="AE584" s="2" t="s">
        <v>69</v>
      </c>
      <c r="AF584" s="2" t="s">
        <v>70</v>
      </c>
      <c r="AG584" s="2" t="s">
        <v>4931</v>
      </c>
      <c r="AK584" s="2" t="s">
        <v>4932</v>
      </c>
      <c r="AM584" s="2" t="s">
        <v>72</v>
      </c>
      <c r="AN584" s="2" t="s">
        <v>232</v>
      </c>
      <c r="AP584" s="2" t="s">
        <v>1058</v>
      </c>
      <c r="AU584" s="2" t="s">
        <v>75</v>
      </c>
      <c r="AV584" s="2" t="s">
        <v>4933</v>
      </c>
      <c r="AW584" s="2" t="s">
        <v>4934</v>
      </c>
      <c r="AX584" s="2" t="s">
        <v>477</v>
      </c>
      <c r="AZ584" s="2" t="s">
        <v>478</v>
      </c>
    </row>
    <row r="585" spans="1:52" s="3" customFormat="1" x14ac:dyDescent="0.35">
      <c r="A585" s="2" t="s">
        <v>4935</v>
      </c>
      <c r="B585" s="4">
        <v>244852</v>
      </c>
      <c r="C585" s="2" t="s">
        <v>4936</v>
      </c>
      <c r="D585" s="2">
        <f t="shared" si="9"/>
        <v>3</v>
      </c>
      <c r="F585" s="2" t="s">
        <v>4937</v>
      </c>
      <c r="G585" s="2" t="s">
        <v>53</v>
      </c>
      <c r="H585" s="4">
        <v>1</v>
      </c>
      <c r="I585" s="4">
        <v>1</v>
      </c>
      <c r="J585" s="4">
        <v>0</v>
      </c>
      <c r="L585" s="4">
        <v>0</v>
      </c>
      <c r="M585" s="2" t="s">
        <v>55</v>
      </c>
      <c r="N585" s="2" t="s">
        <v>56</v>
      </c>
      <c r="O585" s="2" t="s">
        <v>57</v>
      </c>
      <c r="P585" s="2" t="s">
        <v>4877</v>
      </c>
      <c r="Q585" s="2" t="s">
        <v>4878</v>
      </c>
      <c r="R585" s="2" t="s">
        <v>4938</v>
      </c>
      <c r="S585" s="2" t="s">
        <v>4939</v>
      </c>
      <c r="V585" s="2" t="s">
        <v>4940</v>
      </c>
      <c r="W585" s="2" t="s">
        <v>4941</v>
      </c>
      <c r="Y585" s="2" t="s">
        <v>64</v>
      </c>
      <c r="Z585" s="2" t="s">
        <v>3302</v>
      </c>
      <c r="AA585" s="2" t="s">
        <v>66</v>
      </c>
      <c r="AC585" s="2" t="s">
        <v>67</v>
      </c>
      <c r="AD585" s="2" t="s">
        <v>68</v>
      </c>
      <c r="AE585" s="2" t="s">
        <v>69</v>
      </c>
      <c r="AF585" s="2" t="s">
        <v>70</v>
      </c>
      <c r="AG585" s="2" t="s">
        <v>4877</v>
      </c>
      <c r="AK585" s="2" t="s">
        <v>4942</v>
      </c>
      <c r="AM585" s="2" t="s">
        <v>72</v>
      </c>
      <c r="AN585" s="2" t="s">
        <v>403</v>
      </c>
      <c r="AP585" s="2" t="s">
        <v>3758</v>
      </c>
      <c r="AU585" s="2" t="s">
        <v>75</v>
      </c>
      <c r="AW585" s="2" t="s">
        <v>4943</v>
      </c>
      <c r="AZ585" s="2" t="s">
        <v>116</v>
      </c>
    </row>
    <row r="586" spans="1:52" s="3" customFormat="1" x14ac:dyDescent="0.35">
      <c r="A586" s="2" t="s">
        <v>4944</v>
      </c>
      <c r="B586" s="4">
        <v>244842</v>
      </c>
      <c r="C586" s="2" t="s">
        <v>4945</v>
      </c>
      <c r="D586" s="2">
        <f t="shared" si="9"/>
        <v>3</v>
      </c>
      <c r="G586" s="2" t="s">
        <v>53</v>
      </c>
      <c r="H586" s="4">
        <v>1</v>
      </c>
      <c r="I586" s="4">
        <v>1</v>
      </c>
      <c r="J586" s="4">
        <v>0</v>
      </c>
      <c r="L586" s="4">
        <v>0</v>
      </c>
      <c r="M586" s="2" t="s">
        <v>55</v>
      </c>
      <c r="N586" s="2" t="s">
        <v>56</v>
      </c>
      <c r="O586" s="2" t="s">
        <v>57</v>
      </c>
      <c r="P586" s="2" t="s">
        <v>4887</v>
      </c>
      <c r="Q586" s="2" t="s">
        <v>4888</v>
      </c>
      <c r="R586" s="2" t="s">
        <v>4946</v>
      </c>
      <c r="S586" s="2" t="s">
        <v>4947</v>
      </c>
      <c r="V586" s="2" t="s">
        <v>4948</v>
      </c>
      <c r="W586" s="2" t="s">
        <v>4949</v>
      </c>
      <c r="Y586" s="2" t="s">
        <v>64</v>
      </c>
      <c r="Z586" s="2" t="s">
        <v>65</v>
      </c>
      <c r="AA586" s="2" t="s">
        <v>66</v>
      </c>
      <c r="AC586" s="2" t="s">
        <v>67</v>
      </c>
      <c r="AD586" s="2" t="s">
        <v>68</v>
      </c>
      <c r="AE586" s="2" t="s">
        <v>69</v>
      </c>
      <c r="AF586" s="2" t="s">
        <v>70</v>
      </c>
      <c r="AG586" s="2" t="s">
        <v>4887</v>
      </c>
      <c r="AK586" s="2" t="s">
        <v>4950</v>
      </c>
      <c r="AM586" s="2" t="s">
        <v>72</v>
      </c>
      <c r="AN586" s="2" t="s">
        <v>73</v>
      </c>
      <c r="AP586" s="2" t="s">
        <v>4546</v>
      </c>
      <c r="AU586" s="2" t="s">
        <v>75</v>
      </c>
      <c r="AW586" s="2" t="s">
        <v>4951</v>
      </c>
      <c r="AZ586" s="2" t="s">
        <v>116</v>
      </c>
    </row>
    <row r="587" spans="1:52" s="3" customFormat="1" x14ac:dyDescent="0.35">
      <c r="A587" s="2" t="s">
        <v>4952</v>
      </c>
      <c r="B587" s="4">
        <v>244837</v>
      </c>
      <c r="C587" s="2" t="s">
        <v>4953</v>
      </c>
      <c r="D587" s="2">
        <f t="shared" si="9"/>
        <v>3</v>
      </c>
      <c r="G587" s="2" t="s">
        <v>53</v>
      </c>
      <c r="H587" s="4">
        <v>1</v>
      </c>
      <c r="I587" s="4">
        <v>1</v>
      </c>
      <c r="J587" s="4">
        <v>0</v>
      </c>
      <c r="L587" s="4">
        <v>0</v>
      </c>
      <c r="M587" s="2" t="s">
        <v>55</v>
      </c>
      <c r="N587" s="2" t="s">
        <v>56</v>
      </c>
      <c r="O587" s="2" t="s">
        <v>57</v>
      </c>
      <c r="P587" s="2" t="s">
        <v>4887</v>
      </c>
      <c r="Q587" s="2" t="s">
        <v>4888</v>
      </c>
      <c r="R587" s="2" t="s">
        <v>4954</v>
      </c>
      <c r="S587" s="2" t="s">
        <v>4955</v>
      </c>
      <c r="V587" s="2" t="s">
        <v>4956</v>
      </c>
      <c r="W587" s="2" t="s">
        <v>4957</v>
      </c>
      <c r="Y587" s="2" t="s">
        <v>64</v>
      </c>
      <c r="Z587" s="2" t="s">
        <v>65</v>
      </c>
      <c r="AA587" s="2" t="s">
        <v>66</v>
      </c>
      <c r="AC587" s="2" t="s">
        <v>67</v>
      </c>
      <c r="AD587" s="2" t="s">
        <v>68</v>
      </c>
      <c r="AE587" s="2" t="s">
        <v>69</v>
      </c>
      <c r="AF587" s="2" t="s">
        <v>70</v>
      </c>
      <c r="AG587" s="2" t="s">
        <v>4887</v>
      </c>
      <c r="AK587" s="2" t="s">
        <v>4958</v>
      </c>
      <c r="AM587" s="2" t="s">
        <v>72</v>
      </c>
      <c r="AN587" s="2" t="s">
        <v>595</v>
      </c>
      <c r="AP587" s="2" t="s">
        <v>4546</v>
      </c>
      <c r="AU587" s="2" t="s">
        <v>75</v>
      </c>
      <c r="AW587" s="2" t="s">
        <v>4959</v>
      </c>
      <c r="AZ587" s="2" t="s">
        <v>116</v>
      </c>
    </row>
    <row r="588" spans="1:52" s="3" customFormat="1" x14ac:dyDescent="0.35">
      <c r="A588" s="2" t="s">
        <v>4960</v>
      </c>
      <c r="B588" s="4">
        <v>244828</v>
      </c>
      <c r="C588" s="2" t="s">
        <v>4961</v>
      </c>
      <c r="D588" s="2">
        <f t="shared" si="9"/>
        <v>3</v>
      </c>
      <c r="F588" s="2" t="s">
        <v>4937</v>
      </c>
      <c r="G588" s="2" t="s">
        <v>53</v>
      </c>
      <c r="H588" s="4">
        <v>1</v>
      </c>
      <c r="I588" s="4">
        <v>1</v>
      </c>
      <c r="J588" s="4">
        <v>0</v>
      </c>
      <c r="L588" s="4">
        <v>0</v>
      </c>
      <c r="M588" s="2" t="s">
        <v>55</v>
      </c>
      <c r="N588" s="2" t="s">
        <v>56</v>
      </c>
      <c r="O588" s="2" t="s">
        <v>57</v>
      </c>
      <c r="P588" s="2" t="s">
        <v>4877</v>
      </c>
      <c r="Q588" s="2" t="s">
        <v>4878</v>
      </c>
      <c r="R588" s="2" t="s">
        <v>4962</v>
      </c>
      <c r="S588" s="2" t="s">
        <v>4963</v>
      </c>
      <c r="V588" s="2" t="s">
        <v>4964</v>
      </c>
      <c r="W588" s="2" t="s">
        <v>4965</v>
      </c>
      <c r="Y588" s="2" t="s">
        <v>64</v>
      </c>
      <c r="Z588" s="2" t="s">
        <v>3302</v>
      </c>
      <c r="AA588" s="2" t="s">
        <v>66</v>
      </c>
      <c r="AC588" s="2" t="s">
        <v>67</v>
      </c>
      <c r="AD588" s="2" t="s">
        <v>68</v>
      </c>
      <c r="AE588" s="2" t="s">
        <v>69</v>
      </c>
      <c r="AF588" s="2" t="s">
        <v>70</v>
      </c>
      <c r="AG588" s="2" t="s">
        <v>4877</v>
      </c>
      <c r="AK588" s="2" t="s">
        <v>4966</v>
      </c>
      <c r="AM588" s="2" t="s">
        <v>72</v>
      </c>
      <c r="AN588" s="2" t="s">
        <v>403</v>
      </c>
      <c r="AP588" s="2" t="s">
        <v>3758</v>
      </c>
      <c r="AU588" s="2" t="s">
        <v>75</v>
      </c>
      <c r="AW588" s="2" t="s">
        <v>4967</v>
      </c>
      <c r="AZ588" s="2" t="s">
        <v>116</v>
      </c>
    </row>
    <row r="589" spans="1:52" s="3" customFormat="1" x14ac:dyDescent="0.35">
      <c r="A589" s="2" t="s">
        <v>4968</v>
      </c>
      <c r="B589" s="4">
        <v>244818</v>
      </c>
      <c r="C589" s="2" t="s">
        <v>4969</v>
      </c>
      <c r="D589" s="2">
        <f t="shared" si="9"/>
        <v>3</v>
      </c>
      <c r="F589" s="2" t="s">
        <v>4829</v>
      </c>
      <c r="G589" s="2" t="s">
        <v>53</v>
      </c>
      <c r="H589" s="4">
        <v>1</v>
      </c>
      <c r="I589" s="4">
        <v>1</v>
      </c>
      <c r="J589" s="5">
        <v>17500</v>
      </c>
      <c r="L589" s="5">
        <v>16423.75</v>
      </c>
      <c r="M589" s="2" t="s">
        <v>55</v>
      </c>
      <c r="N589" s="2" t="s">
        <v>458</v>
      </c>
      <c r="O589" s="2" t="s">
        <v>459</v>
      </c>
      <c r="P589" s="2" t="s">
        <v>4877</v>
      </c>
      <c r="Q589" s="2" t="s">
        <v>4878</v>
      </c>
      <c r="R589" s="2" t="s">
        <v>4922</v>
      </c>
      <c r="T589" s="2" t="s">
        <v>4923</v>
      </c>
      <c r="U589" s="2" t="s">
        <v>4924</v>
      </c>
      <c r="V589" s="2" t="s">
        <v>4925</v>
      </c>
      <c r="W589" s="2" t="s">
        <v>4926</v>
      </c>
      <c r="X589" s="2" t="s">
        <v>4926</v>
      </c>
      <c r="Y589" s="2" t="s">
        <v>4927</v>
      </c>
      <c r="Z589" s="2" t="s">
        <v>4928</v>
      </c>
      <c r="AA589" s="2" t="s">
        <v>4929</v>
      </c>
      <c r="AC589" s="2" t="s">
        <v>4930</v>
      </c>
      <c r="AD589" s="2" t="s">
        <v>68</v>
      </c>
      <c r="AE589" s="2" t="s">
        <v>69</v>
      </c>
      <c r="AF589" s="2" t="s">
        <v>70</v>
      </c>
      <c r="AG589" s="2" t="s">
        <v>4970</v>
      </c>
      <c r="AK589" s="2" t="s">
        <v>4971</v>
      </c>
      <c r="AM589" s="2" t="s">
        <v>72</v>
      </c>
      <c r="AN589" s="2" t="s">
        <v>232</v>
      </c>
      <c r="AP589" s="2" t="s">
        <v>3758</v>
      </c>
      <c r="AU589" s="2" t="s">
        <v>75</v>
      </c>
      <c r="AV589" s="2" t="s">
        <v>4933</v>
      </c>
      <c r="AW589" s="2" t="s">
        <v>4934</v>
      </c>
      <c r="AX589" s="2" t="s">
        <v>477</v>
      </c>
      <c r="AZ589" s="2" t="s">
        <v>1256</v>
      </c>
    </row>
    <row r="590" spans="1:52" s="3" customFormat="1" x14ac:dyDescent="0.35">
      <c r="A590" s="2" t="s">
        <v>4972</v>
      </c>
      <c r="B590" s="4">
        <v>244817</v>
      </c>
      <c r="C590" s="2" t="s">
        <v>4973</v>
      </c>
      <c r="D590" s="2">
        <f t="shared" si="9"/>
        <v>3</v>
      </c>
      <c r="F590" s="2" t="s">
        <v>4829</v>
      </c>
      <c r="G590" s="2" t="s">
        <v>53</v>
      </c>
      <c r="H590" s="4">
        <v>1</v>
      </c>
      <c r="I590" s="4">
        <v>1</v>
      </c>
      <c r="J590" s="5">
        <v>17500</v>
      </c>
      <c r="L590" s="5">
        <v>16423.75</v>
      </c>
      <c r="M590" s="2" t="s">
        <v>55</v>
      </c>
      <c r="N590" s="2" t="s">
        <v>458</v>
      </c>
      <c r="O590" s="2" t="s">
        <v>459</v>
      </c>
      <c r="P590" s="2" t="s">
        <v>4877</v>
      </c>
      <c r="Q590" s="2" t="s">
        <v>4878</v>
      </c>
      <c r="R590" s="2" t="s">
        <v>4922</v>
      </c>
      <c r="T590" s="2" t="s">
        <v>4923</v>
      </c>
      <c r="U590" s="2" t="s">
        <v>4924</v>
      </c>
      <c r="V590" s="2" t="s">
        <v>4925</v>
      </c>
      <c r="W590" s="2" t="s">
        <v>4926</v>
      </c>
      <c r="X590" s="2" t="s">
        <v>4926</v>
      </c>
      <c r="Y590" s="2" t="s">
        <v>4927</v>
      </c>
      <c r="Z590" s="2" t="s">
        <v>4928</v>
      </c>
      <c r="AA590" s="2" t="s">
        <v>4929</v>
      </c>
      <c r="AC590" s="2" t="s">
        <v>4930</v>
      </c>
      <c r="AD590" s="2" t="s">
        <v>68</v>
      </c>
      <c r="AE590" s="2" t="s">
        <v>69</v>
      </c>
      <c r="AF590" s="2" t="s">
        <v>70</v>
      </c>
      <c r="AG590" s="2" t="s">
        <v>4974</v>
      </c>
      <c r="AK590" s="2" t="s">
        <v>4975</v>
      </c>
      <c r="AM590" s="2" t="s">
        <v>72</v>
      </c>
      <c r="AN590" s="2" t="s">
        <v>232</v>
      </c>
      <c r="AP590" s="2" t="s">
        <v>3758</v>
      </c>
      <c r="AU590" s="2" t="s">
        <v>75</v>
      </c>
      <c r="AV590" s="2" t="s">
        <v>4933</v>
      </c>
      <c r="AW590" s="2" t="s">
        <v>4934</v>
      </c>
      <c r="AX590" s="2" t="s">
        <v>477</v>
      </c>
      <c r="AZ590" s="2" t="s">
        <v>1256</v>
      </c>
    </row>
    <row r="591" spans="1:52" s="3" customFormat="1" x14ac:dyDescent="0.35">
      <c r="A591" s="2" t="s">
        <v>4976</v>
      </c>
      <c r="B591" s="4">
        <v>244815</v>
      </c>
      <c r="C591" s="2" t="s">
        <v>4977</v>
      </c>
      <c r="D591" s="2">
        <f t="shared" si="9"/>
        <v>3</v>
      </c>
      <c r="F591" s="2" t="s">
        <v>4829</v>
      </c>
      <c r="G591" s="2" t="s">
        <v>53</v>
      </c>
      <c r="H591" s="4">
        <v>1</v>
      </c>
      <c r="I591" s="4">
        <v>1</v>
      </c>
      <c r="J591" s="5">
        <v>17500</v>
      </c>
      <c r="L591" s="5">
        <v>16423.75</v>
      </c>
      <c r="M591" s="2" t="s">
        <v>55</v>
      </c>
      <c r="N591" s="2" t="s">
        <v>458</v>
      </c>
      <c r="O591" s="2" t="s">
        <v>459</v>
      </c>
      <c r="P591" s="2" t="s">
        <v>4877</v>
      </c>
      <c r="Q591" s="2" t="s">
        <v>4878</v>
      </c>
      <c r="R591" s="2" t="s">
        <v>4922</v>
      </c>
      <c r="T591" s="2" t="s">
        <v>4923</v>
      </c>
      <c r="U591" s="2" t="s">
        <v>4924</v>
      </c>
      <c r="V591" s="2" t="s">
        <v>4925</v>
      </c>
      <c r="W591" s="2" t="s">
        <v>4926</v>
      </c>
      <c r="X591" s="2" t="s">
        <v>4926</v>
      </c>
      <c r="Y591" s="2" t="s">
        <v>4927</v>
      </c>
      <c r="Z591" s="2" t="s">
        <v>4928</v>
      </c>
      <c r="AA591" s="2" t="s">
        <v>4929</v>
      </c>
      <c r="AC591" s="2" t="s">
        <v>4930</v>
      </c>
      <c r="AD591" s="2" t="s">
        <v>68</v>
      </c>
      <c r="AE591" s="2" t="s">
        <v>69</v>
      </c>
      <c r="AF591" s="2" t="s">
        <v>70</v>
      </c>
      <c r="AG591" s="2" t="s">
        <v>4978</v>
      </c>
      <c r="AK591" s="2" t="s">
        <v>4979</v>
      </c>
      <c r="AM591" s="2" t="s">
        <v>72</v>
      </c>
      <c r="AN591" s="2" t="s">
        <v>232</v>
      </c>
      <c r="AP591" s="2" t="s">
        <v>3758</v>
      </c>
      <c r="AU591" s="2" t="s">
        <v>75</v>
      </c>
      <c r="AV591" s="2" t="s">
        <v>4933</v>
      </c>
      <c r="AW591" s="2" t="s">
        <v>4934</v>
      </c>
      <c r="AX591" s="2" t="s">
        <v>477</v>
      </c>
      <c r="AZ591" s="2" t="s">
        <v>1256</v>
      </c>
    </row>
    <row r="592" spans="1:52" s="3" customFormat="1" x14ac:dyDescent="0.35">
      <c r="A592" s="2" t="s">
        <v>4980</v>
      </c>
      <c r="B592" s="4">
        <v>244814</v>
      </c>
      <c r="C592" s="2" t="s">
        <v>4981</v>
      </c>
      <c r="D592" s="2">
        <f t="shared" si="9"/>
        <v>3</v>
      </c>
      <c r="F592" s="2" t="s">
        <v>4829</v>
      </c>
      <c r="G592" s="2" t="s">
        <v>53</v>
      </c>
      <c r="H592" s="4">
        <v>1</v>
      </c>
      <c r="I592" s="4">
        <v>1</v>
      </c>
      <c r="J592" s="5">
        <v>17500</v>
      </c>
      <c r="L592" s="5">
        <v>16423.75</v>
      </c>
      <c r="M592" s="2" t="s">
        <v>55</v>
      </c>
      <c r="N592" s="2" t="s">
        <v>458</v>
      </c>
      <c r="O592" s="2" t="s">
        <v>459</v>
      </c>
      <c r="P592" s="2" t="s">
        <v>4877</v>
      </c>
      <c r="Q592" s="2" t="s">
        <v>4878</v>
      </c>
      <c r="R592" s="2" t="s">
        <v>4922</v>
      </c>
      <c r="T592" s="2" t="s">
        <v>4923</v>
      </c>
      <c r="U592" s="2" t="s">
        <v>4924</v>
      </c>
      <c r="V592" s="2" t="s">
        <v>4925</v>
      </c>
      <c r="W592" s="2" t="s">
        <v>4926</v>
      </c>
      <c r="X592" s="2" t="s">
        <v>4926</v>
      </c>
      <c r="Y592" s="2" t="s">
        <v>4927</v>
      </c>
      <c r="Z592" s="2" t="s">
        <v>4928</v>
      </c>
      <c r="AA592" s="2" t="s">
        <v>4929</v>
      </c>
      <c r="AC592" s="2" t="s">
        <v>4930</v>
      </c>
      <c r="AD592" s="2" t="s">
        <v>68</v>
      </c>
      <c r="AE592" s="2" t="s">
        <v>69</v>
      </c>
      <c r="AF592" s="2" t="s">
        <v>70</v>
      </c>
      <c r="AG592" s="2" t="s">
        <v>4982</v>
      </c>
      <c r="AK592" s="2" t="s">
        <v>4983</v>
      </c>
      <c r="AM592" s="2" t="s">
        <v>72</v>
      </c>
      <c r="AN592" s="2" t="s">
        <v>232</v>
      </c>
      <c r="AP592" s="2" t="s">
        <v>3758</v>
      </c>
      <c r="AU592" s="2" t="s">
        <v>75</v>
      </c>
      <c r="AV592" s="2" t="s">
        <v>4933</v>
      </c>
      <c r="AW592" s="2" t="s">
        <v>4934</v>
      </c>
      <c r="AX592" s="2" t="s">
        <v>477</v>
      </c>
      <c r="AZ592" s="2" t="s">
        <v>1256</v>
      </c>
    </row>
    <row r="593" spans="1:52" s="3" customFormat="1" x14ac:dyDescent="0.35">
      <c r="A593" s="2" t="s">
        <v>4984</v>
      </c>
      <c r="B593" s="4">
        <v>244763</v>
      </c>
      <c r="C593" s="2" t="s">
        <v>4985</v>
      </c>
      <c r="D593" s="2">
        <f t="shared" si="9"/>
        <v>3</v>
      </c>
      <c r="F593" s="2" t="s">
        <v>4986</v>
      </c>
      <c r="G593" s="2" t="s">
        <v>53</v>
      </c>
      <c r="H593" s="4">
        <v>4</v>
      </c>
      <c r="I593" s="4">
        <v>1</v>
      </c>
      <c r="J593" s="4">
        <v>0</v>
      </c>
      <c r="L593" s="4">
        <v>0</v>
      </c>
      <c r="M593" s="2" t="s">
        <v>55</v>
      </c>
      <c r="N593" s="2" t="s">
        <v>56</v>
      </c>
      <c r="O593" s="2" t="s">
        <v>57</v>
      </c>
      <c r="P593" s="2" t="s">
        <v>4633</v>
      </c>
      <c r="Q593" s="2" t="s">
        <v>4634</v>
      </c>
      <c r="R593" s="2" t="s">
        <v>4987</v>
      </c>
      <c r="S593" s="2" t="s">
        <v>4988</v>
      </c>
      <c r="V593" s="2" t="s">
        <v>4989</v>
      </c>
      <c r="W593" s="2" t="s">
        <v>4990</v>
      </c>
      <c r="Y593" s="2" t="s">
        <v>64</v>
      </c>
      <c r="Z593" s="2" t="s">
        <v>65</v>
      </c>
      <c r="AA593" s="2" t="s">
        <v>66</v>
      </c>
      <c r="AC593" s="2" t="s">
        <v>67</v>
      </c>
      <c r="AD593" s="2" t="s">
        <v>68</v>
      </c>
      <c r="AE593" s="2" t="s">
        <v>69</v>
      </c>
      <c r="AF593" s="2" t="s">
        <v>70</v>
      </c>
      <c r="AG593" s="2" t="s">
        <v>4633</v>
      </c>
      <c r="AK593" s="2" t="s">
        <v>4991</v>
      </c>
      <c r="AM593" s="2" t="s">
        <v>72</v>
      </c>
      <c r="AN593" s="2" t="s">
        <v>73</v>
      </c>
      <c r="AP593" s="2" t="s">
        <v>4546</v>
      </c>
      <c r="AU593" s="2" t="s">
        <v>75</v>
      </c>
      <c r="AW593" s="2" t="s">
        <v>4992</v>
      </c>
      <c r="AZ593" s="2" t="s">
        <v>116</v>
      </c>
    </row>
    <row r="594" spans="1:52" s="3" customFormat="1" x14ac:dyDescent="0.35">
      <c r="A594" s="2" t="s">
        <v>4993</v>
      </c>
      <c r="B594" s="4">
        <v>244762</v>
      </c>
      <c r="C594" s="2" t="s">
        <v>4994</v>
      </c>
      <c r="D594" s="2">
        <f t="shared" si="9"/>
        <v>3</v>
      </c>
      <c r="F594" s="2" t="s">
        <v>4986</v>
      </c>
      <c r="G594" s="2" t="s">
        <v>53</v>
      </c>
      <c r="H594" s="4">
        <v>3</v>
      </c>
      <c r="I594" s="4">
        <v>1</v>
      </c>
      <c r="J594" s="4">
        <v>0</v>
      </c>
      <c r="L594" s="4">
        <v>0</v>
      </c>
      <c r="M594" s="2" t="s">
        <v>55</v>
      </c>
      <c r="N594" s="2" t="s">
        <v>56</v>
      </c>
      <c r="O594" s="2" t="s">
        <v>57</v>
      </c>
      <c r="P594" s="2" t="s">
        <v>4633</v>
      </c>
      <c r="Q594" s="2" t="s">
        <v>4634</v>
      </c>
      <c r="R594" s="2" t="s">
        <v>4995</v>
      </c>
      <c r="S594" s="2" t="s">
        <v>4996</v>
      </c>
      <c r="V594" s="2" t="s">
        <v>4997</v>
      </c>
      <c r="W594" s="2" t="s">
        <v>4998</v>
      </c>
      <c r="Y594" s="2" t="s">
        <v>64</v>
      </c>
      <c r="Z594" s="2" t="s">
        <v>65</v>
      </c>
      <c r="AA594" s="2" t="s">
        <v>66</v>
      </c>
      <c r="AC594" s="2" t="s">
        <v>67</v>
      </c>
      <c r="AD594" s="2" t="s">
        <v>68</v>
      </c>
      <c r="AE594" s="2" t="s">
        <v>69</v>
      </c>
      <c r="AF594" s="2" t="s">
        <v>70</v>
      </c>
      <c r="AG594" s="2" t="s">
        <v>4633</v>
      </c>
      <c r="AK594" s="2" t="s">
        <v>4999</v>
      </c>
      <c r="AM594" s="2" t="s">
        <v>72</v>
      </c>
      <c r="AN594" s="2" t="s">
        <v>232</v>
      </c>
      <c r="AP594" s="2" t="s">
        <v>4546</v>
      </c>
      <c r="AU594" s="2" t="s">
        <v>75</v>
      </c>
      <c r="AV594" s="2" t="s">
        <v>223</v>
      </c>
      <c r="AW594" s="2" t="s">
        <v>5000</v>
      </c>
      <c r="AZ594" s="2" t="s">
        <v>116</v>
      </c>
    </row>
    <row r="595" spans="1:52" s="3" customFormat="1" x14ac:dyDescent="0.35">
      <c r="A595" s="2" t="s">
        <v>5001</v>
      </c>
      <c r="B595" s="4">
        <v>244760</v>
      </c>
      <c r="C595" s="2" t="s">
        <v>5002</v>
      </c>
      <c r="D595" s="2">
        <f t="shared" si="9"/>
        <v>3</v>
      </c>
      <c r="F595" s="2" t="s">
        <v>4986</v>
      </c>
      <c r="G595" s="2" t="s">
        <v>53</v>
      </c>
      <c r="H595" s="4">
        <v>1</v>
      </c>
      <c r="I595" s="4">
        <v>1</v>
      </c>
      <c r="J595" s="4">
        <v>0</v>
      </c>
      <c r="L595" s="4">
        <v>0</v>
      </c>
      <c r="M595" s="2" t="s">
        <v>55</v>
      </c>
      <c r="N595" s="2" t="s">
        <v>56</v>
      </c>
      <c r="O595" s="2" t="s">
        <v>57</v>
      </c>
      <c r="P595" s="2" t="s">
        <v>3498</v>
      </c>
      <c r="Q595" s="2" t="s">
        <v>3499</v>
      </c>
      <c r="R595" s="2" t="s">
        <v>5003</v>
      </c>
      <c r="S595" s="2" t="s">
        <v>5004</v>
      </c>
      <c r="V595" s="2" t="s">
        <v>5005</v>
      </c>
      <c r="W595" s="2" t="s">
        <v>5006</v>
      </c>
      <c r="Y595" s="2" t="s">
        <v>64</v>
      </c>
      <c r="Z595" s="2" t="s">
        <v>65</v>
      </c>
      <c r="AA595" s="2" t="s">
        <v>66</v>
      </c>
      <c r="AC595" s="2" t="s">
        <v>67</v>
      </c>
      <c r="AD595" s="2" t="s">
        <v>68</v>
      </c>
      <c r="AE595" s="2" t="s">
        <v>69</v>
      </c>
      <c r="AF595" s="2" t="s">
        <v>70</v>
      </c>
      <c r="AG595" s="2" t="s">
        <v>3498</v>
      </c>
      <c r="AK595" s="2" t="s">
        <v>5007</v>
      </c>
      <c r="AM595" s="2" t="s">
        <v>72</v>
      </c>
      <c r="AN595" s="2" t="s">
        <v>73</v>
      </c>
      <c r="AP595" s="2" t="s">
        <v>3464</v>
      </c>
      <c r="AT595" s="2" t="s">
        <v>114</v>
      </c>
      <c r="AU595" s="2" t="s">
        <v>75</v>
      </c>
      <c r="AW595" s="2" t="s">
        <v>5008</v>
      </c>
      <c r="AZ595" s="2" t="s">
        <v>116</v>
      </c>
    </row>
    <row r="596" spans="1:52" s="3" customFormat="1" x14ac:dyDescent="0.35">
      <c r="A596" s="2" t="s">
        <v>5009</v>
      </c>
      <c r="B596" s="4">
        <v>244759</v>
      </c>
      <c r="C596" s="2" t="s">
        <v>5010</v>
      </c>
      <c r="D596" s="2">
        <f t="shared" si="9"/>
        <v>3</v>
      </c>
      <c r="F596" s="2" t="s">
        <v>4986</v>
      </c>
      <c r="G596" s="2" t="s">
        <v>53</v>
      </c>
      <c r="H596" s="4">
        <v>1</v>
      </c>
      <c r="I596" s="4">
        <v>1</v>
      </c>
      <c r="J596" s="4">
        <v>0</v>
      </c>
      <c r="L596" s="4">
        <v>0</v>
      </c>
      <c r="M596" s="2" t="s">
        <v>55</v>
      </c>
      <c r="N596" s="2" t="s">
        <v>56</v>
      </c>
      <c r="O596" s="2" t="s">
        <v>57</v>
      </c>
      <c r="P596" s="2" t="s">
        <v>4462</v>
      </c>
      <c r="Q596" s="2" t="s">
        <v>4463</v>
      </c>
      <c r="R596" s="2" t="s">
        <v>5011</v>
      </c>
      <c r="S596" s="2" t="s">
        <v>5012</v>
      </c>
      <c r="V596" s="2" t="s">
        <v>5013</v>
      </c>
      <c r="W596" s="2" t="s">
        <v>5014</v>
      </c>
      <c r="Y596" s="2" t="s">
        <v>64</v>
      </c>
      <c r="Z596" s="2" t="s">
        <v>65</v>
      </c>
      <c r="AA596" s="2" t="s">
        <v>66</v>
      </c>
      <c r="AC596" s="2" t="s">
        <v>67</v>
      </c>
      <c r="AD596" s="2" t="s">
        <v>68</v>
      </c>
      <c r="AE596" s="2" t="s">
        <v>69</v>
      </c>
      <c r="AF596" s="2" t="s">
        <v>70</v>
      </c>
      <c r="AG596" s="2" t="s">
        <v>4462</v>
      </c>
      <c r="AK596" s="2" t="s">
        <v>5015</v>
      </c>
      <c r="AM596" s="2" t="s">
        <v>72</v>
      </c>
      <c r="AN596" s="2" t="s">
        <v>73</v>
      </c>
      <c r="AP596" s="2" t="s">
        <v>3144</v>
      </c>
      <c r="AT596" s="2" t="s">
        <v>114</v>
      </c>
      <c r="AU596" s="2" t="s">
        <v>75</v>
      </c>
      <c r="AW596" s="2" t="s">
        <v>5016</v>
      </c>
      <c r="AZ596" s="2" t="s">
        <v>116</v>
      </c>
    </row>
    <row r="597" spans="1:52" s="3" customFormat="1" x14ac:dyDescent="0.35">
      <c r="A597" s="2" t="s">
        <v>5017</v>
      </c>
      <c r="B597" s="4">
        <v>244758</v>
      </c>
      <c r="C597" s="2" t="s">
        <v>5018</v>
      </c>
      <c r="D597" s="2">
        <f t="shared" si="9"/>
        <v>3</v>
      </c>
      <c r="F597" s="2" t="s">
        <v>4986</v>
      </c>
      <c r="G597" s="2" t="s">
        <v>53</v>
      </c>
      <c r="H597" s="4">
        <v>1</v>
      </c>
      <c r="I597" s="4">
        <v>1</v>
      </c>
      <c r="J597" s="4">
        <v>0</v>
      </c>
      <c r="L597" s="4">
        <v>0</v>
      </c>
      <c r="M597" s="2" t="s">
        <v>55</v>
      </c>
      <c r="N597" s="2" t="s">
        <v>56</v>
      </c>
      <c r="O597" s="2" t="s">
        <v>57</v>
      </c>
      <c r="P597" s="2" t="s">
        <v>5019</v>
      </c>
      <c r="Q597" s="2" t="s">
        <v>5020</v>
      </c>
      <c r="R597" s="2" t="s">
        <v>5011</v>
      </c>
      <c r="S597" s="2" t="s">
        <v>5012</v>
      </c>
      <c r="V597" s="2" t="s">
        <v>5013</v>
      </c>
      <c r="W597" s="2" t="s">
        <v>5021</v>
      </c>
      <c r="Y597" s="2" t="s">
        <v>64</v>
      </c>
      <c r="Z597" s="2" t="s">
        <v>65</v>
      </c>
      <c r="AA597" s="2" t="s">
        <v>66</v>
      </c>
      <c r="AC597" s="2" t="s">
        <v>67</v>
      </c>
      <c r="AD597" s="2" t="s">
        <v>68</v>
      </c>
      <c r="AE597" s="2" t="s">
        <v>69</v>
      </c>
      <c r="AF597" s="2" t="s">
        <v>70</v>
      </c>
      <c r="AG597" s="2" t="s">
        <v>5019</v>
      </c>
      <c r="AK597" s="2" t="s">
        <v>5022</v>
      </c>
      <c r="AM597" s="2" t="s">
        <v>72</v>
      </c>
      <c r="AN597" s="2" t="s">
        <v>232</v>
      </c>
      <c r="AP597" s="2" t="s">
        <v>5023</v>
      </c>
      <c r="AU597" s="2" t="s">
        <v>75</v>
      </c>
      <c r="AW597" s="2" t="s">
        <v>5016</v>
      </c>
      <c r="AZ597" s="2" t="s">
        <v>116</v>
      </c>
    </row>
    <row r="598" spans="1:52" s="3" customFormat="1" x14ac:dyDescent="0.35">
      <c r="A598" s="2" t="s">
        <v>5024</v>
      </c>
      <c r="B598" s="4">
        <v>244755</v>
      </c>
      <c r="C598" s="2" t="s">
        <v>5025</v>
      </c>
      <c r="D598" s="2">
        <f t="shared" si="9"/>
        <v>3</v>
      </c>
      <c r="G598" s="2" t="s">
        <v>53</v>
      </c>
      <c r="H598" s="4">
        <v>1</v>
      </c>
      <c r="I598" s="4">
        <v>1</v>
      </c>
      <c r="J598" s="4">
        <v>0</v>
      </c>
      <c r="L598" s="4">
        <v>0</v>
      </c>
      <c r="M598" s="2" t="s">
        <v>55</v>
      </c>
      <c r="N598" s="2" t="s">
        <v>56</v>
      </c>
      <c r="O598" s="2" t="s">
        <v>57</v>
      </c>
      <c r="P598" s="2" t="s">
        <v>2634</v>
      </c>
      <c r="Q598" s="2" t="s">
        <v>2635</v>
      </c>
      <c r="R598" s="2" t="s">
        <v>5011</v>
      </c>
      <c r="S598" s="2" t="s">
        <v>5012</v>
      </c>
      <c r="V598" s="2" t="s">
        <v>5013</v>
      </c>
      <c r="W598" s="2" t="s">
        <v>5026</v>
      </c>
      <c r="Y598" s="2" t="s">
        <v>64</v>
      </c>
      <c r="Z598" s="2" t="s">
        <v>65</v>
      </c>
      <c r="AA598" s="2" t="s">
        <v>66</v>
      </c>
      <c r="AC598" s="2" t="s">
        <v>67</v>
      </c>
      <c r="AD598" s="2" t="s">
        <v>68</v>
      </c>
      <c r="AE598" s="2" t="s">
        <v>69</v>
      </c>
      <c r="AF598" s="2" t="s">
        <v>70</v>
      </c>
      <c r="AG598" s="2" t="s">
        <v>5027</v>
      </c>
      <c r="AK598" s="2" t="s">
        <v>5028</v>
      </c>
      <c r="AM598" s="2" t="s">
        <v>72</v>
      </c>
      <c r="AN598" s="2" t="s">
        <v>232</v>
      </c>
      <c r="AP598" s="2" t="s">
        <v>2644</v>
      </c>
      <c r="AU598" s="2" t="s">
        <v>75</v>
      </c>
      <c r="AW598" s="2" t="s">
        <v>5016</v>
      </c>
      <c r="AZ598" s="2" t="s">
        <v>116</v>
      </c>
    </row>
    <row r="599" spans="1:52" s="3" customFormat="1" x14ac:dyDescent="0.35">
      <c r="A599" s="2" t="s">
        <v>5029</v>
      </c>
      <c r="B599" s="4">
        <v>244754</v>
      </c>
      <c r="C599" s="2" t="s">
        <v>5030</v>
      </c>
      <c r="D599" s="2">
        <f t="shared" si="9"/>
        <v>3</v>
      </c>
      <c r="F599" s="2" t="s">
        <v>4986</v>
      </c>
      <c r="G599" s="2" t="s">
        <v>53</v>
      </c>
      <c r="H599" s="4">
        <v>3</v>
      </c>
      <c r="I599" s="4">
        <v>1</v>
      </c>
      <c r="J599" s="4">
        <v>0</v>
      </c>
      <c r="L599" s="4">
        <v>0</v>
      </c>
      <c r="M599" s="2" t="s">
        <v>55</v>
      </c>
      <c r="N599" s="2" t="s">
        <v>56</v>
      </c>
      <c r="O599" s="2" t="s">
        <v>57</v>
      </c>
      <c r="P599" s="2" t="s">
        <v>4633</v>
      </c>
      <c r="Q599" s="2" t="s">
        <v>4634</v>
      </c>
      <c r="R599" s="2" t="s">
        <v>5031</v>
      </c>
      <c r="S599" s="2" t="s">
        <v>5032</v>
      </c>
      <c r="V599" s="2" t="s">
        <v>5033</v>
      </c>
      <c r="W599" s="2" t="s">
        <v>5034</v>
      </c>
      <c r="Y599" s="2" t="s">
        <v>64</v>
      </c>
      <c r="Z599" s="2" t="s">
        <v>65</v>
      </c>
      <c r="AA599" s="2" t="s">
        <v>66</v>
      </c>
      <c r="AC599" s="2" t="s">
        <v>67</v>
      </c>
      <c r="AD599" s="2" t="s">
        <v>68</v>
      </c>
      <c r="AE599" s="2" t="s">
        <v>69</v>
      </c>
      <c r="AF599" s="2" t="s">
        <v>70</v>
      </c>
      <c r="AG599" s="2" t="s">
        <v>4633</v>
      </c>
      <c r="AK599" s="2" t="s">
        <v>5035</v>
      </c>
      <c r="AM599" s="2" t="s">
        <v>72</v>
      </c>
      <c r="AN599" s="2" t="s">
        <v>595</v>
      </c>
      <c r="AP599" s="2" t="s">
        <v>4546</v>
      </c>
      <c r="AU599" s="2" t="s">
        <v>75</v>
      </c>
      <c r="AW599" s="2" t="s">
        <v>5036</v>
      </c>
      <c r="AZ599" s="2" t="s">
        <v>116</v>
      </c>
    </row>
    <row r="600" spans="1:52" s="3" customFormat="1" x14ac:dyDescent="0.35">
      <c r="A600" s="2" t="s">
        <v>5037</v>
      </c>
      <c r="B600" s="4">
        <v>244743</v>
      </c>
      <c r="C600" s="2" t="s">
        <v>5038</v>
      </c>
      <c r="D600" s="2">
        <f t="shared" si="9"/>
        <v>3</v>
      </c>
      <c r="F600" s="2" t="s">
        <v>4986</v>
      </c>
      <c r="G600" s="2" t="s">
        <v>53</v>
      </c>
      <c r="H600" s="4">
        <v>1</v>
      </c>
      <c r="I600" s="4">
        <v>0</v>
      </c>
      <c r="J600" s="4">
        <v>0</v>
      </c>
      <c r="L600" s="4">
        <v>0</v>
      </c>
      <c r="N600" s="2" t="s">
        <v>56</v>
      </c>
      <c r="O600" s="2" t="s">
        <v>57</v>
      </c>
      <c r="P600" s="2" t="s">
        <v>4619</v>
      </c>
      <c r="Q600" s="2" t="s">
        <v>4620</v>
      </c>
      <c r="R600" s="2" t="s">
        <v>5039</v>
      </c>
      <c r="S600" s="2" t="s">
        <v>5040</v>
      </c>
      <c r="V600" s="2" t="s">
        <v>5041</v>
      </c>
      <c r="W600" s="2" t="s">
        <v>5042</v>
      </c>
      <c r="Y600" s="2" t="s">
        <v>2853</v>
      </c>
      <c r="Z600" s="2" t="s">
        <v>3302</v>
      </c>
      <c r="AA600" s="2" t="s">
        <v>66</v>
      </c>
      <c r="AC600" s="2" t="s">
        <v>67</v>
      </c>
      <c r="AD600" s="2" t="s">
        <v>68</v>
      </c>
      <c r="AE600" s="2" t="s">
        <v>69</v>
      </c>
      <c r="AF600" s="2" t="s">
        <v>70</v>
      </c>
      <c r="AK600" s="2" t="s">
        <v>5043</v>
      </c>
      <c r="AL600" s="2" t="s">
        <v>5044</v>
      </c>
      <c r="AM600" s="2" t="s">
        <v>72</v>
      </c>
      <c r="AN600" s="2" t="s">
        <v>73</v>
      </c>
      <c r="AP600" s="2" t="s">
        <v>3341</v>
      </c>
      <c r="AT600" s="2" t="s">
        <v>114</v>
      </c>
      <c r="AU600" s="2" t="s">
        <v>75</v>
      </c>
      <c r="AW600" s="2" t="s">
        <v>5045</v>
      </c>
      <c r="AZ600" s="2" t="s">
        <v>116</v>
      </c>
    </row>
    <row r="601" spans="1:52" s="3" customFormat="1" x14ac:dyDescent="0.35">
      <c r="A601" s="2" t="s">
        <v>5046</v>
      </c>
      <c r="B601" s="4">
        <v>244741</v>
      </c>
      <c r="C601" s="2" t="s">
        <v>5047</v>
      </c>
      <c r="D601" s="2">
        <f t="shared" si="9"/>
        <v>3</v>
      </c>
      <c r="F601" s="2" t="s">
        <v>4986</v>
      </c>
      <c r="G601" s="2" t="s">
        <v>53</v>
      </c>
      <c r="H601" s="4">
        <v>1</v>
      </c>
      <c r="I601" s="4">
        <v>1</v>
      </c>
      <c r="J601" s="4">
        <v>0</v>
      </c>
      <c r="L601" s="4">
        <v>0</v>
      </c>
      <c r="M601" s="2" t="s">
        <v>55</v>
      </c>
      <c r="N601" s="2" t="s">
        <v>56</v>
      </c>
      <c r="O601" s="2" t="s">
        <v>57</v>
      </c>
      <c r="P601" s="2" t="s">
        <v>3498</v>
      </c>
      <c r="Q601" s="2" t="s">
        <v>3499</v>
      </c>
      <c r="R601" s="2" t="s">
        <v>5048</v>
      </c>
      <c r="S601" s="2" t="s">
        <v>5049</v>
      </c>
      <c r="V601" s="2" t="s">
        <v>5050</v>
      </c>
      <c r="W601" s="2" t="s">
        <v>5051</v>
      </c>
      <c r="Y601" s="2" t="s">
        <v>64</v>
      </c>
      <c r="Z601" s="2" t="s">
        <v>65</v>
      </c>
      <c r="AA601" s="2" t="s">
        <v>66</v>
      </c>
      <c r="AC601" s="2" t="s">
        <v>67</v>
      </c>
      <c r="AD601" s="2" t="s">
        <v>68</v>
      </c>
      <c r="AE601" s="2" t="s">
        <v>69</v>
      </c>
      <c r="AF601" s="2" t="s">
        <v>70</v>
      </c>
      <c r="AG601" s="2" t="s">
        <v>3498</v>
      </c>
      <c r="AK601" s="2" t="s">
        <v>5052</v>
      </c>
      <c r="AM601" s="2" t="s">
        <v>72</v>
      </c>
      <c r="AN601" s="2" t="s">
        <v>73</v>
      </c>
      <c r="AP601" s="2" t="s">
        <v>3464</v>
      </c>
      <c r="AT601" s="2" t="s">
        <v>114</v>
      </c>
      <c r="AU601" s="2" t="s">
        <v>75</v>
      </c>
      <c r="AW601" s="2" t="s">
        <v>5053</v>
      </c>
      <c r="AZ601" s="2" t="s">
        <v>116</v>
      </c>
    </row>
    <row r="602" spans="1:52" s="3" customFormat="1" x14ac:dyDescent="0.35">
      <c r="A602" s="2" t="s">
        <v>5054</v>
      </c>
      <c r="B602" s="4">
        <v>244698</v>
      </c>
      <c r="C602" s="2" t="s">
        <v>5055</v>
      </c>
      <c r="D602" s="2">
        <f t="shared" si="9"/>
        <v>3</v>
      </c>
      <c r="F602" s="2" t="s">
        <v>4986</v>
      </c>
      <c r="G602" s="2" t="s">
        <v>53</v>
      </c>
      <c r="H602" s="4">
        <v>1</v>
      </c>
      <c r="I602" s="4">
        <v>1</v>
      </c>
      <c r="J602" s="4">
        <v>0</v>
      </c>
      <c r="L602" s="4">
        <v>0</v>
      </c>
      <c r="M602" s="2" t="s">
        <v>55</v>
      </c>
      <c r="N602" s="2" t="s">
        <v>56</v>
      </c>
      <c r="O602" s="2" t="s">
        <v>57</v>
      </c>
      <c r="P602" s="2" t="s">
        <v>4633</v>
      </c>
      <c r="Q602" s="2" t="s">
        <v>4634</v>
      </c>
      <c r="R602" s="2" t="s">
        <v>5056</v>
      </c>
      <c r="S602" s="2" t="s">
        <v>5057</v>
      </c>
      <c r="V602" s="2" t="s">
        <v>5058</v>
      </c>
      <c r="W602" s="2" t="s">
        <v>5059</v>
      </c>
      <c r="Y602" s="2" t="s">
        <v>64</v>
      </c>
      <c r="Z602" s="2" t="s">
        <v>65</v>
      </c>
      <c r="AA602" s="2" t="s">
        <v>66</v>
      </c>
      <c r="AC602" s="2" t="s">
        <v>67</v>
      </c>
      <c r="AD602" s="2" t="s">
        <v>68</v>
      </c>
      <c r="AE602" s="2" t="s">
        <v>69</v>
      </c>
      <c r="AF602" s="2" t="s">
        <v>70</v>
      </c>
      <c r="AG602" s="2" t="s">
        <v>4633</v>
      </c>
      <c r="AK602" s="2" t="s">
        <v>5060</v>
      </c>
      <c r="AM602" s="2" t="s">
        <v>72</v>
      </c>
      <c r="AN602" s="2" t="s">
        <v>1383</v>
      </c>
      <c r="AP602" s="2" t="s">
        <v>4546</v>
      </c>
      <c r="AU602" s="2" t="s">
        <v>75</v>
      </c>
      <c r="AW602" s="2" t="s">
        <v>5061</v>
      </c>
      <c r="AZ602" s="2" t="s">
        <v>116</v>
      </c>
    </row>
    <row r="603" spans="1:52" s="3" customFormat="1" x14ac:dyDescent="0.35">
      <c r="A603" s="2" t="s">
        <v>5062</v>
      </c>
      <c r="B603" s="4">
        <v>244697</v>
      </c>
      <c r="C603" s="2" t="s">
        <v>5063</v>
      </c>
      <c r="D603" s="2">
        <f t="shared" si="9"/>
        <v>3</v>
      </c>
      <c r="F603" s="2" t="s">
        <v>4986</v>
      </c>
      <c r="G603" s="2" t="s">
        <v>53</v>
      </c>
      <c r="H603" s="4">
        <v>1</v>
      </c>
      <c r="I603" s="4">
        <v>1</v>
      </c>
      <c r="J603" s="4">
        <v>0</v>
      </c>
      <c r="L603" s="4">
        <v>0</v>
      </c>
      <c r="M603" s="2" t="s">
        <v>55</v>
      </c>
      <c r="N603" s="2" t="s">
        <v>56</v>
      </c>
      <c r="O603" s="2" t="s">
        <v>57</v>
      </c>
      <c r="P603" s="2" t="s">
        <v>4633</v>
      </c>
      <c r="Q603" s="2" t="s">
        <v>4634</v>
      </c>
      <c r="R603" s="2" t="s">
        <v>5064</v>
      </c>
      <c r="S603" s="2" t="s">
        <v>5065</v>
      </c>
      <c r="V603" s="2" t="s">
        <v>5066</v>
      </c>
      <c r="W603" s="2" t="s">
        <v>5067</v>
      </c>
      <c r="Y603" s="2" t="s">
        <v>64</v>
      </c>
      <c r="Z603" s="2" t="s">
        <v>65</v>
      </c>
      <c r="AA603" s="2" t="s">
        <v>66</v>
      </c>
      <c r="AC603" s="2" t="s">
        <v>67</v>
      </c>
      <c r="AD603" s="2" t="s">
        <v>68</v>
      </c>
      <c r="AE603" s="2" t="s">
        <v>69</v>
      </c>
      <c r="AF603" s="2" t="s">
        <v>70</v>
      </c>
      <c r="AG603" s="2" t="s">
        <v>4633</v>
      </c>
      <c r="AK603" s="2" t="s">
        <v>5068</v>
      </c>
      <c r="AM603" s="2" t="s">
        <v>72</v>
      </c>
      <c r="AN603" s="2" t="s">
        <v>1383</v>
      </c>
      <c r="AP603" s="2" t="s">
        <v>4546</v>
      </c>
      <c r="AU603" s="2" t="s">
        <v>75</v>
      </c>
      <c r="AV603" s="2" t="s">
        <v>5069</v>
      </c>
      <c r="AW603" s="2" t="s">
        <v>5070</v>
      </c>
      <c r="AZ603" s="2" t="s">
        <v>116</v>
      </c>
    </row>
    <row r="604" spans="1:52" s="3" customFormat="1" x14ac:dyDescent="0.35">
      <c r="A604" s="2" t="s">
        <v>5071</v>
      </c>
      <c r="B604" s="4">
        <v>244680</v>
      </c>
      <c r="C604" s="2" t="s">
        <v>5072</v>
      </c>
      <c r="D604" s="2">
        <f t="shared" si="9"/>
        <v>3</v>
      </c>
      <c r="F604" s="2" t="s">
        <v>4986</v>
      </c>
      <c r="G604" s="2" t="s">
        <v>53</v>
      </c>
      <c r="H604" s="4">
        <v>1</v>
      </c>
      <c r="I604" s="4">
        <v>1</v>
      </c>
      <c r="J604" s="4">
        <v>0</v>
      </c>
      <c r="L604" s="4">
        <v>0</v>
      </c>
      <c r="M604" s="2" t="s">
        <v>55</v>
      </c>
      <c r="N604" s="2" t="s">
        <v>56</v>
      </c>
      <c r="O604" s="2" t="s">
        <v>57</v>
      </c>
      <c r="P604" s="2" t="s">
        <v>4633</v>
      </c>
      <c r="Q604" s="2" t="s">
        <v>4634</v>
      </c>
      <c r="R604" s="2" t="s">
        <v>5073</v>
      </c>
      <c r="S604" s="2" t="s">
        <v>5074</v>
      </c>
      <c r="V604" s="2" t="s">
        <v>5075</v>
      </c>
      <c r="W604" s="2" t="s">
        <v>5076</v>
      </c>
      <c r="Y604" s="2" t="s">
        <v>64</v>
      </c>
      <c r="Z604" s="2" t="s">
        <v>65</v>
      </c>
      <c r="AA604" s="2" t="s">
        <v>66</v>
      </c>
      <c r="AC604" s="2" t="s">
        <v>67</v>
      </c>
      <c r="AD604" s="2" t="s">
        <v>68</v>
      </c>
      <c r="AE604" s="2" t="s">
        <v>69</v>
      </c>
      <c r="AF604" s="2" t="s">
        <v>70</v>
      </c>
      <c r="AG604" s="2" t="s">
        <v>4633</v>
      </c>
      <c r="AK604" s="2" t="s">
        <v>5077</v>
      </c>
      <c r="AM604" s="2" t="s">
        <v>72</v>
      </c>
      <c r="AN604" s="2" t="s">
        <v>595</v>
      </c>
      <c r="AP604" s="2" t="s">
        <v>4546</v>
      </c>
      <c r="AU604" s="2" t="s">
        <v>75</v>
      </c>
      <c r="AW604" s="2" t="s">
        <v>5078</v>
      </c>
      <c r="AZ604" s="2" t="s">
        <v>116</v>
      </c>
    </row>
    <row r="605" spans="1:52" s="3" customFormat="1" x14ac:dyDescent="0.35">
      <c r="A605" s="2" t="s">
        <v>5079</v>
      </c>
      <c r="B605" s="4">
        <v>244674</v>
      </c>
      <c r="C605" s="2" t="s">
        <v>5080</v>
      </c>
      <c r="D605" s="2">
        <f t="shared" si="9"/>
        <v>3</v>
      </c>
      <c r="F605" s="2" t="s">
        <v>4986</v>
      </c>
      <c r="G605" s="2" t="s">
        <v>53</v>
      </c>
      <c r="H605" s="4">
        <v>1</v>
      </c>
      <c r="I605" s="4">
        <v>1</v>
      </c>
      <c r="J605" s="4">
        <v>0</v>
      </c>
      <c r="L605" s="4">
        <v>0</v>
      </c>
      <c r="M605" s="2" t="s">
        <v>55</v>
      </c>
      <c r="N605" s="2" t="s">
        <v>56</v>
      </c>
      <c r="O605" s="2" t="s">
        <v>57</v>
      </c>
      <c r="P605" s="2" t="s">
        <v>4633</v>
      </c>
      <c r="Q605" s="2" t="s">
        <v>4634</v>
      </c>
      <c r="R605" s="2" t="s">
        <v>244</v>
      </c>
      <c r="S605" s="2" t="s">
        <v>245</v>
      </c>
      <c r="V605" s="2" t="s">
        <v>246</v>
      </c>
      <c r="W605" s="2" t="s">
        <v>247</v>
      </c>
      <c r="Y605" s="2" t="s">
        <v>64</v>
      </c>
      <c r="Z605" s="2" t="s">
        <v>65</v>
      </c>
      <c r="AA605" s="2" t="s">
        <v>66</v>
      </c>
      <c r="AC605" s="2" t="s">
        <v>67</v>
      </c>
      <c r="AD605" s="2" t="s">
        <v>68</v>
      </c>
      <c r="AE605" s="2" t="s">
        <v>69</v>
      </c>
      <c r="AF605" s="2" t="s">
        <v>70</v>
      </c>
      <c r="AG605" s="2" t="s">
        <v>4633</v>
      </c>
      <c r="AK605" s="2" t="s">
        <v>5081</v>
      </c>
      <c r="AM605" s="2" t="s">
        <v>72</v>
      </c>
      <c r="AN605" s="2" t="s">
        <v>249</v>
      </c>
      <c r="AP605" s="2" t="s">
        <v>4546</v>
      </c>
      <c r="AU605" s="2" t="s">
        <v>75</v>
      </c>
      <c r="AW605" s="2" t="s">
        <v>250</v>
      </c>
      <c r="AZ605" s="2" t="s">
        <v>116</v>
      </c>
    </row>
    <row r="606" spans="1:52" s="3" customFormat="1" x14ac:dyDescent="0.35">
      <c r="A606" s="2" t="s">
        <v>5082</v>
      </c>
      <c r="B606" s="4">
        <v>244673</v>
      </c>
      <c r="C606" s="2" t="s">
        <v>5083</v>
      </c>
      <c r="D606" s="2">
        <f t="shared" si="9"/>
        <v>3</v>
      </c>
      <c r="F606" s="2" t="s">
        <v>4986</v>
      </c>
      <c r="G606" s="2" t="s">
        <v>53</v>
      </c>
      <c r="H606" s="4">
        <v>1</v>
      </c>
      <c r="I606" s="4">
        <v>1</v>
      </c>
      <c r="J606" s="4">
        <v>0</v>
      </c>
      <c r="L606" s="4">
        <v>0</v>
      </c>
      <c r="M606" s="2" t="s">
        <v>55</v>
      </c>
      <c r="N606" s="2" t="s">
        <v>56</v>
      </c>
      <c r="O606" s="2" t="s">
        <v>57</v>
      </c>
      <c r="P606" s="2" t="s">
        <v>4633</v>
      </c>
      <c r="Q606" s="2" t="s">
        <v>4634</v>
      </c>
      <c r="R606" s="2" t="s">
        <v>261</v>
      </c>
      <c r="S606" s="2" t="s">
        <v>262</v>
      </c>
      <c r="V606" s="2" t="s">
        <v>263</v>
      </c>
      <c r="W606" s="2" t="s">
        <v>264</v>
      </c>
      <c r="Y606" s="2" t="s">
        <v>64</v>
      </c>
      <c r="Z606" s="2" t="s">
        <v>65</v>
      </c>
      <c r="AA606" s="2" t="s">
        <v>66</v>
      </c>
      <c r="AC606" s="2" t="s">
        <v>67</v>
      </c>
      <c r="AD606" s="2" t="s">
        <v>68</v>
      </c>
      <c r="AE606" s="2" t="s">
        <v>69</v>
      </c>
      <c r="AF606" s="2" t="s">
        <v>70</v>
      </c>
      <c r="AG606" s="2" t="s">
        <v>4633</v>
      </c>
      <c r="AK606" s="2" t="s">
        <v>5084</v>
      </c>
      <c r="AM606" s="2" t="s">
        <v>72</v>
      </c>
      <c r="AN606" s="2" t="s">
        <v>249</v>
      </c>
      <c r="AP606" s="2" t="s">
        <v>4546</v>
      </c>
      <c r="AU606" s="2" t="s">
        <v>75</v>
      </c>
      <c r="AW606" s="2" t="s">
        <v>266</v>
      </c>
      <c r="AZ606" s="2" t="s">
        <v>116</v>
      </c>
    </row>
    <row r="607" spans="1:52" s="3" customFormat="1" x14ac:dyDescent="0.35">
      <c r="A607" s="2" t="s">
        <v>5085</v>
      </c>
      <c r="B607" s="4">
        <v>244670</v>
      </c>
      <c r="C607" s="2" t="s">
        <v>5086</v>
      </c>
      <c r="D607" s="2">
        <f t="shared" si="9"/>
        <v>3</v>
      </c>
      <c r="F607" s="2" t="s">
        <v>4986</v>
      </c>
      <c r="G607" s="2" t="s">
        <v>53</v>
      </c>
      <c r="H607" s="4">
        <v>3</v>
      </c>
      <c r="I607" s="4">
        <v>1</v>
      </c>
      <c r="J607" s="4">
        <v>0</v>
      </c>
      <c r="L607" s="4">
        <v>0</v>
      </c>
      <c r="M607" s="2" t="s">
        <v>55</v>
      </c>
      <c r="N607" s="2" t="s">
        <v>56</v>
      </c>
      <c r="O607" s="2" t="s">
        <v>57</v>
      </c>
      <c r="P607" s="2" t="s">
        <v>4633</v>
      </c>
      <c r="Q607" s="2" t="s">
        <v>4634</v>
      </c>
      <c r="R607" s="2" t="s">
        <v>5087</v>
      </c>
      <c r="S607" s="2" t="s">
        <v>5088</v>
      </c>
      <c r="V607" s="2" t="s">
        <v>5089</v>
      </c>
      <c r="W607" s="2" t="s">
        <v>5090</v>
      </c>
      <c r="Y607" s="2" t="s">
        <v>64</v>
      </c>
      <c r="Z607" s="2" t="s">
        <v>65</v>
      </c>
      <c r="AA607" s="2" t="s">
        <v>66</v>
      </c>
      <c r="AC607" s="2" t="s">
        <v>67</v>
      </c>
      <c r="AD607" s="2" t="s">
        <v>68</v>
      </c>
      <c r="AE607" s="2" t="s">
        <v>69</v>
      </c>
      <c r="AF607" s="2" t="s">
        <v>70</v>
      </c>
      <c r="AG607" s="2" t="s">
        <v>4633</v>
      </c>
      <c r="AK607" s="2" t="s">
        <v>5091</v>
      </c>
      <c r="AM607" s="2" t="s">
        <v>72</v>
      </c>
      <c r="AN607" s="2" t="s">
        <v>283</v>
      </c>
      <c r="AP607" s="2" t="s">
        <v>4546</v>
      </c>
      <c r="AU607" s="2" t="s">
        <v>75</v>
      </c>
      <c r="AW607" s="2" t="s">
        <v>5092</v>
      </c>
      <c r="AZ607" s="2" t="s">
        <v>116</v>
      </c>
    </row>
    <row r="608" spans="1:52" s="3" customFormat="1" x14ac:dyDescent="0.35">
      <c r="A608" s="2" t="s">
        <v>5093</v>
      </c>
      <c r="B608" s="4">
        <v>244668</v>
      </c>
      <c r="C608" s="2" t="s">
        <v>5094</v>
      </c>
      <c r="D608" s="2">
        <f t="shared" si="9"/>
        <v>3</v>
      </c>
      <c r="F608" s="2" t="s">
        <v>4986</v>
      </c>
      <c r="G608" s="2" t="s">
        <v>53</v>
      </c>
      <c r="H608" s="4">
        <v>3</v>
      </c>
      <c r="I608" s="4">
        <v>1</v>
      </c>
      <c r="J608" s="4">
        <v>0</v>
      </c>
      <c r="L608" s="4">
        <v>0</v>
      </c>
      <c r="M608" s="2" t="s">
        <v>55</v>
      </c>
      <c r="N608" s="2" t="s">
        <v>56</v>
      </c>
      <c r="O608" s="2" t="s">
        <v>57</v>
      </c>
      <c r="P608" s="2" t="s">
        <v>4633</v>
      </c>
      <c r="Q608" s="2" t="s">
        <v>4634</v>
      </c>
      <c r="R608" s="2" t="s">
        <v>5095</v>
      </c>
      <c r="S608" s="2" t="s">
        <v>5096</v>
      </c>
      <c r="V608" s="2" t="s">
        <v>5097</v>
      </c>
      <c r="W608" s="2" t="s">
        <v>5098</v>
      </c>
      <c r="Y608" s="2" t="s">
        <v>64</v>
      </c>
      <c r="Z608" s="2" t="s">
        <v>65</v>
      </c>
      <c r="AA608" s="2" t="s">
        <v>66</v>
      </c>
      <c r="AC608" s="2" t="s">
        <v>67</v>
      </c>
      <c r="AD608" s="2" t="s">
        <v>68</v>
      </c>
      <c r="AE608" s="2" t="s">
        <v>69</v>
      </c>
      <c r="AF608" s="2" t="s">
        <v>70</v>
      </c>
      <c r="AG608" s="2" t="s">
        <v>4633</v>
      </c>
      <c r="AK608" s="2" t="s">
        <v>5099</v>
      </c>
      <c r="AM608" s="2" t="s">
        <v>72</v>
      </c>
      <c r="AN608" s="2" t="s">
        <v>283</v>
      </c>
      <c r="AP608" s="2" t="s">
        <v>4546</v>
      </c>
      <c r="AU608" s="2" t="s">
        <v>75</v>
      </c>
      <c r="AW608" s="2" t="s">
        <v>5100</v>
      </c>
      <c r="AZ608" s="2" t="s">
        <v>116</v>
      </c>
    </row>
    <row r="609" spans="1:52" s="3" customFormat="1" x14ac:dyDescent="0.35">
      <c r="A609" s="2" t="s">
        <v>5101</v>
      </c>
      <c r="B609" s="4">
        <v>244658</v>
      </c>
      <c r="C609" s="2" t="s">
        <v>5102</v>
      </c>
      <c r="D609" s="2">
        <f t="shared" si="9"/>
        <v>3</v>
      </c>
      <c r="F609" s="2" t="s">
        <v>4937</v>
      </c>
      <c r="G609" s="2" t="s">
        <v>53</v>
      </c>
      <c r="H609" s="4">
        <v>15</v>
      </c>
      <c r="I609" s="4">
        <v>1</v>
      </c>
      <c r="J609" s="5">
        <v>29985</v>
      </c>
      <c r="K609" s="2" t="s">
        <v>1252</v>
      </c>
      <c r="L609" s="5">
        <v>28140.92</v>
      </c>
      <c r="M609" s="2" t="s">
        <v>55</v>
      </c>
      <c r="N609" s="2" t="s">
        <v>1253</v>
      </c>
      <c r="O609" s="2" t="s">
        <v>1254</v>
      </c>
      <c r="P609" s="2" t="s">
        <v>509</v>
      </c>
      <c r="Q609" s="2" t="s">
        <v>510</v>
      </c>
      <c r="R609" s="2" t="s">
        <v>1919</v>
      </c>
      <c r="T609" s="2" t="s">
        <v>1920</v>
      </c>
      <c r="U609" s="2" t="s">
        <v>1921</v>
      </c>
      <c r="V609" s="2" t="s">
        <v>1922</v>
      </c>
      <c r="W609" s="2" t="s">
        <v>2467</v>
      </c>
      <c r="X609" s="2" t="s">
        <v>2468</v>
      </c>
      <c r="Y609" s="2" t="s">
        <v>1925</v>
      </c>
      <c r="Z609" s="2" t="s">
        <v>1926</v>
      </c>
      <c r="AA609" s="2" t="s">
        <v>1927</v>
      </c>
      <c r="AB609" s="2" t="s">
        <v>1928</v>
      </c>
      <c r="AC609" s="2" t="s">
        <v>1929</v>
      </c>
      <c r="AD609" s="2" t="s">
        <v>68</v>
      </c>
      <c r="AE609" s="2" t="s">
        <v>69</v>
      </c>
      <c r="AF609" s="2" t="s">
        <v>70</v>
      </c>
      <c r="AG609" s="2" t="s">
        <v>509</v>
      </c>
      <c r="AK609" s="2" t="s">
        <v>5103</v>
      </c>
      <c r="AM609" s="2" t="s">
        <v>72</v>
      </c>
      <c r="AN609" s="2" t="s">
        <v>403</v>
      </c>
      <c r="AP609" s="2" t="s">
        <v>74</v>
      </c>
      <c r="AU609" s="2" t="s">
        <v>75</v>
      </c>
      <c r="AV609" s="2" t="s">
        <v>1931</v>
      </c>
      <c r="AW609" s="2" t="s">
        <v>1932</v>
      </c>
      <c r="AX609" s="2" t="s">
        <v>477</v>
      </c>
      <c r="AZ609" s="2" t="s">
        <v>478</v>
      </c>
    </row>
    <row r="610" spans="1:52" s="3" customFormat="1" x14ac:dyDescent="0.35">
      <c r="A610" s="2" t="s">
        <v>5104</v>
      </c>
      <c r="B610" s="4">
        <v>244559</v>
      </c>
      <c r="C610" s="2" t="s">
        <v>5105</v>
      </c>
      <c r="D610" s="2">
        <f t="shared" si="9"/>
        <v>3</v>
      </c>
      <c r="F610" s="2" t="s">
        <v>5106</v>
      </c>
      <c r="G610" s="2" t="s">
        <v>53</v>
      </c>
      <c r="H610" s="4">
        <v>5</v>
      </c>
      <c r="I610" s="4">
        <v>1</v>
      </c>
      <c r="J610" s="4">
        <v>0</v>
      </c>
      <c r="L610" s="4">
        <v>0</v>
      </c>
      <c r="M610" s="2" t="s">
        <v>55</v>
      </c>
      <c r="N610" s="2" t="s">
        <v>56</v>
      </c>
      <c r="O610" s="2" t="s">
        <v>57</v>
      </c>
      <c r="P610" s="2" t="s">
        <v>4633</v>
      </c>
      <c r="Q610" s="2" t="s">
        <v>4634</v>
      </c>
      <c r="R610" s="2" t="s">
        <v>5107</v>
      </c>
      <c r="S610" s="2" t="s">
        <v>5108</v>
      </c>
      <c r="V610" s="2" t="s">
        <v>5109</v>
      </c>
      <c r="W610" s="2" t="s">
        <v>5110</v>
      </c>
      <c r="Y610" s="2" t="s">
        <v>64</v>
      </c>
      <c r="Z610" s="2" t="s">
        <v>65</v>
      </c>
      <c r="AA610" s="2" t="s">
        <v>66</v>
      </c>
      <c r="AC610" s="2" t="s">
        <v>67</v>
      </c>
      <c r="AD610" s="2" t="s">
        <v>68</v>
      </c>
      <c r="AE610" s="2" t="s">
        <v>69</v>
      </c>
      <c r="AF610" s="2" t="s">
        <v>70</v>
      </c>
      <c r="AG610" s="2" t="s">
        <v>4633</v>
      </c>
      <c r="AK610" s="2" t="s">
        <v>5111</v>
      </c>
      <c r="AM610" s="2" t="s">
        <v>72</v>
      </c>
      <c r="AN610" s="2" t="s">
        <v>283</v>
      </c>
      <c r="AP610" s="2" t="s">
        <v>4546</v>
      </c>
      <c r="AU610" s="2" t="s">
        <v>75</v>
      </c>
      <c r="AW610" s="2" t="s">
        <v>5112</v>
      </c>
      <c r="AZ610" s="2" t="s">
        <v>116</v>
      </c>
    </row>
    <row r="611" spans="1:52" s="3" customFormat="1" x14ac:dyDescent="0.35">
      <c r="A611" s="2" t="s">
        <v>5113</v>
      </c>
      <c r="B611" s="4">
        <v>244558</v>
      </c>
      <c r="C611" s="2" t="s">
        <v>5114</v>
      </c>
      <c r="D611" s="2">
        <f t="shared" si="9"/>
        <v>3</v>
      </c>
      <c r="F611" s="2" t="s">
        <v>5106</v>
      </c>
      <c r="G611" s="2" t="s">
        <v>53</v>
      </c>
      <c r="H611" s="4">
        <v>1</v>
      </c>
      <c r="I611" s="4">
        <v>1</v>
      </c>
      <c r="J611" s="4">
        <v>0</v>
      </c>
      <c r="L611" s="4">
        <v>0</v>
      </c>
      <c r="M611" s="2" t="s">
        <v>55</v>
      </c>
      <c r="N611" s="2" t="s">
        <v>56</v>
      </c>
      <c r="O611" s="2" t="s">
        <v>57</v>
      </c>
      <c r="P611" s="2" t="s">
        <v>4633</v>
      </c>
      <c r="Q611" s="2" t="s">
        <v>4634</v>
      </c>
      <c r="R611" s="2" t="s">
        <v>5115</v>
      </c>
      <c r="S611" s="2" t="s">
        <v>5116</v>
      </c>
      <c r="V611" s="2" t="s">
        <v>5117</v>
      </c>
      <c r="W611" s="2" t="s">
        <v>5118</v>
      </c>
      <c r="Y611" s="2" t="s">
        <v>64</v>
      </c>
      <c r="Z611" s="2" t="s">
        <v>3302</v>
      </c>
      <c r="AA611" s="2" t="s">
        <v>66</v>
      </c>
      <c r="AC611" s="2" t="s">
        <v>67</v>
      </c>
      <c r="AD611" s="2" t="s">
        <v>68</v>
      </c>
      <c r="AE611" s="2" t="s">
        <v>69</v>
      </c>
      <c r="AF611" s="2" t="s">
        <v>70</v>
      </c>
      <c r="AG611" s="2" t="s">
        <v>4633</v>
      </c>
      <c r="AK611" s="2" t="s">
        <v>5119</v>
      </c>
      <c r="AM611" s="2" t="s">
        <v>72</v>
      </c>
      <c r="AN611" s="2" t="s">
        <v>283</v>
      </c>
      <c r="AP611" s="2" t="s">
        <v>4546</v>
      </c>
      <c r="AU611" s="2" t="s">
        <v>75</v>
      </c>
      <c r="AW611" s="2" t="s">
        <v>5120</v>
      </c>
      <c r="AZ611" s="2" t="s">
        <v>116</v>
      </c>
    </row>
    <row r="612" spans="1:52" s="3" customFormat="1" x14ac:dyDescent="0.35">
      <c r="A612" s="2" t="s">
        <v>5121</v>
      </c>
      <c r="B612" s="4">
        <v>244544</v>
      </c>
      <c r="C612" s="2" t="s">
        <v>5122</v>
      </c>
      <c r="D612" s="2">
        <f t="shared" si="9"/>
        <v>3</v>
      </c>
      <c r="F612" s="2" t="s">
        <v>4986</v>
      </c>
      <c r="G612" s="2" t="s">
        <v>53</v>
      </c>
      <c r="H612" s="4">
        <v>1</v>
      </c>
      <c r="I612" s="4">
        <v>1</v>
      </c>
      <c r="J612" s="5">
        <v>4650.01</v>
      </c>
      <c r="K612" s="2" t="s">
        <v>1252</v>
      </c>
      <c r="L612" s="5">
        <v>4364.03</v>
      </c>
      <c r="M612" s="2" t="s">
        <v>55</v>
      </c>
      <c r="N612" s="2" t="s">
        <v>1253</v>
      </c>
      <c r="O612" s="2" t="s">
        <v>1254</v>
      </c>
      <c r="P612" s="2" t="s">
        <v>5123</v>
      </c>
      <c r="Q612" s="2" t="s">
        <v>5124</v>
      </c>
      <c r="R612" s="2" t="s">
        <v>5125</v>
      </c>
      <c r="T612" s="2" t="s">
        <v>5126</v>
      </c>
      <c r="U612" s="2" t="s">
        <v>5127</v>
      </c>
      <c r="V612" s="2" t="s">
        <v>5128</v>
      </c>
      <c r="W612" s="2" t="s">
        <v>5129</v>
      </c>
      <c r="X612" s="2" t="s">
        <v>5129</v>
      </c>
      <c r="Y612" s="2" t="s">
        <v>5130</v>
      </c>
      <c r="Z612" s="2" t="s">
        <v>5131</v>
      </c>
      <c r="AA612" s="2" t="s">
        <v>5132</v>
      </c>
      <c r="AC612" s="2" t="s">
        <v>2842</v>
      </c>
      <c r="AD612" s="2" t="s">
        <v>5133</v>
      </c>
      <c r="AE612" s="2" t="s">
        <v>96</v>
      </c>
      <c r="AF612" s="2" t="s">
        <v>70</v>
      </c>
      <c r="AG612" s="2" t="s">
        <v>5123</v>
      </c>
      <c r="AK612" s="2" t="s">
        <v>5134</v>
      </c>
      <c r="AM612" s="2" t="s">
        <v>72</v>
      </c>
      <c r="AN612" s="2" t="s">
        <v>473</v>
      </c>
      <c r="AP612" s="2" t="s">
        <v>5135</v>
      </c>
      <c r="AU612" s="2" t="s">
        <v>75</v>
      </c>
      <c r="AV612" s="2" t="s">
        <v>5106</v>
      </c>
      <c r="AW612" s="2" t="s">
        <v>5136</v>
      </c>
      <c r="AX612" s="2" t="s">
        <v>77</v>
      </c>
      <c r="AZ612" s="2" t="s">
        <v>77</v>
      </c>
    </row>
    <row r="613" spans="1:52" s="3" customFormat="1" x14ac:dyDescent="0.35">
      <c r="A613" s="2" t="s">
        <v>5137</v>
      </c>
      <c r="B613" s="4">
        <v>244463</v>
      </c>
      <c r="C613" s="2" t="s">
        <v>5138</v>
      </c>
      <c r="D613" s="2">
        <f t="shared" si="9"/>
        <v>3</v>
      </c>
      <c r="G613" s="2" t="s">
        <v>53</v>
      </c>
      <c r="H613" s="4">
        <v>3</v>
      </c>
      <c r="I613" s="4">
        <v>1</v>
      </c>
      <c r="J613" s="4">
        <v>0</v>
      </c>
      <c r="L613" s="4">
        <v>0</v>
      </c>
      <c r="M613" s="2" t="s">
        <v>55</v>
      </c>
      <c r="N613" s="2" t="s">
        <v>56</v>
      </c>
      <c r="O613" s="2" t="s">
        <v>57</v>
      </c>
      <c r="P613" s="2" t="s">
        <v>4887</v>
      </c>
      <c r="Q613" s="2" t="s">
        <v>4888</v>
      </c>
      <c r="R613" s="2" t="s">
        <v>5139</v>
      </c>
      <c r="S613" s="2" t="s">
        <v>5140</v>
      </c>
      <c r="V613" s="2" t="s">
        <v>5141</v>
      </c>
      <c r="W613" s="2" t="s">
        <v>5142</v>
      </c>
      <c r="Y613" s="2" t="s">
        <v>64</v>
      </c>
      <c r="Z613" s="2" t="s">
        <v>3302</v>
      </c>
      <c r="AA613" s="2" t="s">
        <v>66</v>
      </c>
      <c r="AC613" s="2" t="s">
        <v>67</v>
      </c>
      <c r="AD613" s="2" t="s">
        <v>68</v>
      </c>
      <c r="AE613" s="2" t="s">
        <v>69</v>
      </c>
      <c r="AF613" s="2" t="s">
        <v>70</v>
      </c>
      <c r="AG613" s="2" t="s">
        <v>4887</v>
      </c>
      <c r="AK613" s="2" t="s">
        <v>5143</v>
      </c>
      <c r="AM613" s="2" t="s">
        <v>72</v>
      </c>
      <c r="AN613" s="2" t="s">
        <v>1383</v>
      </c>
      <c r="AP613" s="2" t="s">
        <v>4546</v>
      </c>
      <c r="AU613" s="2" t="s">
        <v>75</v>
      </c>
      <c r="AW613" s="2" t="s">
        <v>5144</v>
      </c>
      <c r="AZ613" s="2" t="s">
        <v>116</v>
      </c>
    </row>
    <row r="614" spans="1:52" s="3" customFormat="1" x14ac:dyDescent="0.35">
      <c r="A614" s="2" t="s">
        <v>5145</v>
      </c>
      <c r="B614" s="4">
        <v>244462</v>
      </c>
      <c r="C614" s="2" t="s">
        <v>5146</v>
      </c>
      <c r="D614" s="2">
        <f t="shared" si="9"/>
        <v>3</v>
      </c>
      <c r="F614" s="2" t="s">
        <v>4502</v>
      </c>
      <c r="G614" s="2" t="s">
        <v>53</v>
      </c>
      <c r="H614" s="4">
        <v>1</v>
      </c>
      <c r="I614" s="4">
        <v>1</v>
      </c>
      <c r="J614" s="4">
        <v>0</v>
      </c>
      <c r="L614" s="4">
        <v>0</v>
      </c>
      <c r="M614" s="2" t="s">
        <v>55</v>
      </c>
      <c r="N614" s="2" t="s">
        <v>56</v>
      </c>
      <c r="O614" s="2" t="s">
        <v>57</v>
      </c>
      <c r="P614" s="2" t="s">
        <v>4877</v>
      </c>
      <c r="Q614" s="2" t="s">
        <v>4878</v>
      </c>
      <c r="R614" s="2" t="s">
        <v>5147</v>
      </c>
      <c r="S614" s="2" t="s">
        <v>5148</v>
      </c>
      <c r="V614" s="2" t="s">
        <v>5149</v>
      </c>
      <c r="W614" s="2" t="s">
        <v>5150</v>
      </c>
      <c r="Y614" s="2" t="s">
        <v>64</v>
      </c>
      <c r="Z614" s="2" t="s">
        <v>3302</v>
      </c>
      <c r="AA614" s="2" t="s">
        <v>66</v>
      </c>
      <c r="AC614" s="2" t="s">
        <v>67</v>
      </c>
      <c r="AD614" s="2" t="s">
        <v>68</v>
      </c>
      <c r="AE614" s="2" t="s">
        <v>69</v>
      </c>
      <c r="AF614" s="2" t="s">
        <v>70</v>
      </c>
      <c r="AG614" s="2" t="s">
        <v>4877</v>
      </c>
      <c r="AK614" s="2" t="s">
        <v>5151</v>
      </c>
      <c r="AM614" s="2" t="s">
        <v>72</v>
      </c>
      <c r="AN614" s="2" t="s">
        <v>595</v>
      </c>
      <c r="AP614" s="2" t="s">
        <v>3758</v>
      </c>
      <c r="AU614" s="2" t="s">
        <v>75</v>
      </c>
      <c r="AW614" s="2" t="s">
        <v>5152</v>
      </c>
      <c r="AZ614" s="2" t="s">
        <v>116</v>
      </c>
    </row>
    <row r="615" spans="1:52" s="3" customFormat="1" x14ac:dyDescent="0.35">
      <c r="A615" s="2" t="s">
        <v>5153</v>
      </c>
      <c r="B615" s="4">
        <v>244461</v>
      </c>
      <c r="C615" s="2" t="s">
        <v>5154</v>
      </c>
      <c r="D615" s="2">
        <f t="shared" si="9"/>
        <v>3</v>
      </c>
      <c r="F615" s="2" t="s">
        <v>5106</v>
      </c>
      <c r="G615" s="2" t="s">
        <v>53</v>
      </c>
      <c r="H615" s="4">
        <v>1</v>
      </c>
      <c r="I615" s="4">
        <v>1</v>
      </c>
      <c r="J615" s="5">
        <v>2600</v>
      </c>
      <c r="K615" s="2" t="s">
        <v>1252</v>
      </c>
      <c r="L615" s="5">
        <v>2440.1</v>
      </c>
      <c r="M615" s="2" t="s">
        <v>55</v>
      </c>
      <c r="N615" s="2" t="s">
        <v>1253</v>
      </c>
      <c r="O615" s="2" t="s">
        <v>1254</v>
      </c>
      <c r="P615" s="2" t="s">
        <v>5155</v>
      </c>
      <c r="Q615" s="2" t="s">
        <v>5156</v>
      </c>
      <c r="R615" s="2" t="s">
        <v>5157</v>
      </c>
      <c r="T615" s="2" t="s">
        <v>4493</v>
      </c>
      <c r="U615" s="2" t="s">
        <v>4494</v>
      </c>
      <c r="V615" s="2" t="s">
        <v>4495</v>
      </c>
      <c r="W615" s="2" t="s">
        <v>5158</v>
      </c>
      <c r="X615" s="2" t="s">
        <v>5158</v>
      </c>
      <c r="Y615" s="2" t="s">
        <v>4497</v>
      </c>
      <c r="Z615" s="2" t="s">
        <v>4498</v>
      </c>
      <c r="AA615" s="2" t="s">
        <v>4499</v>
      </c>
      <c r="AC615" s="2" t="s">
        <v>4500</v>
      </c>
      <c r="AD615" s="2" t="s">
        <v>3601</v>
      </c>
      <c r="AE615" s="2" t="s">
        <v>3602</v>
      </c>
      <c r="AF615" s="2" t="s">
        <v>70</v>
      </c>
      <c r="AG615" s="2" t="s">
        <v>5159</v>
      </c>
      <c r="AK615" s="2" t="s">
        <v>5160</v>
      </c>
      <c r="AM615" s="2" t="s">
        <v>72</v>
      </c>
      <c r="AN615" s="2" t="s">
        <v>232</v>
      </c>
      <c r="AP615" s="2" t="s">
        <v>5106</v>
      </c>
      <c r="AU615" s="2" t="s">
        <v>75</v>
      </c>
      <c r="AV615" s="2" t="s">
        <v>4502</v>
      </c>
      <c r="AW615" s="2" t="s">
        <v>4503</v>
      </c>
      <c r="AX615" s="2" t="s">
        <v>77</v>
      </c>
      <c r="AZ615" s="2" t="s">
        <v>77</v>
      </c>
    </row>
    <row r="616" spans="1:52" s="3" customFormat="1" x14ac:dyDescent="0.35">
      <c r="A616" s="2" t="s">
        <v>5161</v>
      </c>
      <c r="B616" s="4">
        <v>244459</v>
      </c>
      <c r="C616" s="2" t="s">
        <v>5162</v>
      </c>
      <c r="D616" s="2">
        <f t="shared" si="9"/>
        <v>3</v>
      </c>
      <c r="F616" s="2" t="s">
        <v>5106</v>
      </c>
      <c r="G616" s="2" t="s">
        <v>53</v>
      </c>
      <c r="H616" s="4">
        <v>2</v>
      </c>
      <c r="I616" s="4">
        <v>1</v>
      </c>
      <c r="J616" s="5">
        <v>5200</v>
      </c>
      <c r="K616" s="2" t="s">
        <v>1252</v>
      </c>
      <c r="L616" s="5">
        <v>4880.2</v>
      </c>
      <c r="M616" s="2" t="s">
        <v>55</v>
      </c>
      <c r="N616" s="2" t="s">
        <v>1253</v>
      </c>
      <c r="O616" s="2" t="s">
        <v>1254</v>
      </c>
      <c r="P616" s="2" t="s">
        <v>5155</v>
      </c>
      <c r="Q616" s="2" t="s">
        <v>5156</v>
      </c>
      <c r="R616" s="2" t="s">
        <v>5157</v>
      </c>
      <c r="T616" s="2" t="s">
        <v>4493</v>
      </c>
      <c r="U616" s="2" t="s">
        <v>4494</v>
      </c>
      <c r="V616" s="2" t="s">
        <v>4495</v>
      </c>
      <c r="W616" s="2" t="s">
        <v>5158</v>
      </c>
      <c r="X616" s="2" t="s">
        <v>5158</v>
      </c>
      <c r="Y616" s="2" t="s">
        <v>4497</v>
      </c>
      <c r="Z616" s="2" t="s">
        <v>4498</v>
      </c>
      <c r="AA616" s="2" t="s">
        <v>4499</v>
      </c>
      <c r="AC616" s="2" t="s">
        <v>4500</v>
      </c>
      <c r="AD616" s="2" t="s">
        <v>3601</v>
      </c>
      <c r="AE616" s="2" t="s">
        <v>3602</v>
      </c>
      <c r="AF616" s="2" t="s">
        <v>70</v>
      </c>
      <c r="AG616" s="2" t="s">
        <v>5159</v>
      </c>
      <c r="AK616" s="2" t="s">
        <v>5163</v>
      </c>
      <c r="AM616" s="2" t="s">
        <v>72</v>
      </c>
      <c r="AN616" s="2" t="s">
        <v>232</v>
      </c>
      <c r="AP616" s="2" t="s">
        <v>5106</v>
      </c>
      <c r="AU616" s="2" t="s">
        <v>75</v>
      </c>
      <c r="AV616" s="2" t="s">
        <v>4502</v>
      </c>
      <c r="AW616" s="2" t="s">
        <v>4503</v>
      </c>
      <c r="AX616" s="2" t="s">
        <v>77</v>
      </c>
      <c r="AZ616" s="2" t="s">
        <v>77</v>
      </c>
    </row>
    <row r="617" spans="1:52" s="3" customFormat="1" x14ac:dyDescent="0.35">
      <c r="A617" s="2" t="s">
        <v>5164</v>
      </c>
      <c r="B617" s="4">
        <v>244454</v>
      </c>
      <c r="C617" s="2" t="s">
        <v>5165</v>
      </c>
      <c r="D617" s="2">
        <f t="shared" si="9"/>
        <v>3</v>
      </c>
      <c r="F617" s="2" t="s">
        <v>4502</v>
      </c>
      <c r="G617" s="2" t="s">
        <v>53</v>
      </c>
      <c r="H617" s="4">
        <v>1</v>
      </c>
      <c r="I617" s="4">
        <v>1</v>
      </c>
      <c r="J617" s="4">
        <v>0</v>
      </c>
      <c r="L617" s="4">
        <v>0</v>
      </c>
      <c r="M617" s="2" t="s">
        <v>55</v>
      </c>
      <c r="N617" s="2" t="s">
        <v>56</v>
      </c>
      <c r="O617" s="2" t="s">
        <v>57</v>
      </c>
      <c r="P617" s="2" t="s">
        <v>3131</v>
      </c>
      <c r="Q617" s="2" t="s">
        <v>3132</v>
      </c>
      <c r="R617" s="2" t="s">
        <v>5166</v>
      </c>
      <c r="S617" s="2" t="s">
        <v>5167</v>
      </c>
      <c r="V617" s="2" t="s">
        <v>5168</v>
      </c>
      <c r="W617" s="2" t="s">
        <v>5169</v>
      </c>
      <c r="Y617" s="2" t="s">
        <v>64</v>
      </c>
      <c r="Z617" s="2" t="s">
        <v>3302</v>
      </c>
      <c r="AA617" s="2" t="s">
        <v>66</v>
      </c>
      <c r="AC617" s="2" t="s">
        <v>67</v>
      </c>
      <c r="AD617" s="2" t="s">
        <v>68</v>
      </c>
      <c r="AE617" s="2" t="s">
        <v>69</v>
      </c>
      <c r="AF617" s="2" t="s">
        <v>70</v>
      </c>
      <c r="AG617" s="2" t="s">
        <v>3131</v>
      </c>
      <c r="AK617" s="2" t="s">
        <v>5170</v>
      </c>
      <c r="AM617" s="2" t="s">
        <v>72</v>
      </c>
      <c r="AN617" s="2" t="s">
        <v>73</v>
      </c>
      <c r="AP617" s="2" t="s">
        <v>3144</v>
      </c>
      <c r="AT617" s="2" t="s">
        <v>114</v>
      </c>
      <c r="AU617" s="2" t="s">
        <v>75</v>
      </c>
      <c r="AW617" s="2" t="s">
        <v>5171</v>
      </c>
      <c r="AZ617" s="2" t="s">
        <v>116</v>
      </c>
    </row>
    <row r="618" spans="1:52" s="3" customFormat="1" x14ac:dyDescent="0.35">
      <c r="A618" s="2" t="s">
        <v>5172</v>
      </c>
      <c r="B618" s="4">
        <v>244453</v>
      </c>
      <c r="C618" s="2" t="s">
        <v>5173</v>
      </c>
      <c r="D618" s="2">
        <f t="shared" si="9"/>
        <v>3</v>
      </c>
      <c r="F618" s="2" t="s">
        <v>4502</v>
      </c>
      <c r="G618" s="2" t="s">
        <v>53</v>
      </c>
      <c r="H618" s="4">
        <v>1</v>
      </c>
      <c r="I618" s="4">
        <v>1</v>
      </c>
      <c r="J618" s="4">
        <v>0</v>
      </c>
      <c r="L618" s="4">
        <v>0</v>
      </c>
      <c r="M618" s="2" t="s">
        <v>55</v>
      </c>
      <c r="N618" s="2" t="s">
        <v>56</v>
      </c>
      <c r="O618" s="2" t="s">
        <v>57</v>
      </c>
      <c r="P618" s="2" t="s">
        <v>3131</v>
      </c>
      <c r="Q618" s="2" t="s">
        <v>3132</v>
      </c>
      <c r="R618" s="2" t="s">
        <v>5174</v>
      </c>
      <c r="S618" s="2" t="s">
        <v>5175</v>
      </c>
      <c r="V618" s="2" t="s">
        <v>5176</v>
      </c>
      <c r="W618" s="2" t="s">
        <v>5177</v>
      </c>
      <c r="Y618" s="2" t="s">
        <v>64</v>
      </c>
      <c r="Z618" s="2" t="s">
        <v>3302</v>
      </c>
      <c r="AA618" s="2" t="s">
        <v>66</v>
      </c>
      <c r="AC618" s="2" t="s">
        <v>67</v>
      </c>
      <c r="AD618" s="2" t="s">
        <v>68</v>
      </c>
      <c r="AE618" s="2" t="s">
        <v>69</v>
      </c>
      <c r="AF618" s="2" t="s">
        <v>70</v>
      </c>
      <c r="AG618" s="2" t="s">
        <v>3131</v>
      </c>
      <c r="AK618" s="2" t="s">
        <v>5178</v>
      </c>
      <c r="AM618" s="2" t="s">
        <v>72</v>
      </c>
      <c r="AN618" s="2" t="s">
        <v>73</v>
      </c>
      <c r="AP618" s="2" t="s">
        <v>3144</v>
      </c>
      <c r="AT618" s="2" t="s">
        <v>114</v>
      </c>
      <c r="AU618" s="2" t="s">
        <v>75</v>
      </c>
      <c r="AV618" s="2" t="s">
        <v>5179</v>
      </c>
      <c r="AW618" s="2" t="s">
        <v>5180</v>
      </c>
      <c r="AZ618" s="2" t="s">
        <v>116</v>
      </c>
    </row>
    <row r="619" spans="1:52" s="3" customFormat="1" x14ac:dyDescent="0.35">
      <c r="A619" s="2" t="s">
        <v>5181</v>
      </c>
      <c r="B619" s="4">
        <v>244452</v>
      </c>
      <c r="C619" s="2" t="s">
        <v>5182</v>
      </c>
      <c r="D619" s="2">
        <f t="shared" si="9"/>
        <v>3</v>
      </c>
      <c r="F619" s="2" t="s">
        <v>4502</v>
      </c>
      <c r="G619" s="2" t="s">
        <v>53</v>
      </c>
      <c r="H619" s="4">
        <v>1</v>
      </c>
      <c r="I619" s="4">
        <v>1</v>
      </c>
      <c r="J619" s="4">
        <v>0</v>
      </c>
      <c r="L619" s="4">
        <v>0</v>
      </c>
      <c r="M619" s="2" t="s">
        <v>55</v>
      </c>
      <c r="N619" s="2" t="s">
        <v>56</v>
      </c>
      <c r="O619" s="2" t="s">
        <v>57</v>
      </c>
      <c r="P619" s="2" t="s">
        <v>3131</v>
      </c>
      <c r="Q619" s="2" t="s">
        <v>3132</v>
      </c>
      <c r="R619" s="2" t="s">
        <v>5183</v>
      </c>
      <c r="S619" s="2" t="s">
        <v>5184</v>
      </c>
      <c r="V619" s="2" t="s">
        <v>5185</v>
      </c>
      <c r="W619" s="2" t="s">
        <v>5186</v>
      </c>
      <c r="Y619" s="2" t="s">
        <v>64</v>
      </c>
      <c r="Z619" s="2" t="s">
        <v>3302</v>
      </c>
      <c r="AA619" s="2" t="s">
        <v>66</v>
      </c>
      <c r="AC619" s="2" t="s">
        <v>67</v>
      </c>
      <c r="AD619" s="2" t="s">
        <v>68</v>
      </c>
      <c r="AE619" s="2" t="s">
        <v>69</v>
      </c>
      <c r="AF619" s="2" t="s">
        <v>70</v>
      </c>
      <c r="AG619" s="2" t="s">
        <v>3131</v>
      </c>
      <c r="AK619" s="2" t="s">
        <v>5187</v>
      </c>
      <c r="AM619" s="2" t="s">
        <v>72</v>
      </c>
      <c r="AN619" s="2" t="s">
        <v>73</v>
      </c>
      <c r="AP619" s="2" t="s">
        <v>3144</v>
      </c>
      <c r="AT619" s="2" t="s">
        <v>114</v>
      </c>
      <c r="AU619" s="2" t="s">
        <v>75</v>
      </c>
      <c r="AW619" s="2" t="s">
        <v>5188</v>
      </c>
      <c r="AZ619" s="2" t="s">
        <v>116</v>
      </c>
    </row>
    <row r="620" spans="1:52" s="3" customFormat="1" x14ac:dyDescent="0.35">
      <c r="A620" s="2" t="s">
        <v>5189</v>
      </c>
      <c r="B620" s="4">
        <v>244451</v>
      </c>
      <c r="C620" s="2" t="s">
        <v>5190</v>
      </c>
      <c r="D620" s="2">
        <f t="shared" si="9"/>
        <v>3</v>
      </c>
      <c r="F620" s="2" t="s">
        <v>4502</v>
      </c>
      <c r="G620" s="2" t="s">
        <v>53</v>
      </c>
      <c r="H620" s="4">
        <v>1</v>
      </c>
      <c r="I620" s="4">
        <v>1</v>
      </c>
      <c r="J620" s="4">
        <v>0</v>
      </c>
      <c r="L620" s="4">
        <v>0</v>
      </c>
      <c r="M620" s="2" t="s">
        <v>55</v>
      </c>
      <c r="N620" s="2" t="s">
        <v>56</v>
      </c>
      <c r="O620" s="2" t="s">
        <v>57</v>
      </c>
      <c r="P620" s="2" t="s">
        <v>4877</v>
      </c>
      <c r="Q620" s="2" t="s">
        <v>4878</v>
      </c>
      <c r="R620" s="2" t="s">
        <v>905</v>
      </c>
      <c r="S620" s="2" t="s">
        <v>5191</v>
      </c>
      <c r="V620" s="2" t="s">
        <v>5192</v>
      </c>
      <c r="W620" s="2" t="s">
        <v>908</v>
      </c>
      <c r="Y620" s="2" t="s">
        <v>64</v>
      </c>
      <c r="Z620" s="2" t="s">
        <v>3302</v>
      </c>
      <c r="AA620" s="2" t="s">
        <v>66</v>
      </c>
      <c r="AC620" s="2" t="s">
        <v>67</v>
      </c>
      <c r="AD620" s="2" t="s">
        <v>68</v>
      </c>
      <c r="AE620" s="2" t="s">
        <v>69</v>
      </c>
      <c r="AF620" s="2" t="s">
        <v>70</v>
      </c>
      <c r="AG620" s="2" t="s">
        <v>4877</v>
      </c>
      <c r="AK620" s="2" t="s">
        <v>5193</v>
      </c>
      <c r="AM620" s="2" t="s">
        <v>72</v>
      </c>
      <c r="AN620" s="2" t="s">
        <v>283</v>
      </c>
      <c r="AP620" s="2" t="s">
        <v>3758</v>
      </c>
      <c r="AU620" s="2" t="s">
        <v>75</v>
      </c>
      <c r="AV620" s="2" t="s">
        <v>5194</v>
      </c>
      <c r="AW620" s="2" t="s">
        <v>5195</v>
      </c>
      <c r="AZ620" s="2" t="s">
        <v>116</v>
      </c>
    </row>
    <row r="621" spans="1:52" s="3" customFormat="1" x14ac:dyDescent="0.35">
      <c r="A621" s="2" t="s">
        <v>5196</v>
      </c>
      <c r="B621" s="4">
        <v>244449</v>
      </c>
      <c r="C621" s="2" t="s">
        <v>5197</v>
      </c>
      <c r="D621" s="2">
        <f t="shared" si="9"/>
        <v>3</v>
      </c>
      <c r="F621" s="2" t="s">
        <v>4502</v>
      </c>
      <c r="G621" s="2" t="s">
        <v>53</v>
      </c>
      <c r="H621" s="4">
        <v>1</v>
      </c>
      <c r="I621" s="4">
        <v>1</v>
      </c>
      <c r="J621" s="4">
        <v>0</v>
      </c>
      <c r="L621" s="4">
        <v>0</v>
      </c>
      <c r="M621" s="2" t="s">
        <v>55</v>
      </c>
      <c r="N621" s="2" t="s">
        <v>56</v>
      </c>
      <c r="O621" s="2" t="s">
        <v>57</v>
      </c>
      <c r="P621" s="2" t="s">
        <v>3131</v>
      </c>
      <c r="Q621" s="2" t="s">
        <v>3132</v>
      </c>
      <c r="R621" s="2" t="s">
        <v>5198</v>
      </c>
      <c r="S621" s="2" t="s">
        <v>5199</v>
      </c>
      <c r="V621" s="2" t="s">
        <v>5200</v>
      </c>
      <c r="W621" s="2" t="s">
        <v>5201</v>
      </c>
      <c r="Y621" s="2" t="s">
        <v>64</v>
      </c>
      <c r="Z621" s="2" t="s">
        <v>3302</v>
      </c>
      <c r="AA621" s="2" t="s">
        <v>66</v>
      </c>
      <c r="AC621" s="2" t="s">
        <v>67</v>
      </c>
      <c r="AD621" s="2" t="s">
        <v>68</v>
      </c>
      <c r="AE621" s="2" t="s">
        <v>69</v>
      </c>
      <c r="AF621" s="2" t="s">
        <v>70</v>
      </c>
      <c r="AG621" s="2" t="s">
        <v>3131</v>
      </c>
      <c r="AK621" s="2" t="s">
        <v>5202</v>
      </c>
      <c r="AM621" s="2" t="s">
        <v>72</v>
      </c>
      <c r="AN621" s="2" t="s">
        <v>73</v>
      </c>
      <c r="AP621" s="2" t="s">
        <v>3144</v>
      </c>
      <c r="AT621" s="2" t="s">
        <v>114</v>
      </c>
      <c r="AU621" s="2" t="s">
        <v>75</v>
      </c>
      <c r="AW621" s="2" t="s">
        <v>5203</v>
      </c>
      <c r="AZ621" s="2" t="s">
        <v>116</v>
      </c>
    </row>
    <row r="622" spans="1:52" s="3" customFormat="1" x14ac:dyDescent="0.35">
      <c r="A622" s="2" t="s">
        <v>5204</v>
      </c>
      <c r="B622" s="4">
        <v>244416</v>
      </c>
      <c r="C622" s="2" t="s">
        <v>5205</v>
      </c>
      <c r="D622" s="2">
        <f t="shared" si="9"/>
        <v>3</v>
      </c>
      <c r="G622" s="2" t="s">
        <v>53</v>
      </c>
      <c r="H622" s="4">
        <v>1</v>
      </c>
      <c r="I622" s="4">
        <v>1</v>
      </c>
      <c r="J622" s="4">
        <v>0</v>
      </c>
      <c r="L622" s="4">
        <v>0</v>
      </c>
      <c r="M622" s="2" t="s">
        <v>55</v>
      </c>
      <c r="N622" s="2" t="s">
        <v>56</v>
      </c>
      <c r="O622" s="2" t="s">
        <v>57</v>
      </c>
      <c r="P622" s="2" t="s">
        <v>4887</v>
      </c>
      <c r="Q622" s="2" t="s">
        <v>4888</v>
      </c>
      <c r="R622" s="2" t="s">
        <v>5206</v>
      </c>
      <c r="S622" s="2" t="s">
        <v>5207</v>
      </c>
      <c r="V622" s="2" t="s">
        <v>5208</v>
      </c>
      <c r="W622" s="2" t="s">
        <v>5209</v>
      </c>
      <c r="Y622" s="2" t="s">
        <v>64</v>
      </c>
      <c r="Z622" s="2" t="s">
        <v>3302</v>
      </c>
      <c r="AA622" s="2" t="s">
        <v>66</v>
      </c>
      <c r="AC622" s="2" t="s">
        <v>67</v>
      </c>
      <c r="AD622" s="2" t="s">
        <v>68</v>
      </c>
      <c r="AE622" s="2" t="s">
        <v>69</v>
      </c>
      <c r="AF622" s="2" t="s">
        <v>70</v>
      </c>
      <c r="AG622" s="2" t="s">
        <v>4887</v>
      </c>
      <c r="AK622" s="2" t="s">
        <v>5210</v>
      </c>
      <c r="AM622" s="2" t="s">
        <v>72</v>
      </c>
      <c r="AN622" s="2" t="s">
        <v>232</v>
      </c>
      <c r="AP622" s="2" t="s">
        <v>4546</v>
      </c>
      <c r="AU622" s="2" t="s">
        <v>75</v>
      </c>
      <c r="AW622" s="2" t="s">
        <v>5211</v>
      </c>
      <c r="AZ622" s="2" t="s">
        <v>116</v>
      </c>
    </row>
    <row r="623" spans="1:52" s="3" customFormat="1" x14ac:dyDescent="0.35">
      <c r="A623" s="2" t="s">
        <v>5212</v>
      </c>
      <c r="B623" s="4">
        <v>244360</v>
      </c>
      <c r="C623" s="2" t="s">
        <v>5213</v>
      </c>
      <c r="D623" s="2">
        <f t="shared" si="9"/>
        <v>3</v>
      </c>
      <c r="G623" s="2" t="s">
        <v>53</v>
      </c>
      <c r="H623" s="4">
        <v>1</v>
      </c>
      <c r="I623" s="4">
        <v>1</v>
      </c>
      <c r="J623" s="4">
        <v>0</v>
      </c>
      <c r="L623" s="4">
        <v>0</v>
      </c>
      <c r="M623" s="2" t="s">
        <v>55</v>
      </c>
      <c r="N623" s="2" t="s">
        <v>56</v>
      </c>
      <c r="O623" s="2" t="s">
        <v>57</v>
      </c>
      <c r="P623" s="2" t="s">
        <v>4887</v>
      </c>
      <c r="Q623" s="2" t="s">
        <v>4888</v>
      </c>
      <c r="R623" s="2" t="s">
        <v>5214</v>
      </c>
      <c r="S623" s="2" t="s">
        <v>5215</v>
      </c>
      <c r="V623" s="2" t="s">
        <v>5216</v>
      </c>
      <c r="W623" s="2" t="s">
        <v>5217</v>
      </c>
      <c r="Y623" s="2" t="s">
        <v>64</v>
      </c>
      <c r="Z623" s="2" t="s">
        <v>3302</v>
      </c>
      <c r="AA623" s="2" t="s">
        <v>66</v>
      </c>
      <c r="AC623" s="2" t="s">
        <v>67</v>
      </c>
      <c r="AD623" s="2" t="s">
        <v>68</v>
      </c>
      <c r="AE623" s="2" t="s">
        <v>69</v>
      </c>
      <c r="AF623" s="2" t="s">
        <v>70</v>
      </c>
      <c r="AG623" s="2" t="s">
        <v>4887</v>
      </c>
      <c r="AK623" s="2" t="s">
        <v>5218</v>
      </c>
      <c r="AM623" s="2" t="s">
        <v>72</v>
      </c>
      <c r="AN623" s="2" t="s">
        <v>283</v>
      </c>
      <c r="AP623" s="2" t="s">
        <v>4546</v>
      </c>
      <c r="AU623" s="2" t="s">
        <v>75</v>
      </c>
      <c r="AW623" s="2" t="s">
        <v>5219</v>
      </c>
      <c r="AZ623" s="2" t="s">
        <v>116</v>
      </c>
    </row>
    <row r="624" spans="1:52" s="3" customFormat="1" x14ac:dyDescent="0.35">
      <c r="A624" s="2" t="s">
        <v>5220</v>
      </c>
      <c r="B624" s="4">
        <v>244356</v>
      </c>
      <c r="C624" s="2" t="s">
        <v>5221</v>
      </c>
      <c r="D624" s="2">
        <f t="shared" si="9"/>
        <v>3</v>
      </c>
      <c r="F624" s="2" t="s">
        <v>5222</v>
      </c>
      <c r="G624" s="2" t="s">
        <v>53</v>
      </c>
      <c r="H624" s="4">
        <v>1</v>
      </c>
      <c r="I624" s="4">
        <v>1</v>
      </c>
      <c r="J624" s="4">
        <v>0</v>
      </c>
      <c r="L624" s="4">
        <v>0</v>
      </c>
      <c r="M624" s="2" t="s">
        <v>55</v>
      </c>
      <c r="N624" s="2" t="s">
        <v>56</v>
      </c>
      <c r="O624" s="2" t="s">
        <v>57</v>
      </c>
      <c r="P624" s="2" t="s">
        <v>4633</v>
      </c>
      <c r="Q624" s="2" t="s">
        <v>4634</v>
      </c>
      <c r="R624" s="2" t="s">
        <v>5115</v>
      </c>
      <c r="S624" s="2" t="s">
        <v>5116</v>
      </c>
      <c r="V624" s="2" t="s">
        <v>5117</v>
      </c>
      <c r="W624" s="2" t="s">
        <v>5118</v>
      </c>
      <c r="Y624" s="2" t="s">
        <v>64</v>
      </c>
      <c r="Z624" s="2" t="s">
        <v>3302</v>
      </c>
      <c r="AA624" s="2" t="s">
        <v>66</v>
      </c>
      <c r="AC624" s="2" t="s">
        <v>67</v>
      </c>
      <c r="AD624" s="2" t="s">
        <v>68</v>
      </c>
      <c r="AE624" s="2" t="s">
        <v>69</v>
      </c>
      <c r="AF624" s="2" t="s">
        <v>70</v>
      </c>
      <c r="AG624" s="2" t="s">
        <v>4633</v>
      </c>
      <c r="AK624" s="2" t="s">
        <v>5223</v>
      </c>
      <c r="AM624" s="2" t="s">
        <v>72</v>
      </c>
      <c r="AN624" s="2" t="s">
        <v>283</v>
      </c>
      <c r="AP624" s="2" t="s">
        <v>4546</v>
      </c>
      <c r="AU624" s="2" t="s">
        <v>75</v>
      </c>
      <c r="AW624" s="2" t="s">
        <v>5120</v>
      </c>
      <c r="AZ624" s="2" t="s">
        <v>116</v>
      </c>
    </row>
    <row r="625" spans="1:52" s="3" customFormat="1" x14ac:dyDescent="0.35">
      <c r="A625" s="2" t="s">
        <v>5229</v>
      </c>
      <c r="B625" s="4">
        <v>244349</v>
      </c>
      <c r="C625" s="2" t="s">
        <v>5230</v>
      </c>
      <c r="D625" s="2">
        <f t="shared" si="9"/>
        <v>3</v>
      </c>
      <c r="F625" s="2" t="s">
        <v>5222</v>
      </c>
      <c r="G625" s="2" t="s">
        <v>53</v>
      </c>
      <c r="H625" s="4">
        <v>2</v>
      </c>
      <c r="I625" s="4">
        <v>1</v>
      </c>
      <c r="J625" s="4">
        <v>0</v>
      </c>
      <c r="L625" s="4">
        <v>0</v>
      </c>
      <c r="M625" s="2" t="s">
        <v>55</v>
      </c>
      <c r="N625" s="2" t="s">
        <v>56</v>
      </c>
      <c r="O625" s="2" t="s">
        <v>57</v>
      </c>
      <c r="P625" s="2" t="s">
        <v>4633</v>
      </c>
      <c r="Q625" s="2" t="s">
        <v>4634</v>
      </c>
      <c r="R625" s="2" t="s">
        <v>5231</v>
      </c>
      <c r="S625" s="2" t="s">
        <v>5232</v>
      </c>
      <c r="V625" s="2" t="s">
        <v>5233</v>
      </c>
      <c r="W625" s="2" t="s">
        <v>5234</v>
      </c>
      <c r="Y625" s="2" t="s">
        <v>64</v>
      </c>
      <c r="Z625" s="2" t="s">
        <v>3302</v>
      </c>
      <c r="AA625" s="2" t="s">
        <v>66</v>
      </c>
      <c r="AC625" s="2" t="s">
        <v>67</v>
      </c>
      <c r="AD625" s="2" t="s">
        <v>68</v>
      </c>
      <c r="AE625" s="2" t="s">
        <v>69</v>
      </c>
      <c r="AF625" s="2" t="s">
        <v>70</v>
      </c>
      <c r="AG625" s="2" t="s">
        <v>4633</v>
      </c>
      <c r="AK625" s="2" t="s">
        <v>5235</v>
      </c>
      <c r="AM625" s="2" t="s">
        <v>72</v>
      </c>
      <c r="AN625" s="2" t="s">
        <v>73</v>
      </c>
      <c r="AP625" s="2" t="s">
        <v>4546</v>
      </c>
      <c r="AU625" s="2" t="s">
        <v>75</v>
      </c>
      <c r="AW625" s="2" t="s">
        <v>5236</v>
      </c>
      <c r="AZ625" s="2" t="s">
        <v>116</v>
      </c>
    </row>
    <row r="626" spans="1:52" s="3" customFormat="1" x14ac:dyDescent="0.35">
      <c r="A626" s="2" t="s">
        <v>5237</v>
      </c>
      <c r="B626" s="4">
        <v>244347</v>
      </c>
      <c r="C626" s="2" t="s">
        <v>5238</v>
      </c>
      <c r="D626" s="2">
        <f t="shared" si="9"/>
        <v>3</v>
      </c>
      <c r="F626" s="2" t="s">
        <v>5222</v>
      </c>
      <c r="G626" s="2" t="s">
        <v>53</v>
      </c>
      <c r="H626" s="4">
        <v>1</v>
      </c>
      <c r="I626" s="4">
        <v>1</v>
      </c>
      <c r="J626" s="4">
        <v>0</v>
      </c>
      <c r="L626" s="4">
        <v>0</v>
      </c>
      <c r="M626" s="2" t="s">
        <v>55</v>
      </c>
      <c r="N626" s="2" t="s">
        <v>56</v>
      </c>
      <c r="O626" s="2" t="s">
        <v>57</v>
      </c>
      <c r="P626" s="2" t="s">
        <v>4633</v>
      </c>
      <c r="Q626" s="2" t="s">
        <v>4634</v>
      </c>
      <c r="R626" s="2" t="s">
        <v>5239</v>
      </c>
      <c r="S626" s="2" t="s">
        <v>5240</v>
      </c>
      <c r="V626" s="2" t="s">
        <v>5241</v>
      </c>
      <c r="W626" s="2" t="s">
        <v>5242</v>
      </c>
      <c r="Y626" s="2" t="s">
        <v>64</v>
      </c>
      <c r="Z626" s="2" t="s">
        <v>3302</v>
      </c>
      <c r="AA626" s="2" t="s">
        <v>66</v>
      </c>
      <c r="AC626" s="2" t="s">
        <v>67</v>
      </c>
      <c r="AD626" s="2" t="s">
        <v>68</v>
      </c>
      <c r="AE626" s="2" t="s">
        <v>69</v>
      </c>
      <c r="AF626" s="2" t="s">
        <v>70</v>
      </c>
      <c r="AG626" s="2" t="s">
        <v>4633</v>
      </c>
      <c r="AK626" s="2" t="s">
        <v>5243</v>
      </c>
      <c r="AM626" s="2" t="s">
        <v>72</v>
      </c>
      <c r="AN626" s="2" t="s">
        <v>73</v>
      </c>
      <c r="AP626" s="2" t="s">
        <v>4546</v>
      </c>
      <c r="AU626" s="2" t="s">
        <v>75</v>
      </c>
      <c r="AW626" s="2" t="s">
        <v>5244</v>
      </c>
      <c r="AZ626" s="2" t="s">
        <v>116</v>
      </c>
    </row>
    <row r="627" spans="1:52" s="3" customFormat="1" x14ac:dyDescent="0.35">
      <c r="A627" s="2" t="s">
        <v>5245</v>
      </c>
      <c r="B627" s="4">
        <v>244346</v>
      </c>
      <c r="C627" s="2" t="s">
        <v>5246</v>
      </c>
      <c r="D627" s="2">
        <f t="shared" si="9"/>
        <v>3</v>
      </c>
      <c r="G627" s="2" t="s">
        <v>53</v>
      </c>
      <c r="H627" s="4">
        <v>1</v>
      </c>
      <c r="I627" s="4">
        <v>1</v>
      </c>
      <c r="J627" s="4">
        <v>0</v>
      </c>
      <c r="L627" s="4">
        <v>0</v>
      </c>
      <c r="M627" s="2" t="s">
        <v>55</v>
      </c>
      <c r="N627" s="2" t="s">
        <v>56</v>
      </c>
      <c r="O627" s="2" t="s">
        <v>57</v>
      </c>
      <c r="P627" s="2" t="s">
        <v>4887</v>
      </c>
      <c r="Q627" s="2" t="s">
        <v>4888</v>
      </c>
      <c r="R627" s="2" t="s">
        <v>5247</v>
      </c>
      <c r="S627" s="2" t="s">
        <v>5248</v>
      </c>
      <c r="V627" s="2" t="s">
        <v>5249</v>
      </c>
      <c r="W627" s="2" t="s">
        <v>5250</v>
      </c>
      <c r="Y627" s="2" t="s">
        <v>64</v>
      </c>
      <c r="Z627" s="2" t="s">
        <v>3302</v>
      </c>
      <c r="AA627" s="2" t="s">
        <v>66</v>
      </c>
      <c r="AC627" s="2" t="s">
        <v>67</v>
      </c>
      <c r="AD627" s="2" t="s">
        <v>68</v>
      </c>
      <c r="AE627" s="2" t="s">
        <v>69</v>
      </c>
      <c r="AF627" s="2" t="s">
        <v>70</v>
      </c>
      <c r="AG627" s="2" t="s">
        <v>4887</v>
      </c>
      <c r="AK627" s="2" t="s">
        <v>5251</v>
      </c>
      <c r="AM627" s="2" t="s">
        <v>72</v>
      </c>
      <c r="AN627" s="2" t="s">
        <v>73</v>
      </c>
      <c r="AP627" s="2" t="s">
        <v>4546</v>
      </c>
      <c r="AU627" s="2" t="s">
        <v>75</v>
      </c>
      <c r="AW627" s="2" t="s">
        <v>5252</v>
      </c>
      <c r="AZ627" s="2" t="s">
        <v>116</v>
      </c>
    </row>
    <row r="628" spans="1:52" s="3" customFormat="1" x14ac:dyDescent="0.35">
      <c r="A628" s="2" t="s">
        <v>5253</v>
      </c>
      <c r="B628" s="4">
        <v>244345</v>
      </c>
      <c r="C628" s="2" t="s">
        <v>5254</v>
      </c>
      <c r="D628" s="2">
        <f t="shared" si="9"/>
        <v>3</v>
      </c>
      <c r="G628" s="2" t="s">
        <v>53</v>
      </c>
      <c r="H628" s="4">
        <v>1</v>
      </c>
      <c r="I628" s="4">
        <v>1</v>
      </c>
      <c r="J628" s="4">
        <v>0</v>
      </c>
      <c r="L628" s="4">
        <v>0</v>
      </c>
      <c r="M628" s="2" t="s">
        <v>55</v>
      </c>
      <c r="N628" s="2" t="s">
        <v>56</v>
      </c>
      <c r="O628" s="2" t="s">
        <v>57</v>
      </c>
      <c r="P628" s="2" t="s">
        <v>4887</v>
      </c>
      <c r="Q628" s="2" t="s">
        <v>4888</v>
      </c>
      <c r="R628" s="2" t="s">
        <v>5255</v>
      </c>
      <c r="S628" s="2" t="s">
        <v>5256</v>
      </c>
      <c r="V628" s="2" t="s">
        <v>4418</v>
      </c>
      <c r="W628" s="2" t="s">
        <v>5257</v>
      </c>
      <c r="Y628" s="2" t="s">
        <v>64</v>
      </c>
      <c r="Z628" s="2" t="s">
        <v>3302</v>
      </c>
      <c r="AA628" s="2" t="s">
        <v>66</v>
      </c>
      <c r="AC628" s="2" t="s">
        <v>67</v>
      </c>
      <c r="AD628" s="2" t="s">
        <v>68</v>
      </c>
      <c r="AE628" s="2" t="s">
        <v>69</v>
      </c>
      <c r="AF628" s="2" t="s">
        <v>70</v>
      </c>
      <c r="AG628" s="2" t="s">
        <v>4887</v>
      </c>
      <c r="AK628" s="2" t="s">
        <v>5258</v>
      </c>
      <c r="AM628" s="2" t="s">
        <v>72</v>
      </c>
      <c r="AN628" s="2" t="s">
        <v>73</v>
      </c>
      <c r="AP628" s="2" t="s">
        <v>4546</v>
      </c>
      <c r="AU628" s="2" t="s">
        <v>75</v>
      </c>
      <c r="AW628" s="2" t="s">
        <v>5259</v>
      </c>
      <c r="AZ628" s="2" t="s">
        <v>116</v>
      </c>
    </row>
    <row r="629" spans="1:52" s="3" customFormat="1" x14ac:dyDescent="0.35">
      <c r="A629" s="2" t="s">
        <v>5260</v>
      </c>
      <c r="B629" s="4">
        <v>244343</v>
      </c>
      <c r="C629" s="2" t="s">
        <v>5261</v>
      </c>
      <c r="D629" s="2">
        <f t="shared" si="9"/>
        <v>3</v>
      </c>
      <c r="G629" s="2" t="s">
        <v>53</v>
      </c>
      <c r="H629" s="4">
        <v>1</v>
      </c>
      <c r="I629" s="4">
        <v>1</v>
      </c>
      <c r="J629" s="4">
        <v>0</v>
      </c>
      <c r="L629" s="4">
        <v>0</v>
      </c>
      <c r="M629" s="2" t="s">
        <v>55</v>
      </c>
      <c r="N629" s="2" t="s">
        <v>56</v>
      </c>
      <c r="O629" s="2" t="s">
        <v>57</v>
      </c>
      <c r="P629" s="2" t="s">
        <v>4887</v>
      </c>
      <c r="Q629" s="2" t="s">
        <v>4888</v>
      </c>
      <c r="R629" s="2" t="s">
        <v>5262</v>
      </c>
      <c r="S629" s="2" t="s">
        <v>5263</v>
      </c>
      <c r="V629" s="2" t="s">
        <v>5264</v>
      </c>
      <c r="W629" s="2" t="s">
        <v>5265</v>
      </c>
      <c r="Y629" s="2" t="s">
        <v>64</v>
      </c>
      <c r="Z629" s="2" t="s">
        <v>3302</v>
      </c>
      <c r="AA629" s="2" t="s">
        <v>66</v>
      </c>
      <c r="AC629" s="2" t="s">
        <v>67</v>
      </c>
      <c r="AD629" s="2" t="s">
        <v>68</v>
      </c>
      <c r="AE629" s="2" t="s">
        <v>69</v>
      </c>
      <c r="AF629" s="2" t="s">
        <v>70</v>
      </c>
      <c r="AG629" s="2" t="s">
        <v>4887</v>
      </c>
      <c r="AK629" s="2" t="s">
        <v>5266</v>
      </c>
      <c r="AM629" s="2" t="s">
        <v>72</v>
      </c>
      <c r="AN629" s="2" t="s">
        <v>73</v>
      </c>
      <c r="AP629" s="2" t="s">
        <v>4546</v>
      </c>
      <c r="AU629" s="2" t="s">
        <v>75</v>
      </c>
      <c r="AW629" s="2" t="s">
        <v>5267</v>
      </c>
      <c r="AZ629" s="2" t="s">
        <v>116</v>
      </c>
    </row>
    <row r="630" spans="1:52" s="3" customFormat="1" x14ac:dyDescent="0.35">
      <c r="A630" s="2" t="s">
        <v>5268</v>
      </c>
      <c r="B630" s="4">
        <v>244342</v>
      </c>
      <c r="C630" s="2" t="s">
        <v>5269</v>
      </c>
      <c r="D630" s="2">
        <f t="shared" si="9"/>
        <v>3</v>
      </c>
      <c r="F630" s="2" t="s">
        <v>5222</v>
      </c>
      <c r="G630" s="2" t="s">
        <v>53</v>
      </c>
      <c r="H630" s="4">
        <v>1</v>
      </c>
      <c r="I630" s="4">
        <v>1</v>
      </c>
      <c r="J630" s="4">
        <v>0</v>
      </c>
      <c r="L630" s="4">
        <v>0</v>
      </c>
      <c r="M630" s="2" t="s">
        <v>55</v>
      </c>
      <c r="N630" s="2" t="s">
        <v>56</v>
      </c>
      <c r="O630" s="2" t="s">
        <v>57</v>
      </c>
      <c r="P630" s="2" t="s">
        <v>4877</v>
      </c>
      <c r="Q630" s="2" t="s">
        <v>4878</v>
      </c>
      <c r="R630" s="2" t="s">
        <v>5270</v>
      </c>
      <c r="S630" s="2" t="s">
        <v>5271</v>
      </c>
      <c r="V630" s="2" t="s">
        <v>5272</v>
      </c>
      <c r="W630" s="2" t="s">
        <v>5273</v>
      </c>
      <c r="Y630" s="2" t="s">
        <v>64</v>
      </c>
      <c r="Z630" s="2" t="s">
        <v>3302</v>
      </c>
      <c r="AA630" s="2" t="s">
        <v>66</v>
      </c>
      <c r="AC630" s="2" t="s">
        <v>67</v>
      </c>
      <c r="AD630" s="2" t="s">
        <v>68</v>
      </c>
      <c r="AE630" s="2" t="s">
        <v>69</v>
      </c>
      <c r="AF630" s="2" t="s">
        <v>70</v>
      </c>
      <c r="AG630" s="2" t="s">
        <v>4877</v>
      </c>
      <c r="AK630" s="2" t="s">
        <v>5274</v>
      </c>
      <c r="AM630" s="2" t="s">
        <v>72</v>
      </c>
      <c r="AN630" s="2" t="s">
        <v>595</v>
      </c>
      <c r="AP630" s="2" t="s">
        <v>3758</v>
      </c>
      <c r="AU630" s="2" t="s">
        <v>75</v>
      </c>
      <c r="AW630" s="2" t="s">
        <v>5275</v>
      </c>
      <c r="AZ630" s="2" t="s">
        <v>116</v>
      </c>
    </row>
    <row r="631" spans="1:52" s="3" customFormat="1" x14ac:dyDescent="0.35">
      <c r="A631" s="2" t="s">
        <v>5276</v>
      </c>
      <c r="B631" s="4">
        <v>244341</v>
      </c>
      <c r="C631" s="2" t="s">
        <v>5277</v>
      </c>
      <c r="D631" s="2">
        <f t="shared" si="9"/>
        <v>3</v>
      </c>
      <c r="G631" s="2" t="s">
        <v>53</v>
      </c>
      <c r="H631" s="4">
        <v>1</v>
      </c>
      <c r="I631" s="4">
        <v>1</v>
      </c>
      <c r="J631" s="4">
        <v>0</v>
      </c>
      <c r="L631" s="4">
        <v>0</v>
      </c>
      <c r="M631" s="2" t="s">
        <v>55</v>
      </c>
      <c r="N631" s="2" t="s">
        <v>56</v>
      </c>
      <c r="O631" s="2" t="s">
        <v>57</v>
      </c>
      <c r="P631" s="2" t="s">
        <v>4887</v>
      </c>
      <c r="Q631" s="2" t="s">
        <v>4888</v>
      </c>
      <c r="R631" s="2" t="s">
        <v>5278</v>
      </c>
      <c r="S631" s="2" t="s">
        <v>5279</v>
      </c>
      <c r="V631" s="2" t="s">
        <v>5280</v>
      </c>
      <c r="W631" s="2" t="s">
        <v>5281</v>
      </c>
      <c r="Y631" s="2" t="s">
        <v>64</v>
      </c>
      <c r="Z631" s="2" t="s">
        <v>3302</v>
      </c>
      <c r="AA631" s="2" t="s">
        <v>66</v>
      </c>
      <c r="AC631" s="2" t="s">
        <v>67</v>
      </c>
      <c r="AD631" s="2" t="s">
        <v>68</v>
      </c>
      <c r="AE631" s="2" t="s">
        <v>69</v>
      </c>
      <c r="AF631" s="2" t="s">
        <v>70</v>
      </c>
      <c r="AG631" s="2" t="s">
        <v>4887</v>
      </c>
      <c r="AK631" s="2" t="s">
        <v>5282</v>
      </c>
      <c r="AM631" s="2" t="s">
        <v>72</v>
      </c>
      <c r="AN631" s="2" t="s">
        <v>73</v>
      </c>
      <c r="AP631" s="2" t="s">
        <v>4546</v>
      </c>
      <c r="AU631" s="2" t="s">
        <v>75</v>
      </c>
      <c r="AW631" s="2" t="s">
        <v>5283</v>
      </c>
      <c r="AZ631" s="2" t="s">
        <v>116</v>
      </c>
    </row>
    <row r="632" spans="1:52" s="3" customFormat="1" x14ac:dyDescent="0.35">
      <c r="A632" s="2" t="s">
        <v>5284</v>
      </c>
      <c r="B632" s="4">
        <v>244337</v>
      </c>
      <c r="C632" s="2" t="s">
        <v>5285</v>
      </c>
      <c r="D632" s="2">
        <f t="shared" si="9"/>
        <v>3</v>
      </c>
      <c r="G632" s="2" t="s">
        <v>53</v>
      </c>
      <c r="H632" s="4">
        <v>1</v>
      </c>
      <c r="I632" s="4">
        <v>1</v>
      </c>
      <c r="J632" s="4">
        <v>0</v>
      </c>
      <c r="L632" s="4">
        <v>0</v>
      </c>
      <c r="M632" s="2" t="s">
        <v>55</v>
      </c>
      <c r="N632" s="2" t="s">
        <v>56</v>
      </c>
      <c r="O632" s="2" t="s">
        <v>57</v>
      </c>
      <c r="P632" s="2" t="s">
        <v>4887</v>
      </c>
      <c r="Q632" s="2" t="s">
        <v>4888</v>
      </c>
      <c r="R632" s="2" t="s">
        <v>5286</v>
      </c>
      <c r="T632" s="2" t="s">
        <v>5287</v>
      </c>
      <c r="U632" s="2" t="s">
        <v>5288</v>
      </c>
      <c r="V632" s="2" t="s">
        <v>5289</v>
      </c>
      <c r="W632" s="2" t="s">
        <v>5290</v>
      </c>
      <c r="X632" s="2" t="s">
        <v>5291</v>
      </c>
      <c r="Y632" s="2" t="s">
        <v>5292</v>
      </c>
      <c r="Z632" s="2" t="s">
        <v>5293</v>
      </c>
      <c r="AA632" s="2" t="s">
        <v>5294</v>
      </c>
      <c r="AB632" s="2" t="s">
        <v>5295</v>
      </c>
      <c r="AC632" s="2" t="s">
        <v>5296</v>
      </c>
      <c r="AD632" s="2" t="s">
        <v>68</v>
      </c>
      <c r="AE632" s="2" t="s">
        <v>69</v>
      </c>
      <c r="AF632" s="2" t="s">
        <v>70</v>
      </c>
      <c r="AG632" s="2" t="s">
        <v>5297</v>
      </c>
      <c r="AK632" s="2" t="s">
        <v>5298</v>
      </c>
      <c r="AM632" s="2" t="s">
        <v>72</v>
      </c>
      <c r="AN632" s="2" t="s">
        <v>1046</v>
      </c>
      <c r="AP632" s="2" t="s">
        <v>4546</v>
      </c>
      <c r="AU632" s="2" t="s">
        <v>75</v>
      </c>
      <c r="AV632" s="2" t="s">
        <v>5299</v>
      </c>
      <c r="AW632" s="2" t="s">
        <v>5300</v>
      </c>
      <c r="AZ632" s="2" t="s">
        <v>116</v>
      </c>
    </row>
    <row r="633" spans="1:52" s="3" customFormat="1" x14ac:dyDescent="0.35">
      <c r="A633" s="2" t="s">
        <v>5301</v>
      </c>
      <c r="B633" s="4">
        <v>244336</v>
      </c>
      <c r="C633" s="2" t="s">
        <v>5285</v>
      </c>
      <c r="D633" s="2">
        <f t="shared" si="9"/>
        <v>3</v>
      </c>
      <c r="F633" s="2" t="s">
        <v>5222</v>
      </c>
      <c r="G633" s="2" t="s">
        <v>53</v>
      </c>
      <c r="H633" s="4">
        <v>1</v>
      </c>
      <c r="I633" s="4">
        <v>1</v>
      </c>
      <c r="J633" s="4">
        <v>0</v>
      </c>
      <c r="L633" s="4">
        <v>0</v>
      </c>
      <c r="M633" s="2" t="s">
        <v>55</v>
      </c>
      <c r="N633" s="2" t="s">
        <v>56</v>
      </c>
      <c r="O633" s="2" t="s">
        <v>57</v>
      </c>
      <c r="P633" s="2" t="s">
        <v>4633</v>
      </c>
      <c r="Q633" s="2" t="s">
        <v>4634</v>
      </c>
      <c r="R633" s="2" t="s">
        <v>5302</v>
      </c>
      <c r="S633" s="2" t="s">
        <v>5303</v>
      </c>
      <c r="V633" s="2" t="s">
        <v>5304</v>
      </c>
      <c r="W633" s="2" t="s">
        <v>5305</v>
      </c>
      <c r="Y633" s="2" t="s">
        <v>64</v>
      </c>
      <c r="Z633" s="2" t="s">
        <v>3302</v>
      </c>
      <c r="AA633" s="2" t="s">
        <v>66</v>
      </c>
      <c r="AC633" s="2" t="s">
        <v>67</v>
      </c>
      <c r="AD633" s="2" t="s">
        <v>68</v>
      </c>
      <c r="AE633" s="2" t="s">
        <v>69</v>
      </c>
      <c r="AF633" s="2" t="s">
        <v>70</v>
      </c>
      <c r="AG633" s="2" t="s">
        <v>4633</v>
      </c>
      <c r="AK633" s="2" t="s">
        <v>5306</v>
      </c>
      <c r="AM633" s="2" t="s">
        <v>72</v>
      </c>
      <c r="AN633" s="2" t="s">
        <v>249</v>
      </c>
      <c r="AP633" s="2" t="s">
        <v>4546</v>
      </c>
      <c r="AU633" s="2" t="s">
        <v>75</v>
      </c>
      <c r="AW633" s="2" t="s">
        <v>5307</v>
      </c>
      <c r="AZ633" s="2" t="s">
        <v>116</v>
      </c>
    </row>
    <row r="634" spans="1:52" s="3" customFormat="1" x14ac:dyDescent="0.35">
      <c r="A634" s="2" t="s">
        <v>5308</v>
      </c>
      <c r="B634" s="4">
        <v>244335</v>
      </c>
      <c r="C634" s="2" t="s">
        <v>5309</v>
      </c>
      <c r="D634" s="2">
        <f t="shared" si="9"/>
        <v>3</v>
      </c>
      <c r="G634" s="2" t="s">
        <v>53</v>
      </c>
      <c r="H634" s="4">
        <v>1</v>
      </c>
      <c r="I634" s="4">
        <v>1</v>
      </c>
      <c r="J634" s="4">
        <v>0</v>
      </c>
      <c r="L634" s="4">
        <v>0</v>
      </c>
      <c r="M634" s="2" t="s">
        <v>55</v>
      </c>
      <c r="N634" s="2" t="s">
        <v>56</v>
      </c>
      <c r="O634" s="2" t="s">
        <v>57</v>
      </c>
      <c r="P634" s="2" t="s">
        <v>4887</v>
      </c>
      <c r="Q634" s="2" t="s">
        <v>4888</v>
      </c>
      <c r="R634" s="2" t="s">
        <v>5310</v>
      </c>
      <c r="S634" s="2" t="s">
        <v>5311</v>
      </c>
      <c r="V634" s="2" t="s">
        <v>5312</v>
      </c>
      <c r="W634" s="2" t="s">
        <v>5313</v>
      </c>
      <c r="Y634" s="2" t="s">
        <v>64</v>
      </c>
      <c r="Z634" s="2" t="s">
        <v>3302</v>
      </c>
      <c r="AA634" s="2" t="s">
        <v>66</v>
      </c>
      <c r="AC634" s="2" t="s">
        <v>67</v>
      </c>
      <c r="AD634" s="2" t="s">
        <v>68</v>
      </c>
      <c r="AE634" s="2" t="s">
        <v>69</v>
      </c>
      <c r="AF634" s="2" t="s">
        <v>70</v>
      </c>
      <c r="AG634" s="2" t="s">
        <v>4887</v>
      </c>
      <c r="AK634" s="2" t="s">
        <v>5314</v>
      </c>
      <c r="AM634" s="2" t="s">
        <v>72</v>
      </c>
      <c r="AN634" s="2" t="s">
        <v>249</v>
      </c>
      <c r="AP634" s="2" t="s">
        <v>4546</v>
      </c>
      <c r="AU634" s="2" t="s">
        <v>75</v>
      </c>
      <c r="AW634" s="2" t="s">
        <v>5315</v>
      </c>
      <c r="AZ634" s="2" t="s">
        <v>116</v>
      </c>
    </row>
    <row r="635" spans="1:52" s="3" customFormat="1" x14ac:dyDescent="0.35">
      <c r="A635" s="2" t="s">
        <v>5316</v>
      </c>
      <c r="B635" s="4">
        <v>244334</v>
      </c>
      <c r="C635" s="2" t="s">
        <v>5317</v>
      </c>
      <c r="D635" s="2">
        <f t="shared" si="9"/>
        <v>3</v>
      </c>
      <c r="G635" s="2" t="s">
        <v>53</v>
      </c>
      <c r="H635" s="4">
        <v>1</v>
      </c>
      <c r="I635" s="4">
        <v>1</v>
      </c>
      <c r="J635" s="4">
        <v>0</v>
      </c>
      <c r="L635" s="4">
        <v>0</v>
      </c>
      <c r="M635" s="2" t="s">
        <v>55</v>
      </c>
      <c r="N635" s="2" t="s">
        <v>56</v>
      </c>
      <c r="O635" s="2" t="s">
        <v>57</v>
      </c>
      <c r="P635" s="2" t="s">
        <v>4887</v>
      </c>
      <c r="Q635" s="2" t="s">
        <v>4888</v>
      </c>
      <c r="R635" s="2" t="s">
        <v>5318</v>
      </c>
      <c r="S635" s="2" t="s">
        <v>5319</v>
      </c>
      <c r="V635" s="2" t="s">
        <v>5320</v>
      </c>
      <c r="W635" s="2" t="s">
        <v>5321</v>
      </c>
      <c r="Y635" s="2" t="s">
        <v>64</v>
      </c>
      <c r="Z635" s="2" t="s">
        <v>3302</v>
      </c>
      <c r="AA635" s="2" t="s">
        <v>66</v>
      </c>
      <c r="AC635" s="2" t="s">
        <v>67</v>
      </c>
      <c r="AD635" s="2" t="s">
        <v>68</v>
      </c>
      <c r="AE635" s="2" t="s">
        <v>69</v>
      </c>
      <c r="AF635" s="2" t="s">
        <v>70</v>
      </c>
      <c r="AG635" s="2" t="s">
        <v>4887</v>
      </c>
      <c r="AK635" s="2" t="s">
        <v>5322</v>
      </c>
      <c r="AM635" s="2" t="s">
        <v>72</v>
      </c>
      <c r="AN635" s="2" t="s">
        <v>249</v>
      </c>
      <c r="AP635" s="2" t="s">
        <v>4546</v>
      </c>
      <c r="AU635" s="2" t="s">
        <v>75</v>
      </c>
      <c r="AW635" s="2" t="s">
        <v>5323</v>
      </c>
      <c r="AZ635" s="2" t="s">
        <v>116</v>
      </c>
    </row>
    <row r="636" spans="1:52" s="3" customFormat="1" x14ac:dyDescent="0.35">
      <c r="A636" s="2" t="s">
        <v>5324</v>
      </c>
      <c r="B636" s="4">
        <v>244333</v>
      </c>
      <c r="C636" s="2" t="s">
        <v>5325</v>
      </c>
      <c r="D636" s="2">
        <f t="shared" si="9"/>
        <v>3</v>
      </c>
      <c r="F636" s="2" t="s">
        <v>5222</v>
      </c>
      <c r="G636" s="2" t="s">
        <v>53</v>
      </c>
      <c r="H636" s="4">
        <v>1</v>
      </c>
      <c r="I636" s="4">
        <v>1</v>
      </c>
      <c r="J636" s="4">
        <v>0</v>
      </c>
      <c r="L636" s="4">
        <v>0</v>
      </c>
      <c r="M636" s="2" t="s">
        <v>55</v>
      </c>
      <c r="N636" s="2" t="s">
        <v>56</v>
      </c>
      <c r="O636" s="2" t="s">
        <v>57</v>
      </c>
      <c r="P636" s="2" t="s">
        <v>4633</v>
      </c>
      <c r="Q636" s="2" t="s">
        <v>4634</v>
      </c>
      <c r="R636" s="2" t="s">
        <v>5326</v>
      </c>
      <c r="S636" s="2" t="s">
        <v>5327</v>
      </c>
      <c r="V636" s="2" t="s">
        <v>5328</v>
      </c>
      <c r="W636" s="2" t="s">
        <v>5329</v>
      </c>
      <c r="Y636" s="2" t="s">
        <v>64</v>
      </c>
      <c r="Z636" s="2" t="s">
        <v>3302</v>
      </c>
      <c r="AA636" s="2" t="s">
        <v>66</v>
      </c>
      <c r="AC636" s="2" t="s">
        <v>67</v>
      </c>
      <c r="AD636" s="2" t="s">
        <v>68</v>
      </c>
      <c r="AE636" s="2" t="s">
        <v>69</v>
      </c>
      <c r="AF636" s="2" t="s">
        <v>70</v>
      </c>
      <c r="AG636" s="2" t="s">
        <v>4633</v>
      </c>
      <c r="AK636" s="2" t="s">
        <v>5330</v>
      </c>
      <c r="AM636" s="2" t="s">
        <v>72</v>
      </c>
      <c r="AN636" s="2" t="s">
        <v>344</v>
      </c>
      <c r="AP636" s="2" t="s">
        <v>4546</v>
      </c>
      <c r="AU636" s="2" t="s">
        <v>75</v>
      </c>
      <c r="AW636" s="2" t="s">
        <v>5331</v>
      </c>
      <c r="AZ636" s="2" t="s">
        <v>116</v>
      </c>
    </row>
    <row r="637" spans="1:52" s="3" customFormat="1" x14ac:dyDescent="0.35">
      <c r="A637" s="2" t="s">
        <v>5332</v>
      </c>
      <c r="B637" s="4">
        <v>244332</v>
      </c>
      <c r="C637" s="2" t="s">
        <v>5333</v>
      </c>
      <c r="D637" s="2">
        <f t="shared" si="9"/>
        <v>3</v>
      </c>
      <c r="F637" s="2" t="s">
        <v>5222</v>
      </c>
      <c r="G637" s="2" t="s">
        <v>53</v>
      </c>
      <c r="H637" s="4">
        <v>1</v>
      </c>
      <c r="I637" s="4">
        <v>1</v>
      </c>
      <c r="J637" s="4">
        <v>0</v>
      </c>
      <c r="L637" s="4">
        <v>0</v>
      </c>
      <c r="M637" s="2" t="s">
        <v>55</v>
      </c>
      <c r="N637" s="2" t="s">
        <v>56</v>
      </c>
      <c r="O637" s="2" t="s">
        <v>57</v>
      </c>
      <c r="P637" s="2" t="s">
        <v>4633</v>
      </c>
      <c r="Q637" s="2" t="s">
        <v>4634</v>
      </c>
      <c r="R637" s="2" t="s">
        <v>5334</v>
      </c>
      <c r="S637" s="2" t="s">
        <v>5335</v>
      </c>
      <c r="V637" s="2" t="s">
        <v>5336</v>
      </c>
      <c r="W637" s="2" t="s">
        <v>5337</v>
      </c>
      <c r="Y637" s="2" t="s">
        <v>64</v>
      </c>
      <c r="Z637" s="2" t="s">
        <v>3302</v>
      </c>
      <c r="AA637" s="2" t="s">
        <v>66</v>
      </c>
      <c r="AC637" s="2" t="s">
        <v>67</v>
      </c>
      <c r="AD637" s="2" t="s">
        <v>68</v>
      </c>
      <c r="AE637" s="2" t="s">
        <v>69</v>
      </c>
      <c r="AF637" s="2" t="s">
        <v>70</v>
      </c>
      <c r="AG637" s="2" t="s">
        <v>4633</v>
      </c>
      <c r="AK637" s="2" t="s">
        <v>5338</v>
      </c>
      <c r="AM637" s="2" t="s">
        <v>72</v>
      </c>
      <c r="AN637" s="2" t="s">
        <v>344</v>
      </c>
      <c r="AP637" s="2" t="s">
        <v>4546</v>
      </c>
      <c r="AU637" s="2" t="s">
        <v>75</v>
      </c>
      <c r="AW637" s="2" t="s">
        <v>5339</v>
      </c>
      <c r="AZ637" s="2" t="s">
        <v>116</v>
      </c>
    </row>
    <row r="638" spans="1:52" s="3" customFormat="1" x14ac:dyDescent="0.35">
      <c r="A638" s="2" t="s">
        <v>5340</v>
      </c>
      <c r="B638" s="4">
        <v>244330</v>
      </c>
      <c r="C638" s="2" t="s">
        <v>5341</v>
      </c>
      <c r="D638" s="2">
        <f t="shared" si="9"/>
        <v>3</v>
      </c>
      <c r="G638" s="2" t="s">
        <v>53</v>
      </c>
      <c r="H638" s="4">
        <v>1</v>
      </c>
      <c r="I638" s="4">
        <v>1</v>
      </c>
      <c r="J638" s="4">
        <v>0</v>
      </c>
      <c r="L638" s="4">
        <v>0</v>
      </c>
      <c r="M638" s="2" t="s">
        <v>55</v>
      </c>
      <c r="N638" s="2" t="s">
        <v>56</v>
      </c>
      <c r="O638" s="2" t="s">
        <v>57</v>
      </c>
      <c r="P638" s="2" t="s">
        <v>4887</v>
      </c>
      <c r="Q638" s="2" t="s">
        <v>4888</v>
      </c>
      <c r="R638" s="2" t="s">
        <v>5342</v>
      </c>
      <c r="S638" s="2" t="s">
        <v>5343</v>
      </c>
      <c r="V638" s="2" t="s">
        <v>5344</v>
      </c>
      <c r="W638" s="2" t="s">
        <v>5345</v>
      </c>
      <c r="Y638" s="2" t="s">
        <v>64</v>
      </c>
      <c r="Z638" s="2" t="s">
        <v>3302</v>
      </c>
      <c r="AA638" s="2" t="s">
        <v>66</v>
      </c>
      <c r="AC638" s="2" t="s">
        <v>67</v>
      </c>
      <c r="AD638" s="2" t="s">
        <v>68</v>
      </c>
      <c r="AE638" s="2" t="s">
        <v>69</v>
      </c>
      <c r="AF638" s="2" t="s">
        <v>70</v>
      </c>
      <c r="AG638" s="2" t="s">
        <v>4887</v>
      </c>
      <c r="AK638" s="2" t="s">
        <v>5346</v>
      </c>
      <c r="AM638" s="2" t="s">
        <v>72</v>
      </c>
      <c r="AN638" s="2" t="s">
        <v>595</v>
      </c>
      <c r="AP638" s="2" t="s">
        <v>4546</v>
      </c>
      <c r="AU638" s="2" t="s">
        <v>75</v>
      </c>
      <c r="AV638" s="2" t="s">
        <v>5347</v>
      </c>
      <c r="AW638" s="2" t="s">
        <v>5348</v>
      </c>
      <c r="AZ638" s="2" t="s">
        <v>116</v>
      </c>
    </row>
    <row r="639" spans="1:52" s="3" customFormat="1" x14ac:dyDescent="0.35">
      <c r="A639" s="2" t="s">
        <v>5349</v>
      </c>
      <c r="B639" s="4">
        <v>244327</v>
      </c>
      <c r="C639" s="2" t="s">
        <v>5350</v>
      </c>
      <c r="D639" s="2">
        <f t="shared" si="9"/>
        <v>3</v>
      </c>
      <c r="G639" s="2" t="s">
        <v>53</v>
      </c>
      <c r="H639" s="4">
        <v>1</v>
      </c>
      <c r="I639" s="4">
        <v>1</v>
      </c>
      <c r="J639" s="4">
        <v>0</v>
      </c>
      <c r="L639" s="4">
        <v>0</v>
      </c>
      <c r="M639" s="2" t="s">
        <v>55</v>
      </c>
      <c r="N639" s="2" t="s">
        <v>56</v>
      </c>
      <c r="O639" s="2" t="s">
        <v>57</v>
      </c>
      <c r="P639" s="2" t="s">
        <v>4887</v>
      </c>
      <c r="Q639" s="2" t="s">
        <v>4888</v>
      </c>
      <c r="R639" s="2" t="s">
        <v>5351</v>
      </c>
      <c r="S639" s="2" t="s">
        <v>5352</v>
      </c>
      <c r="V639" s="2" t="s">
        <v>5353</v>
      </c>
      <c r="W639" s="2" t="s">
        <v>5354</v>
      </c>
      <c r="Y639" s="2" t="s">
        <v>64</v>
      </c>
      <c r="Z639" s="2" t="s">
        <v>3302</v>
      </c>
      <c r="AA639" s="2" t="s">
        <v>66</v>
      </c>
      <c r="AC639" s="2" t="s">
        <v>67</v>
      </c>
      <c r="AD639" s="2" t="s">
        <v>68</v>
      </c>
      <c r="AE639" s="2" t="s">
        <v>69</v>
      </c>
      <c r="AF639" s="2" t="s">
        <v>70</v>
      </c>
      <c r="AG639" s="2" t="s">
        <v>4887</v>
      </c>
      <c r="AK639" s="2" t="s">
        <v>5355</v>
      </c>
      <c r="AM639" s="2" t="s">
        <v>72</v>
      </c>
      <c r="AN639" s="2" t="s">
        <v>73</v>
      </c>
      <c r="AP639" s="2" t="s">
        <v>4546</v>
      </c>
      <c r="AU639" s="2" t="s">
        <v>75</v>
      </c>
      <c r="AW639" s="2" t="s">
        <v>5356</v>
      </c>
      <c r="AZ639" s="2" t="s">
        <v>116</v>
      </c>
    </row>
    <row r="640" spans="1:52" s="3" customFormat="1" x14ac:dyDescent="0.35">
      <c r="A640" s="2" t="s">
        <v>5357</v>
      </c>
      <c r="B640" s="4">
        <v>244324</v>
      </c>
      <c r="C640" s="2" t="s">
        <v>5358</v>
      </c>
      <c r="D640" s="2">
        <f t="shared" si="9"/>
        <v>3</v>
      </c>
      <c r="G640" s="2" t="s">
        <v>53</v>
      </c>
      <c r="H640" s="4">
        <v>1</v>
      </c>
      <c r="I640" s="4">
        <v>1</v>
      </c>
      <c r="J640" s="4">
        <v>0</v>
      </c>
      <c r="L640" s="4">
        <v>0</v>
      </c>
      <c r="M640" s="2" t="s">
        <v>55</v>
      </c>
      <c r="N640" s="2" t="s">
        <v>56</v>
      </c>
      <c r="O640" s="2" t="s">
        <v>57</v>
      </c>
      <c r="P640" s="2" t="s">
        <v>4887</v>
      </c>
      <c r="Q640" s="2" t="s">
        <v>4888</v>
      </c>
      <c r="R640" s="2" t="s">
        <v>5359</v>
      </c>
      <c r="S640" s="2" t="s">
        <v>5360</v>
      </c>
      <c r="V640" s="2" t="s">
        <v>5361</v>
      </c>
      <c r="W640" s="2" t="s">
        <v>5142</v>
      </c>
      <c r="Y640" s="2" t="s">
        <v>64</v>
      </c>
      <c r="Z640" s="2" t="s">
        <v>3302</v>
      </c>
      <c r="AA640" s="2" t="s">
        <v>66</v>
      </c>
      <c r="AC640" s="2" t="s">
        <v>67</v>
      </c>
      <c r="AD640" s="2" t="s">
        <v>68</v>
      </c>
      <c r="AE640" s="2" t="s">
        <v>69</v>
      </c>
      <c r="AF640" s="2" t="s">
        <v>70</v>
      </c>
      <c r="AG640" s="2" t="s">
        <v>4887</v>
      </c>
      <c r="AK640" s="2" t="s">
        <v>5362</v>
      </c>
      <c r="AM640" s="2" t="s">
        <v>72</v>
      </c>
      <c r="AN640" s="2" t="s">
        <v>1383</v>
      </c>
      <c r="AP640" s="2" t="s">
        <v>4546</v>
      </c>
      <c r="AU640" s="2" t="s">
        <v>75</v>
      </c>
      <c r="AW640" s="2" t="s">
        <v>5363</v>
      </c>
      <c r="AZ640" s="2" t="s">
        <v>116</v>
      </c>
    </row>
    <row r="641" spans="1:52" s="3" customFormat="1" x14ac:dyDescent="0.35">
      <c r="A641" s="2" t="s">
        <v>5364</v>
      </c>
      <c r="B641" s="4">
        <v>244323</v>
      </c>
      <c r="C641" s="2" t="s">
        <v>5365</v>
      </c>
      <c r="D641" s="2">
        <f t="shared" si="9"/>
        <v>3</v>
      </c>
      <c r="G641" s="2" t="s">
        <v>53</v>
      </c>
      <c r="H641" s="4">
        <v>1</v>
      </c>
      <c r="I641" s="4">
        <v>1</v>
      </c>
      <c r="J641" s="4">
        <v>0</v>
      </c>
      <c r="L641" s="4">
        <v>0</v>
      </c>
      <c r="M641" s="2" t="s">
        <v>55</v>
      </c>
      <c r="N641" s="2" t="s">
        <v>56</v>
      </c>
      <c r="O641" s="2" t="s">
        <v>57</v>
      </c>
      <c r="P641" s="2" t="s">
        <v>4887</v>
      </c>
      <c r="Q641" s="2" t="s">
        <v>4888</v>
      </c>
      <c r="R641" s="2" t="s">
        <v>5366</v>
      </c>
      <c r="S641" s="2" t="s">
        <v>5367</v>
      </c>
      <c r="V641" s="2" t="s">
        <v>5368</v>
      </c>
      <c r="W641" s="2" t="s">
        <v>5369</v>
      </c>
      <c r="Y641" s="2" t="s">
        <v>64</v>
      </c>
      <c r="Z641" s="2" t="s">
        <v>3302</v>
      </c>
      <c r="AA641" s="2" t="s">
        <v>66</v>
      </c>
      <c r="AC641" s="2" t="s">
        <v>67</v>
      </c>
      <c r="AD641" s="2" t="s">
        <v>68</v>
      </c>
      <c r="AE641" s="2" t="s">
        <v>69</v>
      </c>
      <c r="AF641" s="2" t="s">
        <v>70</v>
      </c>
      <c r="AG641" s="2" t="s">
        <v>4887</v>
      </c>
      <c r="AK641" s="2" t="s">
        <v>5370</v>
      </c>
      <c r="AM641" s="2" t="s">
        <v>72</v>
      </c>
      <c r="AN641" s="2" t="s">
        <v>73</v>
      </c>
      <c r="AP641" s="2" t="s">
        <v>4546</v>
      </c>
      <c r="AU641" s="2" t="s">
        <v>75</v>
      </c>
      <c r="AW641" s="2" t="s">
        <v>5371</v>
      </c>
      <c r="AZ641" s="2" t="s">
        <v>116</v>
      </c>
    </row>
    <row r="642" spans="1:52" s="3" customFormat="1" x14ac:dyDescent="0.35">
      <c r="A642" s="2" t="s">
        <v>5372</v>
      </c>
      <c r="B642" s="4">
        <v>244320</v>
      </c>
      <c r="C642" s="2" t="s">
        <v>5373</v>
      </c>
      <c r="D642" s="2">
        <f t="shared" si="9"/>
        <v>3</v>
      </c>
      <c r="F642" s="2" t="s">
        <v>5222</v>
      </c>
      <c r="G642" s="2" t="s">
        <v>53</v>
      </c>
      <c r="H642" s="4">
        <v>1</v>
      </c>
      <c r="I642" s="4">
        <v>1</v>
      </c>
      <c r="J642" s="5">
        <v>40000</v>
      </c>
      <c r="K642" s="2" t="s">
        <v>1252</v>
      </c>
      <c r="L642" s="5">
        <v>37540</v>
      </c>
      <c r="M642" s="2" t="s">
        <v>55</v>
      </c>
      <c r="N642" s="2" t="s">
        <v>1253</v>
      </c>
      <c r="O642" s="2" t="s">
        <v>1254</v>
      </c>
      <c r="P642" s="2" t="s">
        <v>5374</v>
      </c>
      <c r="Q642" s="2" t="s">
        <v>5375</v>
      </c>
      <c r="R642" s="2" t="s">
        <v>5376</v>
      </c>
      <c r="T642" s="2" t="s">
        <v>1861</v>
      </c>
      <c r="U642" s="2" t="s">
        <v>1862</v>
      </c>
      <c r="V642" s="2" t="s">
        <v>5377</v>
      </c>
      <c r="W642" s="2" t="s">
        <v>5378</v>
      </c>
      <c r="X642" s="2" t="s">
        <v>5379</v>
      </c>
      <c r="Y642" s="2" t="s">
        <v>1866</v>
      </c>
      <c r="Z642" s="2" t="s">
        <v>1867</v>
      </c>
      <c r="AA642" s="2" t="s">
        <v>1868</v>
      </c>
      <c r="AB642" s="2" t="s">
        <v>1869</v>
      </c>
      <c r="AC642" s="2" t="s">
        <v>1870</v>
      </c>
      <c r="AD642" s="2" t="s">
        <v>1402</v>
      </c>
      <c r="AE642" s="2" t="s">
        <v>1403</v>
      </c>
      <c r="AF642" s="2" t="s">
        <v>70</v>
      </c>
      <c r="AG642" s="2" t="s">
        <v>5374</v>
      </c>
      <c r="AK642" s="2" t="s">
        <v>5380</v>
      </c>
      <c r="AM642" s="2" t="s">
        <v>72</v>
      </c>
      <c r="AN642" s="2" t="s">
        <v>403</v>
      </c>
      <c r="AP642" s="2" t="s">
        <v>5222</v>
      </c>
      <c r="AU642" s="2" t="s">
        <v>75</v>
      </c>
      <c r="AV642" s="2" t="s">
        <v>1872</v>
      </c>
      <c r="AW642" s="2" t="s">
        <v>1873</v>
      </c>
      <c r="AX642" s="2" t="s">
        <v>77</v>
      </c>
      <c r="AZ642" s="2" t="s">
        <v>77</v>
      </c>
    </row>
    <row r="643" spans="1:52" s="3" customFormat="1" x14ac:dyDescent="0.35">
      <c r="A643" s="2" t="s">
        <v>5381</v>
      </c>
      <c r="B643" s="4">
        <v>244257</v>
      </c>
      <c r="C643" s="2" t="s">
        <v>5382</v>
      </c>
      <c r="D643" s="2">
        <f t="shared" ref="D643:D706" si="10">MONTH(C643)</f>
        <v>3</v>
      </c>
      <c r="G643" s="2" t="s">
        <v>53</v>
      </c>
      <c r="H643" s="4">
        <v>1</v>
      </c>
      <c r="I643" s="4">
        <v>1</v>
      </c>
      <c r="J643" s="4">
        <v>0</v>
      </c>
      <c r="L643" s="4">
        <v>0</v>
      </c>
      <c r="M643" s="2" t="s">
        <v>55</v>
      </c>
      <c r="N643" s="2" t="s">
        <v>56</v>
      </c>
      <c r="O643" s="2" t="s">
        <v>57</v>
      </c>
      <c r="P643" s="2" t="s">
        <v>4887</v>
      </c>
      <c r="Q643" s="2" t="s">
        <v>4888</v>
      </c>
      <c r="R643" s="2" t="s">
        <v>5383</v>
      </c>
      <c r="S643" s="2" t="s">
        <v>5384</v>
      </c>
      <c r="V643" s="2" t="s">
        <v>5385</v>
      </c>
      <c r="W643" s="2" t="s">
        <v>5386</v>
      </c>
      <c r="Y643" s="2" t="s">
        <v>64</v>
      </c>
      <c r="Z643" s="2" t="s">
        <v>3302</v>
      </c>
      <c r="AA643" s="2" t="s">
        <v>66</v>
      </c>
      <c r="AC643" s="2" t="s">
        <v>67</v>
      </c>
      <c r="AD643" s="2" t="s">
        <v>68</v>
      </c>
      <c r="AE643" s="2" t="s">
        <v>69</v>
      </c>
      <c r="AF643" s="2" t="s">
        <v>70</v>
      </c>
      <c r="AG643" s="2" t="s">
        <v>4887</v>
      </c>
      <c r="AK643" s="2" t="s">
        <v>5387</v>
      </c>
      <c r="AM643" s="2" t="s">
        <v>72</v>
      </c>
      <c r="AN643" s="2" t="s">
        <v>595</v>
      </c>
      <c r="AP643" s="2" t="s">
        <v>4546</v>
      </c>
      <c r="AU643" s="2" t="s">
        <v>75</v>
      </c>
      <c r="AW643" s="2" t="s">
        <v>5388</v>
      </c>
      <c r="AZ643" s="2" t="s">
        <v>116</v>
      </c>
    </row>
    <row r="644" spans="1:52" s="3" customFormat="1" x14ac:dyDescent="0.35">
      <c r="A644" s="2" t="s">
        <v>5389</v>
      </c>
      <c r="B644" s="4">
        <v>244254</v>
      </c>
      <c r="C644" s="2" t="s">
        <v>5390</v>
      </c>
      <c r="D644" s="2">
        <f t="shared" si="10"/>
        <v>3</v>
      </c>
      <c r="G644" s="2" t="s">
        <v>53</v>
      </c>
      <c r="H644" s="4">
        <v>1</v>
      </c>
      <c r="I644" s="4">
        <v>1</v>
      </c>
      <c r="J644" s="4">
        <v>0</v>
      </c>
      <c r="L644" s="4">
        <v>0</v>
      </c>
      <c r="M644" s="2" t="s">
        <v>55</v>
      </c>
      <c r="N644" s="2" t="s">
        <v>56</v>
      </c>
      <c r="O644" s="2" t="s">
        <v>57</v>
      </c>
      <c r="P644" s="2" t="s">
        <v>4887</v>
      </c>
      <c r="Q644" s="2" t="s">
        <v>4888</v>
      </c>
      <c r="R644" s="2" t="s">
        <v>5224</v>
      </c>
      <c r="S644" s="2" t="s">
        <v>5225</v>
      </c>
      <c r="V644" s="2" t="s">
        <v>5226</v>
      </c>
      <c r="W644" s="2" t="s">
        <v>5227</v>
      </c>
      <c r="Y644" s="2" t="s">
        <v>64</v>
      </c>
      <c r="Z644" s="2" t="s">
        <v>3302</v>
      </c>
      <c r="AA644" s="2" t="s">
        <v>66</v>
      </c>
      <c r="AC644" s="2" t="s">
        <v>67</v>
      </c>
      <c r="AD644" s="2" t="s">
        <v>68</v>
      </c>
      <c r="AE644" s="2" t="s">
        <v>69</v>
      </c>
      <c r="AF644" s="2" t="s">
        <v>70</v>
      </c>
      <c r="AG644" s="2" t="s">
        <v>4887</v>
      </c>
      <c r="AK644" s="2" t="s">
        <v>5391</v>
      </c>
      <c r="AM644" s="2" t="s">
        <v>72</v>
      </c>
      <c r="AN644" s="2" t="s">
        <v>595</v>
      </c>
      <c r="AP644" s="2" t="s">
        <v>4546</v>
      </c>
      <c r="AU644" s="2" t="s">
        <v>75</v>
      </c>
      <c r="AW644" s="2" t="s">
        <v>5228</v>
      </c>
      <c r="AZ644" s="2" t="s">
        <v>116</v>
      </c>
    </row>
    <row r="645" spans="1:52" s="3" customFormat="1" x14ac:dyDescent="0.35">
      <c r="A645" s="2" t="s">
        <v>5392</v>
      </c>
      <c r="B645" s="4">
        <v>244253</v>
      </c>
      <c r="C645" s="2" t="s">
        <v>5393</v>
      </c>
      <c r="D645" s="2">
        <f t="shared" si="10"/>
        <v>3</v>
      </c>
      <c r="F645" s="2" t="s">
        <v>4618</v>
      </c>
      <c r="G645" s="2" t="s">
        <v>53</v>
      </c>
      <c r="H645" s="4">
        <v>7</v>
      </c>
      <c r="I645" s="4">
        <v>1</v>
      </c>
      <c r="J645" s="5">
        <v>8393.6299999999992</v>
      </c>
      <c r="K645" s="2" t="s">
        <v>1252</v>
      </c>
      <c r="L645" s="5">
        <v>7877.42</v>
      </c>
      <c r="N645" s="2" t="s">
        <v>1253</v>
      </c>
      <c r="O645" s="2" t="s">
        <v>1254</v>
      </c>
      <c r="P645" s="2" t="s">
        <v>4633</v>
      </c>
      <c r="Q645" s="2" t="s">
        <v>4634</v>
      </c>
      <c r="R645" s="2" t="s">
        <v>5394</v>
      </c>
      <c r="S645" s="2" t="s">
        <v>5395</v>
      </c>
      <c r="T645" s="2" t="s">
        <v>5396</v>
      </c>
      <c r="U645" s="2" t="s">
        <v>5397</v>
      </c>
      <c r="V645" s="2" t="s">
        <v>5398</v>
      </c>
      <c r="W645" s="2" t="s">
        <v>5399</v>
      </c>
      <c r="Y645" s="2" t="s">
        <v>5400</v>
      </c>
      <c r="Z645" s="2" t="s">
        <v>5401</v>
      </c>
      <c r="AA645" s="2" t="s">
        <v>5402</v>
      </c>
      <c r="AB645" s="2" t="s">
        <v>5403</v>
      </c>
      <c r="AC645" s="2" t="s">
        <v>5404</v>
      </c>
      <c r="AD645" s="2" t="s">
        <v>68</v>
      </c>
      <c r="AE645" s="2" t="s">
        <v>69</v>
      </c>
      <c r="AF645" s="2" t="s">
        <v>70</v>
      </c>
      <c r="AK645" s="2" t="s">
        <v>5405</v>
      </c>
      <c r="AL645" s="2" t="s">
        <v>5406</v>
      </c>
      <c r="AM645" s="2" t="s">
        <v>72</v>
      </c>
      <c r="AN645" s="2" t="s">
        <v>403</v>
      </c>
      <c r="AP645" s="2" t="s">
        <v>4546</v>
      </c>
      <c r="AU645" s="2" t="s">
        <v>75</v>
      </c>
      <c r="AV645" s="2" t="s">
        <v>5407</v>
      </c>
      <c r="AW645" s="2" t="s">
        <v>5408</v>
      </c>
      <c r="AZ645" s="2" t="s">
        <v>77</v>
      </c>
    </row>
    <row r="646" spans="1:52" s="3" customFormat="1" x14ac:dyDescent="0.35">
      <c r="A646" s="2" t="s">
        <v>5409</v>
      </c>
      <c r="B646" s="4">
        <v>244250</v>
      </c>
      <c r="C646" s="2" t="s">
        <v>5410</v>
      </c>
      <c r="D646" s="2">
        <f t="shared" si="10"/>
        <v>3</v>
      </c>
      <c r="G646" s="2" t="s">
        <v>53</v>
      </c>
      <c r="H646" s="4">
        <v>1</v>
      </c>
      <c r="I646" s="4">
        <v>1</v>
      </c>
      <c r="J646" s="4">
        <v>0</v>
      </c>
      <c r="L646" s="4">
        <v>0</v>
      </c>
      <c r="M646" s="2" t="s">
        <v>55</v>
      </c>
      <c r="N646" s="2" t="s">
        <v>56</v>
      </c>
      <c r="O646" s="2" t="s">
        <v>57</v>
      </c>
      <c r="P646" s="2" t="s">
        <v>4887</v>
      </c>
      <c r="Q646" s="2" t="s">
        <v>4888</v>
      </c>
      <c r="R646" s="2" t="s">
        <v>5411</v>
      </c>
      <c r="S646" s="2" t="s">
        <v>5412</v>
      </c>
      <c r="V646" s="2" t="s">
        <v>5413</v>
      </c>
      <c r="W646" s="2" t="s">
        <v>2104</v>
      </c>
      <c r="Y646" s="2" t="s">
        <v>64</v>
      </c>
      <c r="Z646" s="2" t="s">
        <v>3302</v>
      </c>
      <c r="AA646" s="2" t="s">
        <v>66</v>
      </c>
      <c r="AC646" s="2" t="s">
        <v>67</v>
      </c>
      <c r="AD646" s="2" t="s">
        <v>68</v>
      </c>
      <c r="AE646" s="2" t="s">
        <v>69</v>
      </c>
      <c r="AF646" s="2" t="s">
        <v>70</v>
      </c>
      <c r="AG646" s="2" t="s">
        <v>4887</v>
      </c>
      <c r="AK646" s="2" t="s">
        <v>5414</v>
      </c>
      <c r="AM646" s="2" t="s">
        <v>72</v>
      </c>
      <c r="AN646" s="2" t="s">
        <v>1383</v>
      </c>
      <c r="AP646" s="2" t="s">
        <v>4546</v>
      </c>
      <c r="AU646" s="2" t="s">
        <v>75</v>
      </c>
      <c r="AW646" s="2" t="s">
        <v>5415</v>
      </c>
      <c r="AZ646" s="2" t="s">
        <v>116</v>
      </c>
    </row>
    <row r="647" spans="1:52" s="3" customFormat="1" x14ac:dyDescent="0.35">
      <c r="A647" s="2" t="s">
        <v>5416</v>
      </c>
      <c r="B647" s="4">
        <v>244244</v>
      </c>
      <c r="C647" s="2" t="s">
        <v>5417</v>
      </c>
      <c r="D647" s="2">
        <f t="shared" si="10"/>
        <v>3</v>
      </c>
      <c r="G647" s="2" t="s">
        <v>53</v>
      </c>
      <c r="H647" s="4">
        <v>1</v>
      </c>
      <c r="I647" s="4">
        <v>1</v>
      </c>
      <c r="J647" s="4">
        <v>0</v>
      </c>
      <c r="L647" s="4">
        <v>0</v>
      </c>
      <c r="M647" s="2" t="s">
        <v>55</v>
      </c>
      <c r="N647" s="2" t="s">
        <v>56</v>
      </c>
      <c r="O647" s="2" t="s">
        <v>57</v>
      </c>
      <c r="P647" s="2" t="s">
        <v>4887</v>
      </c>
      <c r="Q647" s="2" t="s">
        <v>4888</v>
      </c>
      <c r="R647" s="2" t="s">
        <v>5418</v>
      </c>
      <c r="S647" s="2" t="s">
        <v>5419</v>
      </c>
      <c r="V647" s="2" t="s">
        <v>5420</v>
      </c>
      <c r="W647" s="2" t="s">
        <v>5421</v>
      </c>
      <c r="Y647" s="2" t="s">
        <v>64</v>
      </c>
      <c r="Z647" s="2" t="s">
        <v>3302</v>
      </c>
      <c r="AA647" s="2" t="s">
        <v>66</v>
      </c>
      <c r="AC647" s="2" t="s">
        <v>67</v>
      </c>
      <c r="AD647" s="2" t="s">
        <v>68</v>
      </c>
      <c r="AE647" s="2" t="s">
        <v>69</v>
      </c>
      <c r="AF647" s="2" t="s">
        <v>70</v>
      </c>
      <c r="AG647" s="2" t="s">
        <v>4887</v>
      </c>
      <c r="AK647" s="2" t="s">
        <v>5422</v>
      </c>
      <c r="AM647" s="2" t="s">
        <v>72</v>
      </c>
      <c r="AN647" s="2" t="s">
        <v>595</v>
      </c>
      <c r="AP647" s="2" t="s">
        <v>4546</v>
      </c>
      <c r="AU647" s="2" t="s">
        <v>75</v>
      </c>
      <c r="AV647" s="2" t="s">
        <v>5423</v>
      </c>
      <c r="AW647" s="2" t="s">
        <v>5424</v>
      </c>
      <c r="AZ647" s="2" t="s">
        <v>116</v>
      </c>
    </row>
    <row r="648" spans="1:52" s="3" customFormat="1" x14ac:dyDescent="0.35">
      <c r="A648" s="2" t="s">
        <v>5425</v>
      </c>
      <c r="B648" s="4">
        <v>244238</v>
      </c>
      <c r="C648" s="2" t="s">
        <v>5426</v>
      </c>
      <c r="D648" s="2">
        <f t="shared" si="10"/>
        <v>3</v>
      </c>
      <c r="F648" s="2" t="s">
        <v>5427</v>
      </c>
      <c r="G648" s="2" t="s">
        <v>53</v>
      </c>
      <c r="H648" s="4">
        <v>1</v>
      </c>
      <c r="I648" s="4">
        <v>1</v>
      </c>
      <c r="J648" s="4">
        <v>0</v>
      </c>
      <c r="L648" s="4">
        <v>0</v>
      </c>
      <c r="M648" s="2" t="s">
        <v>55</v>
      </c>
      <c r="N648" s="2" t="s">
        <v>56</v>
      </c>
      <c r="O648" s="2" t="s">
        <v>57</v>
      </c>
      <c r="P648" s="2" t="s">
        <v>460</v>
      </c>
      <c r="Q648" s="2" t="s">
        <v>461</v>
      </c>
      <c r="R648" s="2" t="s">
        <v>5428</v>
      </c>
      <c r="S648" s="2" t="s">
        <v>5429</v>
      </c>
      <c r="V648" s="2" t="s">
        <v>5430</v>
      </c>
      <c r="W648" s="2" t="s">
        <v>5431</v>
      </c>
      <c r="Y648" s="2" t="s">
        <v>64</v>
      </c>
      <c r="Z648" s="2" t="s">
        <v>3302</v>
      </c>
      <c r="AA648" s="2" t="s">
        <v>66</v>
      </c>
      <c r="AC648" s="2" t="s">
        <v>67</v>
      </c>
      <c r="AD648" s="2" t="s">
        <v>68</v>
      </c>
      <c r="AE648" s="2" t="s">
        <v>69</v>
      </c>
      <c r="AF648" s="2" t="s">
        <v>70</v>
      </c>
      <c r="AG648" s="2" t="s">
        <v>460</v>
      </c>
      <c r="AK648" s="2" t="s">
        <v>5432</v>
      </c>
      <c r="AM648" s="2" t="s">
        <v>72</v>
      </c>
      <c r="AN648" s="2" t="s">
        <v>73</v>
      </c>
      <c r="AP648" s="2" t="s">
        <v>474</v>
      </c>
      <c r="AU648" s="2" t="s">
        <v>75</v>
      </c>
      <c r="AW648" s="2" t="s">
        <v>5433</v>
      </c>
      <c r="AZ648" s="2" t="s">
        <v>116</v>
      </c>
    </row>
    <row r="649" spans="1:52" s="3" customFormat="1" x14ac:dyDescent="0.35">
      <c r="A649" s="2" t="s">
        <v>5434</v>
      </c>
      <c r="B649" s="4">
        <v>244237</v>
      </c>
      <c r="C649" s="2" t="s">
        <v>5435</v>
      </c>
      <c r="D649" s="2">
        <f t="shared" si="10"/>
        <v>3</v>
      </c>
      <c r="F649" s="2" t="s">
        <v>5222</v>
      </c>
      <c r="G649" s="2" t="s">
        <v>53</v>
      </c>
      <c r="H649" s="4">
        <v>2</v>
      </c>
      <c r="I649" s="4">
        <v>1</v>
      </c>
      <c r="J649" s="5">
        <v>2038.3</v>
      </c>
      <c r="K649" s="2" t="s">
        <v>1252</v>
      </c>
      <c r="L649" s="5">
        <v>1912.94</v>
      </c>
      <c r="M649" s="2" t="s">
        <v>55</v>
      </c>
      <c r="N649" s="2" t="s">
        <v>1253</v>
      </c>
      <c r="O649" s="2" t="s">
        <v>1254</v>
      </c>
      <c r="P649" s="2" t="s">
        <v>4633</v>
      </c>
      <c r="Q649" s="2" t="s">
        <v>4634</v>
      </c>
      <c r="R649" s="2" t="s">
        <v>5436</v>
      </c>
      <c r="T649" s="2" t="s">
        <v>5437</v>
      </c>
      <c r="U649" s="2" t="s">
        <v>5438</v>
      </c>
      <c r="V649" s="2" t="s">
        <v>5439</v>
      </c>
      <c r="W649" s="2" t="s">
        <v>5440</v>
      </c>
      <c r="X649" s="2" t="s">
        <v>5441</v>
      </c>
      <c r="Y649" s="2" t="s">
        <v>5442</v>
      </c>
      <c r="Z649" s="2" t="s">
        <v>3771</v>
      </c>
      <c r="AA649" s="2" t="s">
        <v>5443</v>
      </c>
      <c r="AB649" s="2" t="s">
        <v>5444</v>
      </c>
      <c r="AC649" s="2" t="s">
        <v>5445</v>
      </c>
      <c r="AD649" s="2" t="s">
        <v>3736</v>
      </c>
      <c r="AE649" s="2" t="s">
        <v>3737</v>
      </c>
      <c r="AF649" s="2" t="s">
        <v>70</v>
      </c>
      <c r="AG649" s="2" t="s">
        <v>4633</v>
      </c>
      <c r="AK649" s="2" t="s">
        <v>5446</v>
      </c>
      <c r="AM649" s="2" t="s">
        <v>72</v>
      </c>
      <c r="AN649" s="2" t="s">
        <v>73</v>
      </c>
      <c r="AP649" s="2" t="s">
        <v>4546</v>
      </c>
      <c r="AU649" s="2" t="s">
        <v>75</v>
      </c>
      <c r="AV649" s="2" t="s">
        <v>1242</v>
      </c>
      <c r="AW649" s="2" t="s">
        <v>5447</v>
      </c>
      <c r="AX649" s="2" t="s">
        <v>77</v>
      </c>
      <c r="AZ649" s="2" t="s">
        <v>77</v>
      </c>
    </row>
    <row r="650" spans="1:52" s="3" customFormat="1" x14ac:dyDescent="0.35">
      <c r="A650" s="2" t="s">
        <v>5448</v>
      </c>
      <c r="B650" s="4">
        <v>244231</v>
      </c>
      <c r="C650" s="2" t="s">
        <v>5449</v>
      </c>
      <c r="D650" s="2">
        <f t="shared" si="10"/>
        <v>3</v>
      </c>
      <c r="F650" s="2" t="s">
        <v>5427</v>
      </c>
      <c r="G650" s="2" t="s">
        <v>53</v>
      </c>
      <c r="H650" s="4">
        <v>1</v>
      </c>
      <c r="I650" s="4">
        <v>1</v>
      </c>
      <c r="J650" s="4">
        <v>0</v>
      </c>
      <c r="L650" s="4">
        <v>0</v>
      </c>
      <c r="M650" s="2" t="s">
        <v>55</v>
      </c>
      <c r="N650" s="2" t="s">
        <v>56</v>
      </c>
      <c r="O650" s="2" t="s">
        <v>57</v>
      </c>
      <c r="P650" s="2" t="s">
        <v>4633</v>
      </c>
      <c r="Q650" s="2" t="s">
        <v>4634</v>
      </c>
      <c r="R650" s="2" t="s">
        <v>5450</v>
      </c>
      <c r="S650" s="2" t="s">
        <v>5451</v>
      </c>
      <c r="V650" s="2" t="s">
        <v>5452</v>
      </c>
      <c r="W650" s="2" t="s">
        <v>5453</v>
      </c>
      <c r="Y650" s="2" t="s">
        <v>64</v>
      </c>
      <c r="Z650" s="2" t="s">
        <v>3302</v>
      </c>
      <c r="AA650" s="2" t="s">
        <v>66</v>
      </c>
      <c r="AC650" s="2" t="s">
        <v>67</v>
      </c>
      <c r="AD650" s="2" t="s">
        <v>68</v>
      </c>
      <c r="AE650" s="2" t="s">
        <v>69</v>
      </c>
      <c r="AF650" s="2" t="s">
        <v>70</v>
      </c>
      <c r="AG650" s="2" t="s">
        <v>4633</v>
      </c>
      <c r="AK650" s="2" t="s">
        <v>5454</v>
      </c>
      <c r="AM650" s="2" t="s">
        <v>72</v>
      </c>
      <c r="AN650" s="2" t="s">
        <v>283</v>
      </c>
      <c r="AP650" s="2" t="s">
        <v>4546</v>
      </c>
      <c r="AU650" s="2" t="s">
        <v>75</v>
      </c>
      <c r="AW650" s="2" t="s">
        <v>5455</v>
      </c>
      <c r="AZ650" s="2" t="s">
        <v>116</v>
      </c>
    </row>
    <row r="651" spans="1:52" s="3" customFormat="1" x14ac:dyDescent="0.35">
      <c r="A651" s="2" t="s">
        <v>5456</v>
      </c>
      <c r="B651" s="4">
        <v>244214</v>
      </c>
      <c r="C651" s="2" t="s">
        <v>5457</v>
      </c>
      <c r="D651" s="2">
        <f t="shared" si="10"/>
        <v>3</v>
      </c>
      <c r="G651" s="2" t="s">
        <v>53</v>
      </c>
      <c r="H651" s="4">
        <v>2</v>
      </c>
      <c r="I651" s="4">
        <v>1</v>
      </c>
      <c r="J651" s="4">
        <v>0</v>
      </c>
      <c r="L651" s="4">
        <v>0</v>
      </c>
      <c r="M651" s="2" t="s">
        <v>55</v>
      </c>
      <c r="N651" s="2" t="s">
        <v>56</v>
      </c>
      <c r="O651" s="2" t="s">
        <v>57</v>
      </c>
      <c r="P651" s="2" t="s">
        <v>4633</v>
      </c>
      <c r="Q651" s="2" t="s">
        <v>4634</v>
      </c>
      <c r="R651" s="2" t="s">
        <v>5458</v>
      </c>
      <c r="T651" s="2" t="s">
        <v>4676</v>
      </c>
      <c r="U651" s="2" t="s">
        <v>4677</v>
      </c>
      <c r="V651" s="2" t="s">
        <v>5459</v>
      </c>
      <c r="W651" s="2" t="s">
        <v>5460</v>
      </c>
      <c r="X651" s="2" t="s">
        <v>5461</v>
      </c>
      <c r="Y651" s="2" t="s">
        <v>5462</v>
      </c>
      <c r="Z651" s="2" t="s">
        <v>5463</v>
      </c>
      <c r="AA651" s="2" t="s">
        <v>5464</v>
      </c>
      <c r="AB651" s="2" t="s">
        <v>5465</v>
      </c>
      <c r="AC651" s="2" t="s">
        <v>5466</v>
      </c>
      <c r="AD651" s="2" t="s">
        <v>5467</v>
      </c>
      <c r="AE651" s="2" t="s">
        <v>1362</v>
      </c>
      <c r="AF651" s="2" t="s">
        <v>70</v>
      </c>
      <c r="AG651" s="2" t="s">
        <v>5468</v>
      </c>
      <c r="AK651" s="2" t="s">
        <v>5469</v>
      </c>
      <c r="AM651" s="2" t="s">
        <v>72</v>
      </c>
      <c r="AN651" s="2" t="s">
        <v>1046</v>
      </c>
      <c r="AP651" s="2" t="s">
        <v>4546</v>
      </c>
      <c r="AU651" s="2" t="s">
        <v>75</v>
      </c>
      <c r="AV651" s="2" t="s">
        <v>4685</v>
      </c>
      <c r="AW651" s="2" t="s">
        <v>4686</v>
      </c>
      <c r="AZ651" s="2" t="s">
        <v>116</v>
      </c>
    </row>
    <row r="652" spans="1:52" s="3" customFormat="1" x14ac:dyDescent="0.35">
      <c r="A652" s="2" t="s">
        <v>5470</v>
      </c>
      <c r="B652" s="4">
        <v>244213</v>
      </c>
      <c r="C652" s="2" t="s">
        <v>5471</v>
      </c>
      <c r="D652" s="2">
        <f t="shared" si="10"/>
        <v>3</v>
      </c>
      <c r="G652" s="2" t="s">
        <v>53</v>
      </c>
      <c r="H652" s="4">
        <v>1</v>
      </c>
      <c r="I652" s="4">
        <v>1</v>
      </c>
      <c r="J652" s="4">
        <v>0</v>
      </c>
      <c r="L652" s="4">
        <v>0</v>
      </c>
      <c r="M652" s="2" t="s">
        <v>55</v>
      </c>
      <c r="N652" s="2" t="s">
        <v>56</v>
      </c>
      <c r="O652" s="2" t="s">
        <v>57</v>
      </c>
      <c r="P652" s="2" t="s">
        <v>4011</v>
      </c>
      <c r="Q652" s="2" t="s">
        <v>4012</v>
      </c>
      <c r="R652" s="2" t="s">
        <v>5472</v>
      </c>
      <c r="T652" s="2" t="s">
        <v>5473</v>
      </c>
      <c r="U652" s="2" t="s">
        <v>5474</v>
      </c>
      <c r="V652" s="2" t="s">
        <v>5475</v>
      </c>
      <c r="W652" s="2" t="s">
        <v>5476</v>
      </c>
      <c r="X652" s="2" t="s">
        <v>5477</v>
      </c>
      <c r="Y652" s="2" t="s">
        <v>3968</v>
      </c>
      <c r="Z652" s="2" t="s">
        <v>2854</v>
      </c>
      <c r="AA652" s="2" t="s">
        <v>5478</v>
      </c>
      <c r="AC652" s="2" t="s">
        <v>3971</v>
      </c>
      <c r="AD652" s="2" t="s">
        <v>68</v>
      </c>
      <c r="AE652" s="2" t="s">
        <v>69</v>
      </c>
      <c r="AF652" s="2" t="s">
        <v>70</v>
      </c>
      <c r="AG652" s="2" t="s">
        <v>5472</v>
      </c>
      <c r="AK652" s="2" t="s">
        <v>5479</v>
      </c>
      <c r="AM652" s="2" t="s">
        <v>72</v>
      </c>
      <c r="AN652" s="2" t="s">
        <v>1046</v>
      </c>
      <c r="AP652" s="2" t="s">
        <v>3918</v>
      </c>
      <c r="AU652" s="2" t="s">
        <v>75</v>
      </c>
      <c r="AV652" s="2" t="s">
        <v>5480</v>
      </c>
      <c r="AW652" s="2" t="s">
        <v>5481</v>
      </c>
      <c r="AZ652" s="2" t="s">
        <v>116</v>
      </c>
    </row>
    <row r="653" spans="1:52" s="3" customFormat="1" x14ac:dyDescent="0.35">
      <c r="A653" s="2" t="s">
        <v>5486</v>
      </c>
      <c r="B653" s="4">
        <v>244168</v>
      </c>
      <c r="C653" s="2" t="s">
        <v>5487</v>
      </c>
      <c r="D653" s="2">
        <f t="shared" si="10"/>
        <v>3</v>
      </c>
      <c r="F653" s="2" t="s">
        <v>5427</v>
      </c>
      <c r="G653" s="2" t="s">
        <v>53</v>
      </c>
      <c r="H653" s="4">
        <v>1</v>
      </c>
      <c r="I653" s="4">
        <v>1</v>
      </c>
      <c r="J653" s="5">
        <v>45000</v>
      </c>
      <c r="L653" s="5">
        <v>42232.5</v>
      </c>
      <c r="M653" s="2" t="s">
        <v>55</v>
      </c>
      <c r="N653" s="2" t="s">
        <v>458</v>
      </c>
      <c r="O653" s="2" t="s">
        <v>459</v>
      </c>
      <c r="P653" s="2" t="s">
        <v>5488</v>
      </c>
      <c r="Q653" s="2" t="s">
        <v>5489</v>
      </c>
      <c r="R653" s="2" t="s">
        <v>5490</v>
      </c>
      <c r="T653" s="2" t="s">
        <v>5491</v>
      </c>
      <c r="U653" s="2" t="s">
        <v>5482</v>
      </c>
      <c r="V653" s="2" t="s">
        <v>5492</v>
      </c>
      <c r="W653" s="2" t="s">
        <v>5493</v>
      </c>
      <c r="X653" s="2" t="s">
        <v>5494</v>
      </c>
      <c r="Y653" s="2" t="s">
        <v>5495</v>
      </c>
      <c r="Z653" s="2" t="s">
        <v>5496</v>
      </c>
      <c r="AA653" s="2" t="s">
        <v>1624</v>
      </c>
      <c r="AB653" s="2" t="s">
        <v>5497</v>
      </c>
      <c r="AC653" s="2" t="s">
        <v>5498</v>
      </c>
      <c r="AD653" s="2" t="s">
        <v>3652</v>
      </c>
      <c r="AE653" s="2" t="s">
        <v>69</v>
      </c>
      <c r="AF653" s="2" t="s">
        <v>70</v>
      </c>
      <c r="AG653" s="2" t="s">
        <v>5488</v>
      </c>
      <c r="AK653" s="2" t="s">
        <v>5499</v>
      </c>
      <c r="AM653" s="2" t="s">
        <v>72</v>
      </c>
      <c r="AN653" s="2" t="s">
        <v>403</v>
      </c>
      <c r="AP653" s="2" t="s">
        <v>4714</v>
      </c>
      <c r="AU653" s="2" t="s">
        <v>75</v>
      </c>
      <c r="AV653" s="2" t="s">
        <v>5500</v>
      </c>
      <c r="AW653" s="2" t="s">
        <v>5501</v>
      </c>
      <c r="AX653" s="2" t="s">
        <v>77</v>
      </c>
      <c r="AZ653" s="2" t="s">
        <v>77</v>
      </c>
    </row>
    <row r="654" spans="1:52" s="3" customFormat="1" x14ac:dyDescent="0.35">
      <c r="A654" s="2" t="s">
        <v>5502</v>
      </c>
      <c r="B654" s="4">
        <v>244150</v>
      </c>
      <c r="C654" s="2" t="s">
        <v>5503</v>
      </c>
      <c r="D654" s="2">
        <f t="shared" si="10"/>
        <v>3</v>
      </c>
      <c r="G654" s="2" t="s">
        <v>53</v>
      </c>
      <c r="H654" s="4">
        <v>1</v>
      </c>
      <c r="I654" s="4">
        <v>1</v>
      </c>
      <c r="J654" s="4">
        <v>0</v>
      </c>
      <c r="L654" s="4">
        <v>0</v>
      </c>
      <c r="M654" s="2" t="s">
        <v>55</v>
      </c>
      <c r="N654" s="2" t="s">
        <v>56</v>
      </c>
      <c r="O654" s="2" t="s">
        <v>57</v>
      </c>
      <c r="P654" s="2" t="s">
        <v>4633</v>
      </c>
      <c r="Q654" s="2" t="s">
        <v>4634</v>
      </c>
      <c r="R654" s="2" t="s">
        <v>5504</v>
      </c>
      <c r="S654" s="2" t="s">
        <v>2356</v>
      </c>
      <c r="V654" s="2" t="s">
        <v>5505</v>
      </c>
      <c r="W654" s="2" t="s">
        <v>2358</v>
      </c>
      <c r="Y654" s="2" t="s">
        <v>64</v>
      </c>
      <c r="Z654" s="2" t="s">
        <v>3302</v>
      </c>
      <c r="AA654" s="2" t="s">
        <v>66</v>
      </c>
      <c r="AC654" s="2" t="s">
        <v>67</v>
      </c>
      <c r="AD654" s="2" t="s">
        <v>68</v>
      </c>
      <c r="AE654" s="2" t="s">
        <v>69</v>
      </c>
      <c r="AF654" s="2" t="s">
        <v>70</v>
      </c>
      <c r="AG654" s="2" t="s">
        <v>4633</v>
      </c>
      <c r="AK654" s="2" t="s">
        <v>5506</v>
      </c>
      <c r="AM654" s="2" t="s">
        <v>72</v>
      </c>
      <c r="AN654" s="2" t="s">
        <v>595</v>
      </c>
      <c r="AP654" s="2" t="s">
        <v>4546</v>
      </c>
      <c r="AU654" s="2" t="s">
        <v>75</v>
      </c>
      <c r="AV654" s="2" t="s">
        <v>2360</v>
      </c>
      <c r="AW654" s="2" t="s">
        <v>2361</v>
      </c>
      <c r="AZ654" s="2" t="s">
        <v>116</v>
      </c>
    </row>
    <row r="655" spans="1:52" s="3" customFormat="1" x14ac:dyDescent="0.35">
      <c r="A655" s="2" t="s">
        <v>5507</v>
      </c>
      <c r="B655" s="4">
        <v>244149</v>
      </c>
      <c r="C655" s="2" t="s">
        <v>5508</v>
      </c>
      <c r="D655" s="2">
        <f t="shared" si="10"/>
        <v>3</v>
      </c>
      <c r="G655" s="2" t="s">
        <v>53</v>
      </c>
      <c r="H655" s="4">
        <v>1</v>
      </c>
      <c r="I655" s="4">
        <v>1</v>
      </c>
      <c r="J655" s="4">
        <v>0</v>
      </c>
      <c r="L655" s="4">
        <v>0</v>
      </c>
      <c r="M655" s="2" t="s">
        <v>55</v>
      </c>
      <c r="N655" s="2" t="s">
        <v>56</v>
      </c>
      <c r="O655" s="2" t="s">
        <v>57</v>
      </c>
      <c r="P655" s="2" t="s">
        <v>4887</v>
      </c>
      <c r="Q655" s="2" t="s">
        <v>4888</v>
      </c>
      <c r="R655" s="2" t="s">
        <v>5509</v>
      </c>
      <c r="S655" s="2" t="s">
        <v>5510</v>
      </c>
      <c r="V655" s="2" t="s">
        <v>5511</v>
      </c>
      <c r="W655" s="2" t="s">
        <v>5512</v>
      </c>
      <c r="Y655" s="2" t="s">
        <v>64</v>
      </c>
      <c r="Z655" s="2" t="s">
        <v>3302</v>
      </c>
      <c r="AA655" s="2" t="s">
        <v>66</v>
      </c>
      <c r="AC655" s="2" t="s">
        <v>67</v>
      </c>
      <c r="AD655" s="2" t="s">
        <v>68</v>
      </c>
      <c r="AE655" s="2" t="s">
        <v>69</v>
      </c>
      <c r="AF655" s="2" t="s">
        <v>70</v>
      </c>
      <c r="AG655" s="2" t="s">
        <v>4887</v>
      </c>
      <c r="AK655" s="2" t="s">
        <v>5513</v>
      </c>
      <c r="AM655" s="2" t="s">
        <v>72</v>
      </c>
      <c r="AN655" s="2" t="s">
        <v>249</v>
      </c>
      <c r="AP655" s="2" t="s">
        <v>4546</v>
      </c>
      <c r="AU655" s="2" t="s">
        <v>75</v>
      </c>
      <c r="AV655" s="2" t="s">
        <v>5514</v>
      </c>
      <c r="AW655" s="2" t="s">
        <v>5515</v>
      </c>
      <c r="AZ655" s="2" t="s">
        <v>116</v>
      </c>
    </row>
    <row r="656" spans="1:52" s="3" customFormat="1" x14ac:dyDescent="0.35">
      <c r="A656" s="2" t="s">
        <v>5516</v>
      </c>
      <c r="B656" s="4">
        <v>244145</v>
      </c>
      <c r="C656" s="2" t="s">
        <v>5517</v>
      </c>
      <c r="D656" s="2">
        <f t="shared" si="10"/>
        <v>3</v>
      </c>
      <c r="G656" s="2" t="s">
        <v>53</v>
      </c>
      <c r="H656" s="4">
        <v>1</v>
      </c>
      <c r="I656" s="4">
        <v>1</v>
      </c>
      <c r="J656" s="4">
        <v>0</v>
      </c>
      <c r="L656" s="4">
        <v>0</v>
      </c>
      <c r="M656" s="2" t="s">
        <v>55</v>
      </c>
      <c r="N656" s="2" t="s">
        <v>56</v>
      </c>
      <c r="O656" s="2" t="s">
        <v>57</v>
      </c>
      <c r="P656" s="2" t="s">
        <v>4887</v>
      </c>
      <c r="Q656" s="2" t="s">
        <v>4888</v>
      </c>
      <c r="R656" s="2" t="s">
        <v>278</v>
      </c>
      <c r="S656" s="2" t="s">
        <v>279</v>
      </c>
      <c r="V656" s="2" t="s">
        <v>280</v>
      </c>
      <c r="W656" s="2" t="s">
        <v>5142</v>
      </c>
      <c r="Y656" s="2" t="s">
        <v>64</v>
      </c>
      <c r="Z656" s="2" t="s">
        <v>3302</v>
      </c>
      <c r="AA656" s="2" t="s">
        <v>66</v>
      </c>
      <c r="AC656" s="2" t="s">
        <v>67</v>
      </c>
      <c r="AD656" s="2" t="s">
        <v>68</v>
      </c>
      <c r="AE656" s="2" t="s">
        <v>69</v>
      </c>
      <c r="AF656" s="2" t="s">
        <v>70</v>
      </c>
      <c r="AG656" s="2" t="s">
        <v>4887</v>
      </c>
      <c r="AK656" s="2" t="s">
        <v>5518</v>
      </c>
      <c r="AM656" s="2" t="s">
        <v>72</v>
      </c>
      <c r="AN656" s="2" t="s">
        <v>283</v>
      </c>
      <c r="AP656" s="2" t="s">
        <v>4546</v>
      </c>
      <c r="AU656" s="2" t="s">
        <v>75</v>
      </c>
      <c r="AV656" s="2" t="s">
        <v>284</v>
      </c>
      <c r="AW656" s="2" t="s">
        <v>285</v>
      </c>
      <c r="AZ656" s="2" t="s">
        <v>116</v>
      </c>
    </row>
    <row r="657" spans="1:52" s="3" customFormat="1" x14ac:dyDescent="0.35">
      <c r="A657" s="2" t="s">
        <v>5519</v>
      </c>
      <c r="B657" s="4">
        <v>244137</v>
      </c>
      <c r="C657" s="2" t="s">
        <v>5520</v>
      </c>
      <c r="D657" s="2">
        <f t="shared" si="10"/>
        <v>3</v>
      </c>
      <c r="G657" s="2" t="s">
        <v>53</v>
      </c>
      <c r="H657" s="4">
        <v>1</v>
      </c>
      <c r="I657" s="4">
        <v>1</v>
      </c>
      <c r="J657" s="4">
        <v>0</v>
      </c>
      <c r="L657" s="4">
        <v>0</v>
      </c>
      <c r="M657" s="2" t="s">
        <v>55</v>
      </c>
      <c r="N657" s="2" t="s">
        <v>56</v>
      </c>
      <c r="O657" s="2" t="s">
        <v>57</v>
      </c>
      <c r="P657" s="2" t="s">
        <v>4633</v>
      </c>
      <c r="Q657" s="2" t="s">
        <v>4634</v>
      </c>
      <c r="R657" s="2" t="s">
        <v>5521</v>
      </c>
      <c r="S657" s="2" t="s">
        <v>5522</v>
      </c>
      <c r="V657" s="2" t="s">
        <v>5523</v>
      </c>
      <c r="W657" s="2" t="s">
        <v>5524</v>
      </c>
      <c r="Y657" s="2" t="s">
        <v>64</v>
      </c>
      <c r="Z657" s="2" t="s">
        <v>3302</v>
      </c>
      <c r="AA657" s="2" t="s">
        <v>66</v>
      </c>
      <c r="AC657" s="2" t="s">
        <v>67</v>
      </c>
      <c r="AD657" s="2" t="s">
        <v>68</v>
      </c>
      <c r="AE657" s="2" t="s">
        <v>69</v>
      </c>
      <c r="AF657" s="2" t="s">
        <v>70</v>
      </c>
      <c r="AG657" s="2" t="s">
        <v>4633</v>
      </c>
      <c r="AK657" s="2" t="s">
        <v>5525</v>
      </c>
      <c r="AM657" s="2" t="s">
        <v>72</v>
      </c>
      <c r="AN657" s="2" t="s">
        <v>595</v>
      </c>
      <c r="AP657" s="2" t="s">
        <v>4546</v>
      </c>
      <c r="AU657" s="2" t="s">
        <v>75</v>
      </c>
      <c r="AW657" s="2" t="s">
        <v>5526</v>
      </c>
      <c r="AZ657" s="2" t="s">
        <v>116</v>
      </c>
    </row>
    <row r="658" spans="1:52" s="3" customFormat="1" x14ac:dyDescent="0.35">
      <c r="A658" s="2" t="s">
        <v>5527</v>
      </c>
      <c r="B658" s="4">
        <v>244136</v>
      </c>
      <c r="C658" s="2" t="s">
        <v>5528</v>
      </c>
      <c r="D658" s="2">
        <f t="shared" si="10"/>
        <v>3</v>
      </c>
      <c r="F658" s="2" t="s">
        <v>5485</v>
      </c>
      <c r="G658" s="2" t="s">
        <v>53</v>
      </c>
      <c r="H658" s="4">
        <v>1</v>
      </c>
      <c r="I658" s="4">
        <v>1</v>
      </c>
      <c r="J658" s="4">
        <v>0</v>
      </c>
      <c r="L658" s="4">
        <v>0</v>
      </c>
      <c r="M658" s="2" t="s">
        <v>55</v>
      </c>
      <c r="N658" s="2" t="s">
        <v>56</v>
      </c>
      <c r="O658" s="2" t="s">
        <v>57</v>
      </c>
      <c r="P658" s="2" t="s">
        <v>4877</v>
      </c>
      <c r="Q658" s="2" t="s">
        <v>4878</v>
      </c>
      <c r="R658" s="2" t="s">
        <v>3849</v>
      </c>
      <c r="S658" s="2" t="s">
        <v>3850</v>
      </c>
      <c r="V658" s="2" t="s">
        <v>3851</v>
      </c>
      <c r="W658" s="2" t="s">
        <v>5529</v>
      </c>
      <c r="Y658" s="2" t="s">
        <v>64</v>
      </c>
      <c r="Z658" s="2" t="s">
        <v>3302</v>
      </c>
      <c r="AA658" s="2" t="s">
        <v>66</v>
      </c>
      <c r="AC658" s="2" t="s">
        <v>67</v>
      </c>
      <c r="AD658" s="2" t="s">
        <v>68</v>
      </c>
      <c r="AE658" s="2" t="s">
        <v>69</v>
      </c>
      <c r="AF658" s="2" t="s">
        <v>70</v>
      </c>
      <c r="AG658" s="2" t="s">
        <v>4877</v>
      </c>
      <c r="AK658" s="2" t="s">
        <v>5530</v>
      </c>
      <c r="AM658" s="2" t="s">
        <v>72</v>
      </c>
      <c r="AN658" s="2" t="s">
        <v>232</v>
      </c>
      <c r="AP658" s="2" t="s">
        <v>3758</v>
      </c>
      <c r="AU658" s="2" t="s">
        <v>75</v>
      </c>
      <c r="AW658" s="2" t="s">
        <v>3854</v>
      </c>
      <c r="AZ658" s="2" t="s">
        <v>116</v>
      </c>
    </row>
    <row r="659" spans="1:52" s="3" customFormat="1" x14ac:dyDescent="0.35">
      <c r="A659" s="2" t="s">
        <v>5531</v>
      </c>
      <c r="B659" s="4">
        <v>244134</v>
      </c>
      <c r="C659" s="2" t="s">
        <v>5532</v>
      </c>
      <c r="D659" s="2">
        <f t="shared" si="10"/>
        <v>3</v>
      </c>
      <c r="G659" s="2" t="s">
        <v>53</v>
      </c>
      <c r="H659" s="4">
        <v>1</v>
      </c>
      <c r="I659" s="4">
        <v>1</v>
      </c>
      <c r="J659" s="4">
        <v>0</v>
      </c>
      <c r="L659" s="4">
        <v>0</v>
      </c>
      <c r="M659" s="2" t="s">
        <v>55</v>
      </c>
      <c r="N659" s="2" t="s">
        <v>56</v>
      </c>
      <c r="O659" s="2" t="s">
        <v>57</v>
      </c>
      <c r="P659" s="2" t="s">
        <v>4887</v>
      </c>
      <c r="Q659" s="2" t="s">
        <v>4888</v>
      </c>
      <c r="R659" s="2" t="s">
        <v>5521</v>
      </c>
      <c r="S659" s="2" t="s">
        <v>5522</v>
      </c>
      <c r="V659" s="2" t="s">
        <v>5523</v>
      </c>
      <c r="W659" s="2" t="s">
        <v>5524</v>
      </c>
      <c r="Y659" s="2" t="s">
        <v>64</v>
      </c>
      <c r="Z659" s="2" t="s">
        <v>3302</v>
      </c>
      <c r="AA659" s="2" t="s">
        <v>66</v>
      </c>
      <c r="AC659" s="2" t="s">
        <v>67</v>
      </c>
      <c r="AD659" s="2" t="s">
        <v>68</v>
      </c>
      <c r="AE659" s="2" t="s">
        <v>69</v>
      </c>
      <c r="AF659" s="2" t="s">
        <v>70</v>
      </c>
      <c r="AG659" s="2" t="s">
        <v>4887</v>
      </c>
      <c r="AK659" s="2" t="s">
        <v>5533</v>
      </c>
      <c r="AM659" s="2" t="s">
        <v>72</v>
      </c>
      <c r="AN659" s="2" t="s">
        <v>595</v>
      </c>
      <c r="AP659" s="2" t="s">
        <v>4546</v>
      </c>
      <c r="AU659" s="2" t="s">
        <v>75</v>
      </c>
      <c r="AW659" s="2" t="s">
        <v>5526</v>
      </c>
      <c r="AZ659" s="2" t="s">
        <v>116</v>
      </c>
    </row>
    <row r="660" spans="1:52" s="3" customFormat="1" x14ac:dyDescent="0.35">
      <c r="A660" s="2" t="s">
        <v>5534</v>
      </c>
      <c r="B660" s="4">
        <v>244095</v>
      </c>
      <c r="C660" s="2" t="s">
        <v>5535</v>
      </c>
      <c r="D660" s="2">
        <f t="shared" si="10"/>
        <v>3</v>
      </c>
      <c r="G660" s="2" t="s">
        <v>53</v>
      </c>
      <c r="H660" s="4">
        <v>1</v>
      </c>
      <c r="I660" s="4">
        <v>1</v>
      </c>
      <c r="J660" s="4">
        <v>0</v>
      </c>
      <c r="L660" s="4">
        <v>0</v>
      </c>
      <c r="M660" s="2" t="s">
        <v>55</v>
      </c>
      <c r="N660" s="2" t="s">
        <v>56</v>
      </c>
      <c r="O660" s="2" t="s">
        <v>57</v>
      </c>
      <c r="P660" s="2" t="s">
        <v>4887</v>
      </c>
      <c r="Q660" s="2" t="s">
        <v>4888</v>
      </c>
      <c r="R660" s="2" t="s">
        <v>1034</v>
      </c>
      <c r="T660" s="2" t="s">
        <v>1035</v>
      </c>
      <c r="U660" s="2" t="s">
        <v>1036</v>
      </c>
      <c r="V660" s="2" t="s">
        <v>1037</v>
      </c>
      <c r="W660" s="2" t="s">
        <v>2419</v>
      </c>
      <c r="X660" s="2" t="s">
        <v>2420</v>
      </c>
      <c r="Y660" s="2" t="s">
        <v>1040</v>
      </c>
      <c r="Z660" s="2" t="s">
        <v>1041</v>
      </c>
      <c r="AA660" s="2" t="s">
        <v>1042</v>
      </c>
      <c r="AB660" s="2" t="s">
        <v>1043</v>
      </c>
      <c r="AC660" s="2" t="s">
        <v>1044</v>
      </c>
      <c r="AD660" s="2" t="s">
        <v>68</v>
      </c>
      <c r="AE660" s="2" t="s">
        <v>69</v>
      </c>
      <c r="AF660" s="2" t="s">
        <v>70</v>
      </c>
      <c r="AG660" s="2" t="s">
        <v>5536</v>
      </c>
      <c r="AK660" s="2" t="s">
        <v>5537</v>
      </c>
      <c r="AM660" s="2" t="s">
        <v>72</v>
      </c>
      <c r="AN660" s="2" t="s">
        <v>1046</v>
      </c>
      <c r="AP660" s="2" t="s">
        <v>4546</v>
      </c>
      <c r="AU660" s="2" t="s">
        <v>75</v>
      </c>
      <c r="AV660" s="2" t="s">
        <v>1047</v>
      </c>
      <c r="AW660" s="2" t="s">
        <v>1048</v>
      </c>
      <c r="AZ660" s="2" t="s">
        <v>116</v>
      </c>
    </row>
    <row r="661" spans="1:52" s="3" customFormat="1" x14ac:dyDescent="0.35">
      <c r="A661" s="2" t="s">
        <v>5538</v>
      </c>
      <c r="B661" s="4">
        <v>244094</v>
      </c>
      <c r="C661" s="2" t="s">
        <v>5539</v>
      </c>
      <c r="D661" s="2">
        <f t="shared" si="10"/>
        <v>3</v>
      </c>
      <c r="F661" s="2" t="s">
        <v>5540</v>
      </c>
      <c r="G661" s="2" t="s">
        <v>53</v>
      </c>
      <c r="H661" s="4">
        <v>1</v>
      </c>
      <c r="I661" s="4">
        <v>1</v>
      </c>
      <c r="J661" s="4">
        <v>0</v>
      </c>
      <c r="L661" s="4">
        <v>0</v>
      </c>
      <c r="M661" s="2" t="s">
        <v>55</v>
      </c>
      <c r="N661" s="2" t="s">
        <v>56</v>
      </c>
      <c r="O661" s="2" t="s">
        <v>57</v>
      </c>
      <c r="P661" s="2" t="s">
        <v>4877</v>
      </c>
      <c r="Q661" s="2" t="s">
        <v>4878</v>
      </c>
      <c r="R661" s="2" t="s">
        <v>5541</v>
      </c>
      <c r="S661" s="2" t="s">
        <v>5542</v>
      </c>
      <c r="V661" s="2" t="s">
        <v>5543</v>
      </c>
      <c r="W661" s="2" t="s">
        <v>5544</v>
      </c>
      <c r="Y661" s="2" t="s">
        <v>5545</v>
      </c>
      <c r="Z661" s="2" t="s">
        <v>5546</v>
      </c>
      <c r="AA661" s="2" t="s">
        <v>2553</v>
      </c>
      <c r="AB661" s="2" t="s">
        <v>5547</v>
      </c>
      <c r="AC661" s="2" t="s">
        <v>1870</v>
      </c>
      <c r="AD661" s="2" t="s">
        <v>5548</v>
      </c>
      <c r="AE661" s="2" t="s">
        <v>1403</v>
      </c>
      <c r="AF661" s="2" t="s">
        <v>70</v>
      </c>
      <c r="AG661" s="2" t="s">
        <v>5549</v>
      </c>
      <c r="AK661" s="2" t="s">
        <v>5550</v>
      </c>
      <c r="AM661" s="2" t="s">
        <v>72</v>
      </c>
      <c r="AN661" s="2" t="s">
        <v>1046</v>
      </c>
      <c r="AP661" s="2" t="s">
        <v>3758</v>
      </c>
      <c r="AU661" s="2" t="s">
        <v>75</v>
      </c>
      <c r="AV661" s="2" t="s">
        <v>5551</v>
      </c>
      <c r="AW661" s="2" t="s">
        <v>5552</v>
      </c>
      <c r="AZ661" s="2" t="s">
        <v>116</v>
      </c>
    </row>
    <row r="662" spans="1:52" s="3" customFormat="1" x14ac:dyDescent="0.35">
      <c r="A662" s="2" t="s">
        <v>5553</v>
      </c>
      <c r="B662" s="4">
        <v>244074</v>
      </c>
      <c r="C662" s="2" t="s">
        <v>5554</v>
      </c>
      <c r="D662" s="2">
        <f t="shared" si="10"/>
        <v>3</v>
      </c>
      <c r="F662" s="2" t="s">
        <v>5485</v>
      </c>
      <c r="G662" s="2" t="s">
        <v>53</v>
      </c>
      <c r="H662" s="4">
        <v>1</v>
      </c>
      <c r="I662" s="4">
        <v>1</v>
      </c>
      <c r="J662" s="5">
        <v>51496.06</v>
      </c>
      <c r="K662" s="2" t="s">
        <v>1252</v>
      </c>
      <c r="L662" s="5">
        <v>48329.05</v>
      </c>
      <c r="M662" s="2" t="s">
        <v>55</v>
      </c>
      <c r="N662" s="2" t="s">
        <v>1253</v>
      </c>
      <c r="O662" s="2" t="s">
        <v>1254</v>
      </c>
      <c r="P662" s="2" t="s">
        <v>5555</v>
      </c>
      <c r="Q662" s="2" t="s">
        <v>5556</v>
      </c>
      <c r="R662" s="2" t="s">
        <v>5557</v>
      </c>
      <c r="T662" s="2" t="s">
        <v>5558</v>
      </c>
      <c r="U662" s="2" t="s">
        <v>5559</v>
      </c>
      <c r="V662" s="2" t="s">
        <v>5560</v>
      </c>
      <c r="W662" s="2" t="s">
        <v>5561</v>
      </c>
      <c r="X662" s="2" t="s">
        <v>5562</v>
      </c>
      <c r="Y662" s="2" t="s">
        <v>5563</v>
      </c>
      <c r="Z662" s="2" t="s">
        <v>5564</v>
      </c>
      <c r="AA662" s="2" t="s">
        <v>5565</v>
      </c>
      <c r="AC662" s="2" t="s">
        <v>5566</v>
      </c>
      <c r="AD662" s="2" t="s">
        <v>5567</v>
      </c>
      <c r="AE662" s="2" t="s">
        <v>96</v>
      </c>
      <c r="AF662" s="2" t="s">
        <v>70</v>
      </c>
      <c r="AG662" s="2" t="s">
        <v>5568</v>
      </c>
      <c r="AK662" s="2" t="s">
        <v>5569</v>
      </c>
      <c r="AM662" s="2" t="s">
        <v>72</v>
      </c>
      <c r="AN662" s="2" t="s">
        <v>1046</v>
      </c>
      <c r="AP662" s="2" t="s">
        <v>5570</v>
      </c>
      <c r="AU662" s="2" t="s">
        <v>75</v>
      </c>
      <c r="AV662" s="2" t="s">
        <v>5299</v>
      </c>
      <c r="AW662" s="2" t="s">
        <v>5571</v>
      </c>
      <c r="AX662" s="2" t="s">
        <v>477</v>
      </c>
      <c r="AZ662" s="2" t="s">
        <v>1256</v>
      </c>
    </row>
    <row r="663" spans="1:52" s="3" customFormat="1" x14ac:dyDescent="0.35">
      <c r="A663" s="2" t="s">
        <v>5572</v>
      </c>
      <c r="B663" s="4">
        <v>244053</v>
      </c>
      <c r="C663" s="2" t="s">
        <v>5573</v>
      </c>
      <c r="D663" s="2">
        <f t="shared" si="10"/>
        <v>3</v>
      </c>
      <c r="G663" s="2" t="s">
        <v>53</v>
      </c>
      <c r="H663" s="4">
        <v>1</v>
      </c>
      <c r="I663" s="4">
        <v>1</v>
      </c>
      <c r="J663" s="4">
        <v>0</v>
      </c>
      <c r="L663" s="4">
        <v>0</v>
      </c>
      <c r="M663" s="2" t="s">
        <v>55</v>
      </c>
      <c r="N663" s="2" t="s">
        <v>56</v>
      </c>
      <c r="O663" s="2" t="s">
        <v>57</v>
      </c>
      <c r="P663" s="2" t="s">
        <v>4887</v>
      </c>
      <c r="Q663" s="2" t="s">
        <v>4888</v>
      </c>
      <c r="R663" s="2" t="s">
        <v>5574</v>
      </c>
      <c r="S663" s="2" t="s">
        <v>5575</v>
      </c>
      <c r="V663" s="2" t="s">
        <v>5576</v>
      </c>
      <c r="W663" s="2" t="s">
        <v>5577</v>
      </c>
      <c r="Y663" s="2" t="s">
        <v>64</v>
      </c>
      <c r="Z663" s="2" t="s">
        <v>3302</v>
      </c>
      <c r="AA663" s="2" t="s">
        <v>66</v>
      </c>
      <c r="AC663" s="2" t="s">
        <v>67</v>
      </c>
      <c r="AD663" s="2" t="s">
        <v>68</v>
      </c>
      <c r="AE663" s="2" t="s">
        <v>69</v>
      </c>
      <c r="AF663" s="2" t="s">
        <v>70</v>
      </c>
      <c r="AG663" s="2" t="s">
        <v>4887</v>
      </c>
      <c r="AK663" s="2" t="s">
        <v>5578</v>
      </c>
      <c r="AM663" s="2" t="s">
        <v>72</v>
      </c>
      <c r="AN663" s="2" t="s">
        <v>344</v>
      </c>
      <c r="AP663" s="2" t="s">
        <v>4546</v>
      </c>
      <c r="AU663" s="2" t="s">
        <v>75</v>
      </c>
      <c r="AV663" s="2" t="s">
        <v>223</v>
      </c>
      <c r="AW663" s="2" t="s">
        <v>5579</v>
      </c>
      <c r="AZ663" s="2" t="s">
        <v>116</v>
      </c>
    </row>
    <row r="664" spans="1:52" s="3" customFormat="1" x14ac:dyDescent="0.35">
      <c r="A664" s="2" t="s">
        <v>5580</v>
      </c>
      <c r="B664" s="4">
        <v>244052</v>
      </c>
      <c r="C664" s="2" t="s">
        <v>5581</v>
      </c>
      <c r="D664" s="2">
        <f t="shared" si="10"/>
        <v>3</v>
      </c>
      <c r="G664" s="2" t="s">
        <v>53</v>
      </c>
      <c r="H664" s="4">
        <v>1</v>
      </c>
      <c r="I664" s="4">
        <v>1</v>
      </c>
      <c r="J664" s="4">
        <v>0</v>
      </c>
      <c r="L664" s="4">
        <v>0</v>
      </c>
      <c r="M664" s="2" t="s">
        <v>55</v>
      </c>
      <c r="N664" s="2" t="s">
        <v>56</v>
      </c>
      <c r="O664" s="2" t="s">
        <v>57</v>
      </c>
      <c r="P664" s="2" t="s">
        <v>4887</v>
      </c>
      <c r="Q664" s="2" t="s">
        <v>4888</v>
      </c>
      <c r="R664" s="2" t="s">
        <v>5582</v>
      </c>
      <c r="S664" s="2" t="s">
        <v>5583</v>
      </c>
      <c r="V664" s="2" t="s">
        <v>5584</v>
      </c>
      <c r="W664" s="2" t="s">
        <v>5585</v>
      </c>
      <c r="Y664" s="2" t="s">
        <v>64</v>
      </c>
      <c r="Z664" s="2" t="s">
        <v>3302</v>
      </c>
      <c r="AA664" s="2" t="s">
        <v>64</v>
      </c>
      <c r="AC664" s="2" t="s">
        <v>67</v>
      </c>
      <c r="AD664" s="2" t="s">
        <v>68</v>
      </c>
      <c r="AE664" s="2" t="s">
        <v>69</v>
      </c>
      <c r="AF664" s="2" t="s">
        <v>70</v>
      </c>
      <c r="AG664" s="2" t="s">
        <v>4887</v>
      </c>
      <c r="AK664" s="2" t="s">
        <v>5586</v>
      </c>
      <c r="AM664" s="2" t="s">
        <v>72</v>
      </c>
      <c r="AN664" s="2" t="s">
        <v>344</v>
      </c>
      <c r="AP664" s="2" t="s">
        <v>4546</v>
      </c>
      <c r="AU664" s="2" t="s">
        <v>75</v>
      </c>
      <c r="AW664" s="2" t="s">
        <v>5587</v>
      </c>
      <c r="AZ664" s="2" t="s">
        <v>116</v>
      </c>
    </row>
    <row r="665" spans="1:52" s="3" customFormat="1" x14ac:dyDescent="0.35">
      <c r="A665" s="2" t="s">
        <v>5588</v>
      </c>
      <c r="B665" s="4">
        <v>244051</v>
      </c>
      <c r="C665" s="2" t="s">
        <v>5589</v>
      </c>
      <c r="D665" s="2">
        <f t="shared" si="10"/>
        <v>3</v>
      </c>
      <c r="G665" s="2" t="s">
        <v>53</v>
      </c>
      <c r="H665" s="4">
        <v>1</v>
      </c>
      <c r="I665" s="4">
        <v>1</v>
      </c>
      <c r="J665" s="4">
        <v>0</v>
      </c>
      <c r="L665" s="4">
        <v>0</v>
      </c>
      <c r="M665" s="2" t="s">
        <v>55</v>
      </c>
      <c r="N665" s="2" t="s">
        <v>56</v>
      </c>
      <c r="O665" s="2" t="s">
        <v>57</v>
      </c>
      <c r="P665" s="2" t="s">
        <v>4633</v>
      </c>
      <c r="Q665" s="2" t="s">
        <v>4634</v>
      </c>
      <c r="R665" s="2" t="s">
        <v>5590</v>
      </c>
      <c r="S665" s="2" t="s">
        <v>5591</v>
      </c>
      <c r="V665" s="2" t="s">
        <v>5592</v>
      </c>
      <c r="W665" s="2" t="s">
        <v>5593</v>
      </c>
      <c r="Y665" s="2" t="s">
        <v>64</v>
      </c>
      <c r="Z665" s="2" t="s">
        <v>3302</v>
      </c>
      <c r="AA665" s="2" t="s">
        <v>66</v>
      </c>
      <c r="AC665" s="2" t="s">
        <v>67</v>
      </c>
      <c r="AD665" s="2" t="s">
        <v>68</v>
      </c>
      <c r="AE665" s="2" t="s">
        <v>69</v>
      </c>
      <c r="AF665" s="2" t="s">
        <v>70</v>
      </c>
      <c r="AG665" s="2" t="s">
        <v>4633</v>
      </c>
      <c r="AK665" s="2" t="s">
        <v>5594</v>
      </c>
      <c r="AM665" s="2" t="s">
        <v>72</v>
      </c>
      <c r="AN665" s="2" t="s">
        <v>344</v>
      </c>
      <c r="AP665" s="2" t="s">
        <v>4546</v>
      </c>
      <c r="AU665" s="2" t="s">
        <v>75</v>
      </c>
      <c r="AW665" s="2" t="s">
        <v>5595</v>
      </c>
      <c r="AZ665" s="2" t="s">
        <v>116</v>
      </c>
    </row>
    <row r="666" spans="1:52" s="3" customFormat="1" x14ac:dyDescent="0.35">
      <c r="A666" s="2" t="s">
        <v>5596</v>
      </c>
      <c r="B666" s="4">
        <v>244049</v>
      </c>
      <c r="C666" s="2" t="s">
        <v>5597</v>
      </c>
      <c r="D666" s="2">
        <f t="shared" si="10"/>
        <v>3</v>
      </c>
      <c r="G666" s="2" t="s">
        <v>53</v>
      </c>
      <c r="H666" s="4">
        <v>1</v>
      </c>
      <c r="I666" s="4">
        <v>1</v>
      </c>
      <c r="J666" s="4">
        <v>0</v>
      </c>
      <c r="L666" s="4">
        <v>0</v>
      </c>
      <c r="M666" s="2" t="s">
        <v>55</v>
      </c>
      <c r="N666" s="2" t="s">
        <v>56</v>
      </c>
      <c r="O666" s="2" t="s">
        <v>57</v>
      </c>
      <c r="P666" s="2" t="s">
        <v>4887</v>
      </c>
      <c r="Q666" s="2" t="s">
        <v>4888</v>
      </c>
      <c r="R666" s="2" t="s">
        <v>5598</v>
      </c>
      <c r="T666" s="2" t="s">
        <v>2833</v>
      </c>
      <c r="U666" s="2" t="s">
        <v>2834</v>
      </c>
      <c r="V666" s="2" t="s">
        <v>5599</v>
      </c>
      <c r="W666" s="2" t="s">
        <v>5600</v>
      </c>
      <c r="X666" s="2" t="s">
        <v>2837</v>
      </c>
      <c r="Y666" s="2" t="s">
        <v>2838</v>
      </c>
      <c r="Z666" s="2" t="s">
        <v>2839</v>
      </c>
      <c r="AA666" s="2" t="s">
        <v>2840</v>
      </c>
      <c r="AB666" s="2" t="s">
        <v>2841</v>
      </c>
      <c r="AC666" s="2" t="s">
        <v>2842</v>
      </c>
      <c r="AD666" s="2" t="s">
        <v>1402</v>
      </c>
      <c r="AE666" s="2" t="s">
        <v>1403</v>
      </c>
      <c r="AF666" s="2" t="s">
        <v>70</v>
      </c>
      <c r="AG666" s="2" t="s">
        <v>5601</v>
      </c>
      <c r="AK666" s="2" t="s">
        <v>5602</v>
      </c>
      <c r="AM666" s="2" t="s">
        <v>72</v>
      </c>
      <c r="AN666" s="2" t="s">
        <v>1046</v>
      </c>
      <c r="AP666" s="2" t="s">
        <v>4546</v>
      </c>
      <c r="AU666" s="2" t="s">
        <v>75</v>
      </c>
      <c r="AV666" s="2" t="s">
        <v>2844</v>
      </c>
      <c r="AW666" s="2" t="s">
        <v>2845</v>
      </c>
      <c r="AZ666" s="2" t="s">
        <v>116</v>
      </c>
    </row>
    <row r="667" spans="1:52" s="3" customFormat="1" x14ac:dyDescent="0.35">
      <c r="A667" s="2" t="s">
        <v>5603</v>
      </c>
      <c r="B667" s="4">
        <v>244048</v>
      </c>
      <c r="C667" s="2" t="s">
        <v>5604</v>
      </c>
      <c r="D667" s="2">
        <f t="shared" si="10"/>
        <v>3</v>
      </c>
      <c r="G667" s="2" t="s">
        <v>53</v>
      </c>
      <c r="H667" s="4">
        <v>1</v>
      </c>
      <c r="I667" s="4">
        <v>1</v>
      </c>
      <c r="J667" s="4">
        <v>0</v>
      </c>
      <c r="L667" s="4">
        <v>0</v>
      </c>
      <c r="M667" s="2" t="s">
        <v>55</v>
      </c>
      <c r="N667" s="2" t="s">
        <v>56</v>
      </c>
      <c r="O667" s="2" t="s">
        <v>57</v>
      </c>
      <c r="P667" s="2" t="s">
        <v>4887</v>
      </c>
      <c r="Q667" s="2" t="s">
        <v>4888</v>
      </c>
      <c r="R667" s="2" t="s">
        <v>5605</v>
      </c>
      <c r="T667" s="2" t="s">
        <v>3663</v>
      </c>
      <c r="U667" s="2" t="s">
        <v>3664</v>
      </c>
      <c r="V667" s="2" t="s">
        <v>5606</v>
      </c>
      <c r="W667" s="2" t="s">
        <v>5607</v>
      </c>
      <c r="X667" s="2" t="s">
        <v>3667</v>
      </c>
      <c r="Y667" s="2" t="s">
        <v>3668</v>
      </c>
      <c r="Z667" s="2" t="s">
        <v>3669</v>
      </c>
      <c r="AA667" s="2" t="s">
        <v>3670</v>
      </c>
      <c r="AB667" s="2" t="s">
        <v>3671</v>
      </c>
      <c r="AC667" s="2" t="s">
        <v>3672</v>
      </c>
      <c r="AD667" s="2" t="s">
        <v>3673</v>
      </c>
      <c r="AE667" s="2" t="s">
        <v>2980</v>
      </c>
      <c r="AF667" s="2" t="s">
        <v>70</v>
      </c>
      <c r="AG667" s="2" t="s">
        <v>3674</v>
      </c>
      <c r="AK667" s="2" t="s">
        <v>5608</v>
      </c>
      <c r="AM667" s="2" t="s">
        <v>72</v>
      </c>
      <c r="AN667" s="2" t="s">
        <v>1046</v>
      </c>
      <c r="AP667" s="2" t="s">
        <v>4546</v>
      </c>
      <c r="AU667" s="2" t="s">
        <v>75</v>
      </c>
      <c r="AV667" s="2" t="s">
        <v>3676</v>
      </c>
      <c r="AW667" s="2" t="s">
        <v>3677</v>
      </c>
      <c r="AZ667" s="2" t="s">
        <v>116</v>
      </c>
    </row>
    <row r="668" spans="1:52" s="3" customFormat="1" x14ac:dyDescent="0.35">
      <c r="A668" s="2" t="s">
        <v>5609</v>
      </c>
      <c r="B668" s="4">
        <v>244040</v>
      </c>
      <c r="C668" s="2" t="s">
        <v>5610</v>
      </c>
      <c r="D668" s="2">
        <f t="shared" si="10"/>
        <v>3</v>
      </c>
      <c r="G668" s="2" t="s">
        <v>53</v>
      </c>
      <c r="H668" s="4">
        <v>1</v>
      </c>
      <c r="I668" s="4">
        <v>1</v>
      </c>
      <c r="J668" s="4">
        <v>0</v>
      </c>
      <c r="L668" s="4">
        <v>0</v>
      </c>
      <c r="M668" s="2" t="s">
        <v>55</v>
      </c>
      <c r="N668" s="2" t="s">
        <v>56</v>
      </c>
      <c r="O668" s="2" t="s">
        <v>57</v>
      </c>
      <c r="P668" s="2" t="s">
        <v>4887</v>
      </c>
      <c r="Q668" s="2" t="s">
        <v>4888</v>
      </c>
      <c r="R668" s="2" t="s">
        <v>5611</v>
      </c>
      <c r="S668" s="2" t="s">
        <v>5612</v>
      </c>
      <c r="V668" s="2" t="s">
        <v>5613</v>
      </c>
      <c r="W668" s="2" t="s">
        <v>5614</v>
      </c>
      <c r="Y668" s="2" t="s">
        <v>64</v>
      </c>
      <c r="Z668" s="2" t="s">
        <v>3302</v>
      </c>
      <c r="AA668" s="2" t="s">
        <v>66</v>
      </c>
      <c r="AC668" s="2" t="s">
        <v>67</v>
      </c>
      <c r="AD668" s="2" t="s">
        <v>68</v>
      </c>
      <c r="AE668" s="2" t="s">
        <v>69</v>
      </c>
      <c r="AF668" s="2" t="s">
        <v>70</v>
      </c>
      <c r="AG668" s="2" t="s">
        <v>4887</v>
      </c>
      <c r="AK668" s="2" t="s">
        <v>5615</v>
      </c>
      <c r="AM668" s="2" t="s">
        <v>72</v>
      </c>
      <c r="AN668" s="2" t="s">
        <v>595</v>
      </c>
      <c r="AP668" s="2" t="s">
        <v>4546</v>
      </c>
      <c r="AU668" s="2" t="s">
        <v>75</v>
      </c>
      <c r="AW668" s="2" t="s">
        <v>5616</v>
      </c>
      <c r="AZ668" s="2" t="s">
        <v>116</v>
      </c>
    </row>
    <row r="669" spans="1:52" s="3" customFormat="1" x14ac:dyDescent="0.35">
      <c r="A669" s="2" t="s">
        <v>5617</v>
      </c>
      <c r="B669" s="4">
        <v>244039</v>
      </c>
      <c r="C669" s="2" t="s">
        <v>5618</v>
      </c>
      <c r="D669" s="2">
        <f t="shared" si="10"/>
        <v>3</v>
      </c>
      <c r="G669" s="2" t="s">
        <v>53</v>
      </c>
      <c r="H669" s="4">
        <v>2</v>
      </c>
      <c r="I669" s="4">
        <v>1</v>
      </c>
      <c r="J669" s="4">
        <v>0</v>
      </c>
      <c r="L669" s="4">
        <v>0</v>
      </c>
      <c r="M669" s="2" t="s">
        <v>55</v>
      </c>
      <c r="N669" s="2" t="s">
        <v>56</v>
      </c>
      <c r="O669" s="2" t="s">
        <v>57</v>
      </c>
      <c r="P669" s="2" t="s">
        <v>4633</v>
      </c>
      <c r="Q669" s="2" t="s">
        <v>4634</v>
      </c>
      <c r="R669" s="2" t="s">
        <v>5619</v>
      </c>
      <c r="S669" s="2" t="s">
        <v>5620</v>
      </c>
      <c r="V669" s="2" t="s">
        <v>5621</v>
      </c>
      <c r="W669" s="2" t="s">
        <v>5622</v>
      </c>
      <c r="Y669" s="2" t="s">
        <v>64</v>
      </c>
      <c r="Z669" s="2" t="s">
        <v>3302</v>
      </c>
      <c r="AA669" s="2" t="s">
        <v>66</v>
      </c>
      <c r="AC669" s="2" t="s">
        <v>67</v>
      </c>
      <c r="AD669" s="2" t="s">
        <v>68</v>
      </c>
      <c r="AE669" s="2" t="s">
        <v>69</v>
      </c>
      <c r="AF669" s="2" t="s">
        <v>70</v>
      </c>
      <c r="AG669" s="2" t="s">
        <v>4633</v>
      </c>
      <c r="AK669" s="2" t="s">
        <v>5623</v>
      </c>
      <c r="AM669" s="2" t="s">
        <v>72</v>
      </c>
      <c r="AN669" s="2" t="s">
        <v>595</v>
      </c>
      <c r="AP669" s="2" t="s">
        <v>4546</v>
      </c>
      <c r="AU669" s="2" t="s">
        <v>75</v>
      </c>
      <c r="AW669" s="2" t="s">
        <v>5624</v>
      </c>
      <c r="AZ669" s="2" t="s">
        <v>116</v>
      </c>
    </row>
    <row r="670" spans="1:52" s="3" customFormat="1" x14ac:dyDescent="0.35">
      <c r="A670" s="2" t="s">
        <v>5625</v>
      </c>
      <c r="B670" s="4">
        <v>244036</v>
      </c>
      <c r="C670" s="2" t="s">
        <v>5626</v>
      </c>
      <c r="D670" s="2">
        <f t="shared" si="10"/>
        <v>3</v>
      </c>
      <c r="G670" s="2" t="s">
        <v>53</v>
      </c>
      <c r="H670" s="4">
        <v>1</v>
      </c>
      <c r="I670" s="4">
        <v>1</v>
      </c>
      <c r="J670" s="4">
        <v>0</v>
      </c>
      <c r="L670" s="4">
        <v>0</v>
      </c>
      <c r="M670" s="2" t="s">
        <v>55</v>
      </c>
      <c r="N670" s="2" t="s">
        <v>56</v>
      </c>
      <c r="O670" s="2" t="s">
        <v>57</v>
      </c>
      <c r="P670" s="2" t="s">
        <v>4633</v>
      </c>
      <c r="Q670" s="2" t="s">
        <v>4634</v>
      </c>
      <c r="R670" s="2" t="s">
        <v>5627</v>
      </c>
      <c r="S670" s="2" t="s">
        <v>5628</v>
      </c>
      <c r="V670" s="2" t="s">
        <v>5629</v>
      </c>
      <c r="W670" s="2" t="s">
        <v>5630</v>
      </c>
      <c r="Y670" s="2" t="s">
        <v>64</v>
      </c>
      <c r="Z670" s="2" t="s">
        <v>3302</v>
      </c>
      <c r="AA670" s="2" t="s">
        <v>66</v>
      </c>
      <c r="AC670" s="2" t="s">
        <v>67</v>
      </c>
      <c r="AD670" s="2" t="s">
        <v>68</v>
      </c>
      <c r="AE670" s="2" t="s">
        <v>69</v>
      </c>
      <c r="AF670" s="2" t="s">
        <v>70</v>
      </c>
      <c r="AG670" s="2" t="s">
        <v>4633</v>
      </c>
      <c r="AK670" s="2" t="s">
        <v>5631</v>
      </c>
      <c r="AM670" s="2" t="s">
        <v>72</v>
      </c>
      <c r="AN670" s="2" t="s">
        <v>283</v>
      </c>
      <c r="AP670" s="2" t="s">
        <v>4546</v>
      </c>
      <c r="AU670" s="2" t="s">
        <v>75</v>
      </c>
      <c r="AW670" s="2" t="s">
        <v>5632</v>
      </c>
      <c r="AZ670" s="2" t="s">
        <v>116</v>
      </c>
    </row>
    <row r="671" spans="1:52" s="3" customFormat="1" x14ac:dyDescent="0.35">
      <c r="A671" s="2" t="s">
        <v>5633</v>
      </c>
      <c r="B671" s="4">
        <v>243993</v>
      </c>
      <c r="C671" s="2" t="s">
        <v>5634</v>
      </c>
      <c r="D671" s="2">
        <f t="shared" si="10"/>
        <v>3</v>
      </c>
      <c r="G671" s="2" t="s">
        <v>53</v>
      </c>
      <c r="H671" s="4">
        <v>5</v>
      </c>
      <c r="I671" s="4">
        <v>1</v>
      </c>
      <c r="J671" s="4">
        <v>0</v>
      </c>
      <c r="L671" s="4">
        <v>0</v>
      </c>
      <c r="M671" s="2" t="s">
        <v>55</v>
      </c>
      <c r="N671" s="2" t="s">
        <v>56</v>
      </c>
      <c r="O671" s="2" t="s">
        <v>57</v>
      </c>
      <c r="P671" s="2" t="s">
        <v>4633</v>
      </c>
      <c r="Q671" s="2" t="s">
        <v>4634</v>
      </c>
      <c r="R671" s="2" t="s">
        <v>1034</v>
      </c>
      <c r="T671" s="2" t="s">
        <v>1035</v>
      </c>
      <c r="U671" s="2" t="s">
        <v>1036</v>
      </c>
      <c r="V671" s="2" t="s">
        <v>1037</v>
      </c>
      <c r="W671" s="2" t="s">
        <v>2419</v>
      </c>
      <c r="X671" s="2" t="s">
        <v>2420</v>
      </c>
      <c r="Y671" s="2" t="s">
        <v>1040</v>
      </c>
      <c r="Z671" s="2" t="s">
        <v>1041</v>
      </c>
      <c r="AA671" s="2" t="s">
        <v>1042</v>
      </c>
      <c r="AB671" s="2" t="s">
        <v>1043</v>
      </c>
      <c r="AC671" s="2" t="s">
        <v>1044</v>
      </c>
      <c r="AD671" s="2" t="s">
        <v>68</v>
      </c>
      <c r="AE671" s="2" t="s">
        <v>69</v>
      </c>
      <c r="AF671" s="2" t="s">
        <v>70</v>
      </c>
      <c r="AG671" s="2" t="s">
        <v>5536</v>
      </c>
      <c r="AK671" s="2" t="s">
        <v>5635</v>
      </c>
      <c r="AM671" s="2" t="s">
        <v>72</v>
      </c>
      <c r="AN671" s="2" t="s">
        <v>1046</v>
      </c>
      <c r="AP671" s="2" t="s">
        <v>4546</v>
      </c>
      <c r="AU671" s="2" t="s">
        <v>75</v>
      </c>
      <c r="AV671" s="2" t="s">
        <v>1047</v>
      </c>
      <c r="AW671" s="2" t="s">
        <v>1048</v>
      </c>
      <c r="AZ671" s="2" t="s">
        <v>116</v>
      </c>
    </row>
    <row r="672" spans="1:52" s="3" customFormat="1" x14ac:dyDescent="0.35">
      <c r="A672" s="2" t="s">
        <v>5636</v>
      </c>
      <c r="B672" s="4">
        <v>243971</v>
      </c>
      <c r="C672" s="2" t="s">
        <v>5637</v>
      </c>
      <c r="D672" s="2">
        <f t="shared" si="10"/>
        <v>3</v>
      </c>
      <c r="G672" s="2" t="s">
        <v>53</v>
      </c>
      <c r="H672" s="4">
        <v>2</v>
      </c>
      <c r="I672" s="4">
        <v>1</v>
      </c>
      <c r="J672" s="4">
        <v>0</v>
      </c>
      <c r="L672" s="4">
        <v>0</v>
      </c>
      <c r="M672" s="2" t="s">
        <v>55</v>
      </c>
      <c r="N672" s="2" t="s">
        <v>56</v>
      </c>
      <c r="O672" s="2" t="s">
        <v>57</v>
      </c>
      <c r="P672" s="2" t="s">
        <v>5638</v>
      </c>
      <c r="Q672" s="2" t="s">
        <v>5639</v>
      </c>
      <c r="R672" s="2" t="s">
        <v>5640</v>
      </c>
      <c r="T672" s="2" t="s">
        <v>5641</v>
      </c>
      <c r="U672" s="2" t="s">
        <v>5642</v>
      </c>
      <c r="V672" s="2" t="s">
        <v>5643</v>
      </c>
      <c r="W672" s="2" t="s">
        <v>5644</v>
      </c>
      <c r="X672" s="2" t="s">
        <v>5645</v>
      </c>
      <c r="Y672" s="2" t="s">
        <v>5646</v>
      </c>
      <c r="Z672" s="2" t="s">
        <v>5647</v>
      </c>
      <c r="AA672" s="2" t="s">
        <v>5402</v>
      </c>
      <c r="AB672" s="2" t="s">
        <v>5648</v>
      </c>
      <c r="AC672" s="2" t="s">
        <v>5649</v>
      </c>
      <c r="AD672" s="2" t="s">
        <v>68</v>
      </c>
      <c r="AE672" s="2" t="s">
        <v>69</v>
      </c>
      <c r="AF672" s="2" t="s">
        <v>70</v>
      </c>
      <c r="AG672" s="2" t="s">
        <v>5650</v>
      </c>
      <c r="AK672" s="2" t="s">
        <v>5651</v>
      </c>
      <c r="AM672" s="2" t="s">
        <v>72</v>
      </c>
      <c r="AN672" s="2" t="s">
        <v>1046</v>
      </c>
      <c r="AP672" s="2" t="s">
        <v>4449</v>
      </c>
      <c r="AU672" s="2" t="s">
        <v>75</v>
      </c>
      <c r="AV672" s="2" t="s">
        <v>5652</v>
      </c>
      <c r="AW672" s="2" t="s">
        <v>5653</v>
      </c>
      <c r="AZ672" s="2" t="s">
        <v>116</v>
      </c>
    </row>
    <row r="673" spans="1:52" s="3" customFormat="1" x14ac:dyDescent="0.35">
      <c r="A673" s="2" t="s">
        <v>5654</v>
      </c>
      <c r="B673" s="4">
        <v>243946</v>
      </c>
      <c r="C673" s="2" t="s">
        <v>5655</v>
      </c>
      <c r="D673" s="2">
        <f t="shared" si="10"/>
        <v>3</v>
      </c>
      <c r="G673" s="2" t="s">
        <v>53</v>
      </c>
      <c r="H673" s="4">
        <v>1</v>
      </c>
      <c r="I673" s="4">
        <v>1</v>
      </c>
      <c r="J673" s="4">
        <v>0</v>
      </c>
      <c r="L673" s="4">
        <v>0</v>
      </c>
      <c r="M673" s="2" t="s">
        <v>55</v>
      </c>
      <c r="N673" s="2" t="s">
        <v>56</v>
      </c>
      <c r="O673" s="2" t="s">
        <v>57</v>
      </c>
      <c r="P673" s="2" t="s">
        <v>4887</v>
      </c>
      <c r="Q673" s="2" t="s">
        <v>4888</v>
      </c>
      <c r="R673" s="2" t="s">
        <v>5656</v>
      </c>
      <c r="S673" s="2" t="s">
        <v>5657</v>
      </c>
      <c r="V673" s="2" t="s">
        <v>5658</v>
      </c>
      <c r="W673" s="2" t="s">
        <v>5659</v>
      </c>
      <c r="Y673" s="2" t="s">
        <v>64</v>
      </c>
      <c r="Z673" s="2" t="s">
        <v>3302</v>
      </c>
      <c r="AA673" s="2" t="s">
        <v>66</v>
      </c>
      <c r="AC673" s="2" t="s">
        <v>67</v>
      </c>
      <c r="AD673" s="2" t="s">
        <v>68</v>
      </c>
      <c r="AE673" s="2" t="s">
        <v>69</v>
      </c>
      <c r="AF673" s="2" t="s">
        <v>70</v>
      </c>
      <c r="AG673" s="2" t="s">
        <v>4887</v>
      </c>
      <c r="AK673" s="2" t="s">
        <v>5660</v>
      </c>
      <c r="AM673" s="2" t="s">
        <v>72</v>
      </c>
      <c r="AN673" s="2" t="s">
        <v>73</v>
      </c>
      <c r="AP673" s="2" t="s">
        <v>4546</v>
      </c>
      <c r="AU673" s="2" t="s">
        <v>75</v>
      </c>
      <c r="AW673" s="2" t="s">
        <v>5661</v>
      </c>
      <c r="AZ673" s="2" t="s">
        <v>116</v>
      </c>
    </row>
    <row r="674" spans="1:52" s="3" customFormat="1" x14ac:dyDescent="0.35">
      <c r="A674" s="2" t="s">
        <v>5662</v>
      </c>
      <c r="B674" s="4">
        <v>243929</v>
      </c>
      <c r="C674" s="2" t="s">
        <v>5663</v>
      </c>
      <c r="D674" s="2">
        <f t="shared" si="10"/>
        <v>3</v>
      </c>
      <c r="G674" s="2" t="s">
        <v>53</v>
      </c>
      <c r="H674" s="4">
        <v>1</v>
      </c>
      <c r="I674" s="4">
        <v>1</v>
      </c>
      <c r="J674" s="4">
        <v>0</v>
      </c>
      <c r="L674" s="4">
        <v>0</v>
      </c>
      <c r="M674" s="2" t="s">
        <v>55</v>
      </c>
      <c r="N674" s="2" t="s">
        <v>56</v>
      </c>
      <c r="O674" s="2" t="s">
        <v>57</v>
      </c>
      <c r="P674" s="2" t="s">
        <v>4633</v>
      </c>
      <c r="Q674" s="2" t="s">
        <v>4634</v>
      </c>
      <c r="R674" s="2" t="s">
        <v>5664</v>
      </c>
      <c r="S674" s="2" t="s">
        <v>5665</v>
      </c>
      <c r="V674" s="2" t="s">
        <v>5666</v>
      </c>
      <c r="W674" s="2" t="s">
        <v>5667</v>
      </c>
      <c r="Y674" s="2" t="s">
        <v>64</v>
      </c>
      <c r="Z674" s="2" t="s">
        <v>3302</v>
      </c>
      <c r="AA674" s="2" t="s">
        <v>66</v>
      </c>
      <c r="AC674" s="2" t="s">
        <v>67</v>
      </c>
      <c r="AD674" s="2" t="s">
        <v>68</v>
      </c>
      <c r="AE674" s="2" t="s">
        <v>69</v>
      </c>
      <c r="AF674" s="2" t="s">
        <v>70</v>
      </c>
      <c r="AG674" s="2" t="s">
        <v>4633</v>
      </c>
      <c r="AK674" s="2" t="s">
        <v>5668</v>
      </c>
      <c r="AM674" s="2" t="s">
        <v>72</v>
      </c>
      <c r="AN674" s="2" t="s">
        <v>283</v>
      </c>
      <c r="AP674" s="2" t="s">
        <v>4546</v>
      </c>
      <c r="AU674" s="2" t="s">
        <v>75</v>
      </c>
      <c r="AW674" s="2" t="s">
        <v>5669</v>
      </c>
      <c r="AZ674" s="2" t="s">
        <v>116</v>
      </c>
    </row>
    <row r="675" spans="1:52" s="3" customFormat="1" x14ac:dyDescent="0.35">
      <c r="A675" s="2" t="s">
        <v>5670</v>
      </c>
      <c r="B675" s="4">
        <v>243923</v>
      </c>
      <c r="C675" s="2" t="s">
        <v>5671</v>
      </c>
      <c r="D675" s="2">
        <f t="shared" si="10"/>
        <v>3</v>
      </c>
      <c r="G675" s="2" t="s">
        <v>53</v>
      </c>
      <c r="H675" s="4">
        <v>1</v>
      </c>
      <c r="I675" s="4">
        <v>1</v>
      </c>
      <c r="J675" s="4">
        <v>0</v>
      </c>
      <c r="L675" s="4">
        <v>0</v>
      </c>
      <c r="M675" s="2" t="s">
        <v>55</v>
      </c>
      <c r="N675" s="2" t="s">
        <v>56</v>
      </c>
      <c r="O675" s="2" t="s">
        <v>57</v>
      </c>
      <c r="P675" s="2" t="s">
        <v>4887</v>
      </c>
      <c r="Q675" s="2" t="s">
        <v>4888</v>
      </c>
      <c r="R675" s="2" t="s">
        <v>5672</v>
      </c>
      <c r="S675" s="2" t="s">
        <v>5673</v>
      </c>
      <c r="V675" s="2" t="s">
        <v>5674</v>
      </c>
      <c r="W675" s="2" t="s">
        <v>5675</v>
      </c>
      <c r="Y675" s="2" t="s">
        <v>64</v>
      </c>
      <c r="Z675" s="2" t="s">
        <v>3302</v>
      </c>
      <c r="AA675" s="2" t="s">
        <v>66</v>
      </c>
      <c r="AC675" s="2" t="s">
        <v>67</v>
      </c>
      <c r="AD675" s="2" t="s">
        <v>68</v>
      </c>
      <c r="AE675" s="2" t="s">
        <v>69</v>
      </c>
      <c r="AF675" s="2" t="s">
        <v>70</v>
      </c>
      <c r="AG675" s="2" t="s">
        <v>4887</v>
      </c>
      <c r="AK675" s="2" t="s">
        <v>5676</v>
      </c>
      <c r="AM675" s="2" t="s">
        <v>72</v>
      </c>
      <c r="AN675" s="2" t="s">
        <v>73</v>
      </c>
      <c r="AP675" s="2" t="s">
        <v>4546</v>
      </c>
      <c r="AU675" s="2" t="s">
        <v>75</v>
      </c>
      <c r="AW675" s="2" t="s">
        <v>5677</v>
      </c>
      <c r="AZ675" s="2" t="s">
        <v>116</v>
      </c>
    </row>
    <row r="676" spans="1:52" s="3" customFormat="1" x14ac:dyDescent="0.35">
      <c r="A676" s="2" t="s">
        <v>5678</v>
      </c>
      <c r="B676" s="4">
        <v>243920</v>
      </c>
      <c r="C676" s="2" t="s">
        <v>5679</v>
      </c>
      <c r="D676" s="2">
        <f t="shared" si="10"/>
        <v>3</v>
      </c>
      <c r="G676" s="2" t="s">
        <v>53</v>
      </c>
      <c r="H676" s="4">
        <v>1</v>
      </c>
      <c r="I676" s="4">
        <v>1</v>
      </c>
      <c r="J676" s="4">
        <v>0</v>
      </c>
      <c r="L676" s="4">
        <v>0</v>
      </c>
      <c r="M676" s="2" t="s">
        <v>55</v>
      </c>
      <c r="N676" s="2" t="s">
        <v>56</v>
      </c>
      <c r="O676" s="2" t="s">
        <v>57</v>
      </c>
      <c r="P676" s="2" t="s">
        <v>4887</v>
      </c>
      <c r="Q676" s="2" t="s">
        <v>4888</v>
      </c>
      <c r="R676" s="2" t="s">
        <v>5680</v>
      </c>
      <c r="S676" s="2" t="s">
        <v>5681</v>
      </c>
      <c r="V676" s="2" t="s">
        <v>5682</v>
      </c>
      <c r="W676" s="2" t="s">
        <v>5683</v>
      </c>
      <c r="Y676" s="2" t="s">
        <v>64</v>
      </c>
      <c r="Z676" s="2" t="s">
        <v>3302</v>
      </c>
      <c r="AA676" s="2" t="s">
        <v>66</v>
      </c>
      <c r="AC676" s="2" t="s">
        <v>67</v>
      </c>
      <c r="AD676" s="2" t="s">
        <v>68</v>
      </c>
      <c r="AE676" s="2" t="s">
        <v>69</v>
      </c>
      <c r="AF676" s="2" t="s">
        <v>70</v>
      </c>
      <c r="AG676" s="2" t="s">
        <v>4887</v>
      </c>
      <c r="AK676" s="2" t="s">
        <v>5684</v>
      </c>
      <c r="AM676" s="2" t="s">
        <v>72</v>
      </c>
      <c r="AN676" s="2" t="s">
        <v>1383</v>
      </c>
      <c r="AP676" s="2" t="s">
        <v>4546</v>
      </c>
      <c r="AU676" s="2" t="s">
        <v>75</v>
      </c>
      <c r="AW676" s="2" t="s">
        <v>5685</v>
      </c>
      <c r="AZ676" s="2" t="s">
        <v>116</v>
      </c>
    </row>
    <row r="677" spans="1:52" s="3" customFormat="1" x14ac:dyDescent="0.35">
      <c r="A677" s="2" t="s">
        <v>5686</v>
      </c>
      <c r="B677" s="4">
        <v>243857</v>
      </c>
      <c r="C677" s="2" t="s">
        <v>5687</v>
      </c>
      <c r="D677" s="2">
        <f t="shared" si="10"/>
        <v>3</v>
      </c>
      <c r="G677" s="2" t="s">
        <v>53</v>
      </c>
      <c r="H677" s="4">
        <v>1</v>
      </c>
      <c r="I677" s="4">
        <v>1</v>
      </c>
      <c r="J677" s="4">
        <v>0</v>
      </c>
      <c r="L677" s="4">
        <v>0</v>
      </c>
      <c r="M677" s="2" t="s">
        <v>55</v>
      </c>
      <c r="N677" s="2" t="s">
        <v>56</v>
      </c>
      <c r="O677" s="2" t="s">
        <v>57</v>
      </c>
      <c r="P677" s="2" t="s">
        <v>4633</v>
      </c>
      <c r="Q677" s="2" t="s">
        <v>4634</v>
      </c>
      <c r="R677" s="2" t="s">
        <v>5688</v>
      </c>
      <c r="S677" s="2" t="s">
        <v>5689</v>
      </c>
      <c r="V677" s="2" t="s">
        <v>5690</v>
      </c>
      <c r="W677" s="2" t="s">
        <v>5691</v>
      </c>
      <c r="Y677" s="2" t="s">
        <v>64</v>
      </c>
      <c r="Z677" s="2" t="s">
        <v>3302</v>
      </c>
      <c r="AA677" s="2" t="s">
        <v>66</v>
      </c>
      <c r="AC677" s="2" t="s">
        <v>67</v>
      </c>
      <c r="AD677" s="2" t="s">
        <v>68</v>
      </c>
      <c r="AE677" s="2" t="s">
        <v>69</v>
      </c>
      <c r="AF677" s="2" t="s">
        <v>70</v>
      </c>
      <c r="AG677" s="2" t="s">
        <v>4633</v>
      </c>
      <c r="AK677" s="2" t="s">
        <v>5692</v>
      </c>
      <c r="AM677" s="2" t="s">
        <v>72</v>
      </c>
      <c r="AN677" s="2" t="s">
        <v>283</v>
      </c>
      <c r="AP677" s="2" t="s">
        <v>4546</v>
      </c>
      <c r="AU677" s="2" t="s">
        <v>75</v>
      </c>
      <c r="AV677" s="2" t="s">
        <v>5693</v>
      </c>
      <c r="AW677" s="2" t="s">
        <v>5694</v>
      </c>
      <c r="AZ677" s="2" t="s">
        <v>116</v>
      </c>
    </row>
    <row r="678" spans="1:52" s="3" customFormat="1" x14ac:dyDescent="0.35">
      <c r="A678" s="2" t="s">
        <v>5695</v>
      </c>
      <c r="B678" s="4">
        <v>243836</v>
      </c>
      <c r="C678" s="2" t="s">
        <v>5696</v>
      </c>
      <c r="D678" s="2">
        <f t="shared" si="10"/>
        <v>3</v>
      </c>
      <c r="G678" s="2" t="s">
        <v>53</v>
      </c>
      <c r="H678" s="4">
        <v>2</v>
      </c>
      <c r="I678" s="4">
        <v>1</v>
      </c>
      <c r="J678" s="4">
        <v>0</v>
      </c>
      <c r="L678" s="4">
        <v>0</v>
      </c>
      <c r="M678" s="2" t="s">
        <v>55</v>
      </c>
      <c r="N678" s="2" t="s">
        <v>56</v>
      </c>
      <c r="O678" s="2" t="s">
        <v>57</v>
      </c>
      <c r="P678" s="2" t="s">
        <v>4633</v>
      </c>
      <c r="Q678" s="2" t="s">
        <v>4634</v>
      </c>
      <c r="R678" s="2" t="s">
        <v>5697</v>
      </c>
      <c r="S678" s="2" t="s">
        <v>5698</v>
      </c>
      <c r="V678" s="2" t="s">
        <v>5699</v>
      </c>
      <c r="W678" s="2" t="s">
        <v>5700</v>
      </c>
      <c r="Y678" s="2" t="s">
        <v>64</v>
      </c>
      <c r="Z678" s="2" t="s">
        <v>65</v>
      </c>
      <c r="AA678" s="2" t="s">
        <v>66</v>
      </c>
      <c r="AC678" s="2" t="s">
        <v>67</v>
      </c>
      <c r="AD678" s="2" t="s">
        <v>68</v>
      </c>
      <c r="AE678" s="2" t="s">
        <v>69</v>
      </c>
      <c r="AF678" s="2" t="s">
        <v>70</v>
      </c>
      <c r="AG678" s="2" t="s">
        <v>4633</v>
      </c>
      <c r="AK678" s="2" t="s">
        <v>5701</v>
      </c>
      <c r="AM678" s="2" t="s">
        <v>72</v>
      </c>
      <c r="AN678" s="2" t="s">
        <v>283</v>
      </c>
      <c r="AP678" s="2" t="s">
        <v>4546</v>
      </c>
      <c r="AU678" s="2" t="s">
        <v>75</v>
      </c>
      <c r="AW678" s="2" t="s">
        <v>5702</v>
      </c>
      <c r="AZ678" s="2" t="s">
        <v>116</v>
      </c>
    </row>
    <row r="679" spans="1:52" s="3" customFormat="1" x14ac:dyDescent="0.35">
      <c r="A679" s="2" t="s">
        <v>5703</v>
      </c>
      <c r="B679" s="4">
        <v>243835</v>
      </c>
      <c r="C679" s="2" t="s">
        <v>5704</v>
      </c>
      <c r="D679" s="2">
        <f t="shared" si="10"/>
        <v>3</v>
      </c>
      <c r="G679" s="2" t="s">
        <v>53</v>
      </c>
      <c r="H679" s="4">
        <v>2</v>
      </c>
      <c r="I679" s="4">
        <v>1</v>
      </c>
      <c r="J679" s="4">
        <v>0</v>
      </c>
      <c r="L679" s="4">
        <v>0</v>
      </c>
      <c r="M679" s="2" t="s">
        <v>55</v>
      </c>
      <c r="N679" s="2" t="s">
        <v>56</v>
      </c>
      <c r="O679" s="2" t="s">
        <v>57</v>
      </c>
      <c r="P679" s="2" t="s">
        <v>4633</v>
      </c>
      <c r="Q679" s="2" t="s">
        <v>4634</v>
      </c>
      <c r="R679" s="2" t="s">
        <v>5705</v>
      </c>
      <c r="S679" s="2" t="s">
        <v>5706</v>
      </c>
      <c r="V679" s="2" t="s">
        <v>5707</v>
      </c>
      <c r="W679" s="2" t="s">
        <v>5708</v>
      </c>
      <c r="Y679" s="2" t="s">
        <v>64</v>
      </c>
      <c r="Z679" s="2" t="s">
        <v>65</v>
      </c>
      <c r="AA679" s="2" t="s">
        <v>66</v>
      </c>
      <c r="AC679" s="2" t="s">
        <v>67</v>
      </c>
      <c r="AD679" s="2" t="s">
        <v>68</v>
      </c>
      <c r="AE679" s="2" t="s">
        <v>69</v>
      </c>
      <c r="AF679" s="2" t="s">
        <v>70</v>
      </c>
      <c r="AG679" s="2" t="s">
        <v>4633</v>
      </c>
      <c r="AK679" s="2" t="s">
        <v>5709</v>
      </c>
      <c r="AM679" s="2" t="s">
        <v>72</v>
      </c>
      <c r="AN679" s="2" t="s">
        <v>283</v>
      </c>
      <c r="AP679" s="2" t="s">
        <v>4546</v>
      </c>
      <c r="AU679" s="2" t="s">
        <v>75</v>
      </c>
      <c r="AV679" s="2" t="s">
        <v>5710</v>
      </c>
      <c r="AW679" s="2" t="s">
        <v>5711</v>
      </c>
      <c r="AZ679" s="2" t="s">
        <v>116</v>
      </c>
    </row>
    <row r="680" spans="1:52" s="3" customFormat="1" x14ac:dyDescent="0.35">
      <c r="A680" s="2" t="s">
        <v>5712</v>
      </c>
      <c r="B680" s="4">
        <v>243830</v>
      </c>
      <c r="C680" s="2" t="s">
        <v>5713</v>
      </c>
      <c r="D680" s="2">
        <f t="shared" si="10"/>
        <v>3</v>
      </c>
      <c r="G680" s="2" t="s">
        <v>53</v>
      </c>
      <c r="H680" s="4">
        <v>1</v>
      </c>
      <c r="I680" s="4">
        <v>1</v>
      </c>
      <c r="J680" s="4">
        <v>0</v>
      </c>
      <c r="L680" s="4">
        <v>0</v>
      </c>
      <c r="M680" s="2" t="s">
        <v>55</v>
      </c>
      <c r="N680" s="2" t="s">
        <v>56</v>
      </c>
      <c r="O680" s="2" t="s">
        <v>57</v>
      </c>
      <c r="P680" s="2" t="s">
        <v>4633</v>
      </c>
      <c r="Q680" s="2" t="s">
        <v>4634</v>
      </c>
      <c r="R680" s="2" t="s">
        <v>5714</v>
      </c>
      <c r="S680" s="2" t="s">
        <v>5715</v>
      </c>
      <c r="V680" s="2" t="s">
        <v>5716</v>
      </c>
      <c r="W680" s="2" t="s">
        <v>5717</v>
      </c>
      <c r="Y680" s="2" t="s">
        <v>64</v>
      </c>
      <c r="Z680" s="2" t="s">
        <v>65</v>
      </c>
      <c r="AA680" s="2" t="s">
        <v>66</v>
      </c>
      <c r="AC680" s="2" t="s">
        <v>67</v>
      </c>
      <c r="AD680" s="2" t="s">
        <v>68</v>
      </c>
      <c r="AE680" s="2" t="s">
        <v>69</v>
      </c>
      <c r="AF680" s="2" t="s">
        <v>70</v>
      </c>
      <c r="AG680" s="2" t="s">
        <v>4633</v>
      </c>
      <c r="AK680" s="2" t="s">
        <v>5718</v>
      </c>
      <c r="AM680" s="2" t="s">
        <v>72</v>
      </c>
      <c r="AN680" s="2" t="s">
        <v>1383</v>
      </c>
      <c r="AP680" s="2" t="s">
        <v>4546</v>
      </c>
      <c r="AU680" s="2" t="s">
        <v>75</v>
      </c>
      <c r="AW680" s="2" t="s">
        <v>5719</v>
      </c>
      <c r="AZ680" s="2" t="s">
        <v>116</v>
      </c>
    </row>
    <row r="681" spans="1:52" s="3" customFormat="1" x14ac:dyDescent="0.35">
      <c r="A681" s="2" t="s">
        <v>5720</v>
      </c>
      <c r="B681" s="4">
        <v>243828</v>
      </c>
      <c r="C681" s="2" t="s">
        <v>5721</v>
      </c>
      <c r="D681" s="2">
        <f t="shared" si="10"/>
        <v>3</v>
      </c>
      <c r="G681" s="2" t="s">
        <v>53</v>
      </c>
      <c r="H681" s="4">
        <v>2</v>
      </c>
      <c r="I681" s="4">
        <v>1</v>
      </c>
      <c r="J681" s="4">
        <v>0</v>
      </c>
      <c r="L681" s="4">
        <v>0</v>
      </c>
      <c r="M681" s="2" t="s">
        <v>55</v>
      </c>
      <c r="N681" s="2" t="s">
        <v>56</v>
      </c>
      <c r="O681" s="2" t="s">
        <v>57</v>
      </c>
      <c r="P681" s="2" t="s">
        <v>4887</v>
      </c>
      <c r="Q681" s="2" t="s">
        <v>4888</v>
      </c>
      <c r="R681" s="2" t="s">
        <v>5722</v>
      </c>
      <c r="S681" s="2" t="s">
        <v>5723</v>
      </c>
      <c r="V681" s="2" t="s">
        <v>5724</v>
      </c>
      <c r="W681" s="2" t="s">
        <v>5725</v>
      </c>
      <c r="Y681" s="2" t="s">
        <v>64</v>
      </c>
      <c r="Z681" s="2" t="s">
        <v>65</v>
      </c>
      <c r="AA681" s="2" t="s">
        <v>66</v>
      </c>
      <c r="AC681" s="2" t="s">
        <v>67</v>
      </c>
      <c r="AD681" s="2" t="s">
        <v>68</v>
      </c>
      <c r="AE681" s="2" t="s">
        <v>69</v>
      </c>
      <c r="AF681" s="2" t="s">
        <v>70</v>
      </c>
      <c r="AG681" s="2" t="s">
        <v>4887</v>
      </c>
      <c r="AK681" s="2" t="s">
        <v>5726</v>
      </c>
      <c r="AM681" s="2" t="s">
        <v>72</v>
      </c>
      <c r="AN681" s="2" t="s">
        <v>249</v>
      </c>
      <c r="AP681" s="2" t="s">
        <v>4546</v>
      </c>
      <c r="AU681" s="2" t="s">
        <v>75</v>
      </c>
      <c r="AW681" s="2" t="s">
        <v>5727</v>
      </c>
      <c r="AZ681" s="2" t="s">
        <v>116</v>
      </c>
    </row>
    <row r="682" spans="1:52" s="3" customFormat="1" x14ac:dyDescent="0.35">
      <c r="A682" s="2" t="s">
        <v>5728</v>
      </c>
      <c r="B682" s="4">
        <v>243782</v>
      </c>
      <c r="C682" s="2" t="s">
        <v>5729</v>
      </c>
      <c r="D682" s="2">
        <f t="shared" si="10"/>
        <v>3</v>
      </c>
      <c r="F682" s="2" t="s">
        <v>5730</v>
      </c>
      <c r="G682" s="2" t="s">
        <v>53</v>
      </c>
      <c r="H682" s="4">
        <v>1</v>
      </c>
      <c r="I682" s="4">
        <v>0</v>
      </c>
      <c r="J682" s="4">
        <v>0</v>
      </c>
      <c r="L682" s="4">
        <v>0</v>
      </c>
      <c r="N682" s="2" t="s">
        <v>56</v>
      </c>
      <c r="O682" s="2" t="s">
        <v>57</v>
      </c>
      <c r="P682" s="2" t="s">
        <v>3131</v>
      </c>
      <c r="Q682" s="2" t="s">
        <v>3132</v>
      </c>
      <c r="R682" s="2" t="s">
        <v>5731</v>
      </c>
      <c r="S682" s="2" t="s">
        <v>5732</v>
      </c>
      <c r="V682" s="2" t="s">
        <v>5733</v>
      </c>
      <c r="W682" s="2" t="s">
        <v>5734</v>
      </c>
      <c r="Y682" s="2" t="s">
        <v>5735</v>
      </c>
      <c r="Z682" s="2" t="s">
        <v>5736</v>
      </c>
      <c r="AA682" s="2" t="s">
        <v>54</v>
      </c>
      <c r="AC682" s="2" t="s">
        <v>5737</v>
      </c>
      <c r="AD682" s="2" t="s">
        <v>5738</v>
      </c>
      <c r="AE682" s="2" t="s">
        <v>69</v>
      </c>
      <c r="AF682" s="2" t="s">
        <v>70</v>
      </c>
      <c r="AK682" s="2" t="s">
        <v>5739</v>
      </c>
      <c r="AL682" s="2" t="s">
        <v>5740</v>
      </c>
      <c r="AM682" s="2" t="s">
        <v>72</v>
      </c>
      <c r="AN682" s="2" t="s">
        <v>73</v>
      </c>
      <c r="AP682" s="2" t="s">
        <v>3144</v>
      </c>
      <c r="AT682" s="2" t="s">
        <v>114</v>
      </c>
      <c r="AU682" s="2" t="s">
        <v>75</v>
      </c>
      <c r="AW682" s="2" t="s">
        <v>5741</v>
      </c>
      <c r="AZ682" s="2" t="s">
        <v>116</v>
      </c>
    </row>
    <row r="683" spans="1:52" s="3" customFormat="1" x14ac:dyDescent="0.35">
      <c r="A683" s="2" t="s">
        <v>5742</v>
      </c>
      <c r="B683" s="4">
        <v>243781</v>
      </c>
      <c r="C683" s="2" t="s">
        <v>5743</v>
      </c>
      <c r="D683" s="2">
        <f t="shared" si="10"/>
        <v>3</v>
      </c>
      <c r="F683" s="2" t="s">
        <v>5730</v>
      </c>
      <c r="G683" s="2" t="s">
        <v>53</v>
      </c>
      <c r="H683" s="4">
        <v>3</v>
      </c>
      <c r="I683" s="4">
        <v>0</v>
      </c>
      <c r="J683" s="4">
        <v>0</v>
      </c>
      <c r="L683" s="4">
        <v>0</v>
      </c>
      <c r="N683" s="2" t="s">
        <v>56</v>
      </c>
      <c r="O683" s="2" t="s">
        <v>57</v>
      </c>
      <c r="P683" s="2" t="s">
        <v>3131</v>
      </c>
      <c r="Q683" s="2" t="s">
        <v>3132</v>
      </c>
      <c r="R683" s="2" t="s">
        <v>5744</v>
      </c>
      <c r="S683" s="2" t="s">
        <v>5745</v>
      </c>
      <c r="V683" s="2" t="s">
        <v>5746</v>
      </c>
      <c r="W683" s="2" t="s">
        <v>5747</v>
      </c>
      <c r="Y683" s="2" t="s">
        <v>5748</v>
      </c>
      <c r="Z683" s="2" t="s">
        <v>5749</v>
      </c>
      <c r="AA683" s="2" t="s">
        <v>5750</v>
      </c>
      <c r="AC683" s="2" t="s">
        <v>5751</v>
      </c>
      <c r="AD683" s="2" t="s">
        <v>5752</v>
      </c>
      <c r="AE683" s="2" t="s">
        <v>2757</v>
      </c>
      <c r="AF683" s="2" t="s">
        <v>70</v>
      </c>
      <c r="AK683" s="2" t="s">
        <v>5753</v>
      </c>
      <c r="AL683" s="2" t="s">
        <v>5740</v>
      </c>
      <c r="AM683" s="2" t="s">
        <v>72</v>
      </c>
      <c r="AN683" s="2" t="s">
        <v>73</v>
      </c>
      <c r="AP683" s="2" t="s">
        <v>3144</v>
      </c>
      <c r="AT683" s="2" t="s">
        <v>114</v>
      </c>
      <c r="AU683" s="2" t="s">
        <v>75</v>
      </c>
      <c r="AW683" s="2" t="s">
        <v>5754</v>
      </c>
      <c r="AZ683" s="2" t="s">
        <v>116</v>
      </c>
    </row>
    <row r="684" spans="1:52" s="3" customFormat="1" x14ac:dyDescent="0.35">
      <c r="A684" s="2" t="s">
        <v>5755</v>
      </c>
      <c r="B684" s="4">
        <v>243703</v>
      </c>
      <c r="C684" s="2" t="s">
        <v>5756</v>
      </c>
      <c r="D684" s="2">
        <f t="shared" si="10"/>
        <v>2</v>
      </c>
      <c r="F684" s="2" t="s">
        <v>5757</v>
      </c>
      <c r="G684" s="2" t="s">
        <v>53</v>
      </c>
      <c r="H684" s="4">
        <v>1</v>
      </c>
      <c r="I684" s="4">
        <v>1</v>
      </c>
      <c r="J684" s="5">
        <v>66666.66</v>
      </c>
      <c r="L684" s="5">
        <v>187699.98</v>
      </c>
      <c r="M684" s="2" t="s">
        <v>55</v>
      </c>
      <c r="N684" s="2" t="s">
        <v>458</v>
      </c>
      <c r="O684" s="2" t="s">
        <v>459</v>
      </c>
      <c r="P684" s="2" t="s">
        <v>5758</v>
      </c>
      <c r="Q684" s="2" t="s">
        <v>5759</v>
      </c>
      <c r="R684" s="2" t="s">
        <v>5760</v>
      </c>
      <c r="T684" s="2" t="s">
        <v>5761</v>
      </c>
      <c r="U684" s="2" t="s">
        <v>5762</v>
      </c>
      <c r="V684" s="2" t="s">
        <v>973</v>
      </c>
      <c r="W684" s="2" t="s">
        <v>5763</v>
      </c>
      <c r="X684" s="2" t="s">
        <v>5764</v>
      </c>
      <c r="Y684" s="2" t="s">
        <v>5765</v>
      </c>
      <c r="Z684" s="2" t="s">
        <v>5766</v>
      </c>
      <c r="AA684" s="2" t="s">
        <v>5767</v>
      </c>
      <c r="AB684" s="2" t="s">
        <v>5768</v>
      </c>
      <c r="AC684" s="2" t="s">
        <v>4424</v>
      </c>
      <c r="AD684" s="2" t="s">
        <v>68</v>
      </c>
      <c r="AE684" s="2" t="s">
        <v>69</v>
      </c>
      <c r="AF684" s="2" t="s">
        <v>70</v>
      </c>
      <c r="AG684" s="2" t="s">
        <v>5769</v>
      </c>
      <c r="AK684" s="2" t="s">
        <v>5770</v>
      </c>
      <c r="AM684" s="2" t="s">
        <v>72</v>
      </c>
      <c r="AN684" s="2" t="s">
        <v>283</v>
      </c>
      <c r="AP684" s="2" t="s">
        <v>3175</v>
      </c>
      <c r="AU684" s="2" t="s">
        <v>75</v>
      </c>
      <c r="AV684" s="2" t="s">
        <v>5771</v>
      </c>
      <c r="AW684" s="2" t="s">
        <v>5772</v>
      </c>
      <c r="AX684" s="2" t="s">
        <v>477</v>
      </c>
      <c r="AZ684" s="2" t="s">
        <v>1256</v>
      </c>
    </row>
    <row r="685" spans="1:52" s="3" customFormat="1" x14ac:dyDescent="0.35">
      <c r="A685" s="2" t="s">
        <v>5755</v>
      </c>
      <c r="B685" s="4">
        <v>243703</v>
      </c>
      <c r="C685" s="2" t="s">
        <v>5756</v>
      </c>
      <c r="D685" s="2">
        <f t="shared" si="10"/>
        <v>2</v>
      </c>
      <c r="F685" s="2" t="s">
        <v>5757</v>
      </c>
      <c r="G685" s="2" t="s">
        <v>53</v>
      </c>
      <c r="H685" s="4">
        <v>1</v>
      </c>
      <c r="I685" s="4">
        <v>1</v>
      </c>
      <c r="J685" s="5">
        <v>66666.66</v>
      </c>
      <c r="L685" s="5">
        <v>187699.98</v>
      </c>
      <c r="M685" s="2" t="s">
        <v>55</v>
      </c>
      <c r="N685" s="2" t="s">
        <v>458</v>
      </c>
      <c r="O685" s="2" t="s">
        <v>459</v>
      </c>
      <c r="P685" s="2" t="s">
        <v>5773</v>
      </c>
      <c r="Q685" s="2" t="s">
        <v>5774</v>
      </c>
      <c r="R685" s="2" t="s">
        <v>5760</v>
      </c>
      <c r="T685" s="2" t="s">
        <v>5761</v>
      </c>
      <c r="U685" s="2" t="s">
        <v>5762</v>
      </c>
      <c r="V685" s="2" t="s">
        <v>973</v>
      </c>
      <c r="W685" s="2" t="s">
        <v>5763</v>
      </c>
      <c r="X685" s="2" t="s">
        <v>5764</v>
      </c>
      <c r="Y685" s="2" t="s">
        <v>5765</v>
      </c>
      <c r="Z685" s="2" t="s">
        <v>5766</v>
      </c>
      <c r="AA685" s="2" t="s">
        <v>5767</v>
      </c>
      <c r="AB685" s="2" t="s">
        <v>5768</v>
      </c>
      <c r="AC685" s="2" t="s">
        <v>4424</v>
      </c>
      <c r="AD685" s="2" t="s">
        <v>68</v>
      </c>
      <c r="AE685" s="2" t="s">
        <v>69</v>
      </c>
      <c r="AF685" s="2" t="s">
        <v>70</v>
      </c>
      <c r="AG685" s="2" t="s">
        <v>5769</v>
      </c>
      <c r="AK685" s="2" t="s">
        <v>5770</v>
      </c>
      <c r="AM685" s="2" t="s">
        <v>72</v>
      </c>
      <c r="AN685" s="2" t="s">
        <v>283</v>
      </c>
      <c r="AP685" s="2" t="s">
        <v>3886</v>
      </c>
      <c r="AU685" s="2" t="s">
        <v>75</v>
      </c>
      <c r="AV685" s="2" t="s">
        <v>5771</v>
      </c>
      <c r="AW685" s="2" t="s">
        <v>5772</v>
      </c>
      <c r="AX685" s="2" t="s">
        <v>477</v>
      </c>
      <c r="AZ685" s="2" t="s">
        <v>1256</v>
      </c>
    </row>
    <row r="686" spans="1:52" s="3" customFormat="1" x14ac:dyDescent="0.35">
      <c r="A686" s="2" t="s">
        <v>5755</v>
      </c>
      <c r="B686" s="4">
        <v>243703</v>
      </c>
      <c r="C686" s="2" t="s">
        <v>5756</v>
      </c>
      <c r="D686" s="2">
        <f t="shared" si="10"/>
        <v>2</v>
      </c>
      <c r="F686" s="2" t="s">
        <v>5757</v>
      </c>
      <c r="G686" s="2" t="s">
        <v>53</v>
      </c>
      <c r="H686" s="4">
        <v>1</v>
      </c>
      <c r="I686" s="4">
        <v>1</v>
      </c>
      <c r="J686" s="5">
        <v>66666.66</v>
      </c>
      <c r="L686" s="5">
        <v>187699.98</v>
      </c>
      <c r="M686" s="2" t="s">
        <v>55</v>
      </c>
      <c r="N686" s="2" t="s">
        <v>458</v>
      </c>
      <c r="O686" s="2" t="s">
        <v>459</v>
      </c>
      <c r="P686" s="2" t="s">
        <v>5775</v>
      </c>
      <c r="Q686" s="2" t="s">
        <v>5776</v>
      </c>
      <c r="R686" s="2" t="s">
        <v>5760</v>
      </c>
      <c r="T686" s="2" t="s">
        <v>5761</v>
      </c>
      <c r="U686" s="2" t="s">
        <v>5762</v>
      </c>
      <c r="V686" s="2" t="s">
        <v>973</v>
      </c>
      <c r="W686" s="2" t="s">
        <v>5763</v>
      </c>
      <c r="X686" s="2" t="s">
        <v>5764</v>
      </c>
      <c r="Y686" s="2" t="s">
        <v>5765</v>
      </c>
      <c r="Z686" s="2" t="s">
        <v>5766</v>
      </c>
      <c r="AA686" s="2" t="s">
        <v>5767</v>
      </c>
      <c r="AB686" s="2" t="s">
        <v>5768</v>
      </c>
      <c r="AC686" s="2" t="s">
        <v>4424</v>
      </c>
      <c r="AD686" s="2" t="s">
        <v>68</v>
      </c>
      <c r="AE686" s="2" t="s">
        <v>69</v>
      </c>
      <c r="AF686" s="2" t="s">
        <v>70</v>
      </c>
      <c r="AG686" s="2" t="s">
        <v>5769</v>
      </c>
      <c r="AK686" s="2" t="s">
        <v>5770</v>
      </c>
      <c r="AM686" s="2" t="s">
        <v>72</v>
      </c>
      <c r="AN686" s="2" t="s">
        <v>283</v>
      </c>
      <c r="AP686" s="2" t="s">
        <v>113</v>
      </c>
      <c r="AU686" s="2" t="s">
        <v>75</v>
      </c>
      <c r="AV686" s="2" t="s">
        <v>5771</v>
      </c>
      <c r="AW686" s="2" t="s">
        <v>5772</v>
      </c>
      <c r="AX686" s="2" t="s">
        <v>477</v>
      </c>
      <c r="AZ686" s="2" t="s">
        <v>1256</v>
      </c>
    </row>
    <row r="687" spans="1:52" s="3" customFormat="1" x14ac:dyDescent="0.35">
      <c r="A687" s="2" t="s">
        <v>5777</v>
      </c>
      <c r="B687" s="4">
        <v>243697</v>
      </c>
      <c r="C687" s="2" t="s">
        <v>5778</v>
      </c>
      <c r="D687" s="2">
        <f t="shared" si="10"/>
        <v>2</v>
      </c>
      <c r="F687" s="2" t="s">
        <v>5757</v>
      </c>
      <c r="G687" s="2" t="s">
        <v>53</v>
      </c>
      <c r="H687" s="4">
        <v>1</v>
      </c>
      <c r="I687" s="4">
        <v>1</v>
      </c>
      <c r="J687" s="5">
        <v>10000</v>
      </c>
      <c r="K687" s="2" t="s">
        <v>1252</v>
      </c>
      <c r="L687" s="5">
        <v>112620</v>
      </c>
      <c r="M687" s="2" t="s">
        <v>55</v>
      </c>
      <c r="N687" s="2" t="s">
        <v>1253</v>
      </c>
      <c r="O687" s="2" t="s">
        <v>1254</v>
      </c>
      <c r="P687" s="2" t="s">
        <v>5779</v>
      </c>
      <c r="Q687" s="2" t="s">
        <v>5780</v>
      </c>
      <c r="R687" s="2" t="s">
        <v>5781</v>
      </c>
      <c r="T687" s="2" t="s">
        <v>5782</v>
      </c>
      <c r="U687" s="2" t="s">
        <v>5783</v>
      </c>
      <c r="V687" s="2" t="s">
        <v>5784</v>
      </c>
      <c r="W687" s="2" t="s">
        <v>5785</v>
      </c>
      <c r="X687" s="2" t="s">
        <v>5786</v>
      </c>
      <c r="Y687" s="2" t="s">
        <v>5787</v>
      </c>
      <c r="Z687" s="2" t="s">
        <v>5788</v>
      </c>
      <c r="AA687" s="2" t="s">
        <v>5789</v>
      </c>
      <c r="AB687" s="2" t="s">
        <v>5790</v>
      </c>
      <c r="AC687" s="2" t="s">
        <v>5791</v>
      </c>
      <c r="AD687" s="2" t="s">
        <v>5792</v>
      </c>
      <c r="AE687" s="2" t="s">
        <v>5793</v>
      </c>
      <c r="AF687" s="2" t="s">
        <v>70</v>
      </c>
      <c r="AG687" s="2" t="s">
        <v>5779</v>
      </c>
      <c r="AK687" s="2" t="s">
        <v>5794</v>
      </c>
      <c r="AM687" s="2" t="s">
        <v>72</v>
      </c>
      <c r="AN687" s="2" t="s">
        <v>73</v>
      </c>
      <c r="AP687" s="2" t="s">
        <v>1434</v>
      </c>
      <c r="AT687" s="2" t="s">
        <v>5795</v>
      </c>
      <c r="AU687" s="2" t="s">
        <v>75</v>
      </c>
      <c r="AV687" s="2" t="s">
        <v>5796</v>
      </c>
      <c r="AW687" s="2" t="s">
        <v>5797</v>
      </c>
      <c r="AX687" s="2" t="s">
        <v>477</v>
      </c>
      <c r="AZ687" s="2" t="s">
        <v>1256</v>
      </c>
    </row>
    <row r="688" spans="1:52" s="3" customFormat="1" x14ac:dyDescent="0.35">
      <c r="A688" s="2" t="s">
        <v>5777</v>
      </c>
      <c r="B688" s="4">
        <v>243697</v>
      </c>
      <c r="C688" s="2" t="s">
        <v>5778</v>
      </c>
      <c r="D688" s="2">
        <f t="shared" si="10"/>
        <v>2</v>
      </c>
      <c r="F688" s="2" t="s">
        <v>5757</v>
      </c>
      <c r="G688" s="2" t="s">
        <v>53</v>
      </c>
      <c r="H688" s="4">
        <v>1</v>
      </c>
      <c r="I688" s="4">
        <v>1</v>
      </c>
      <c r="J688" s="5">
        <v>10000</v>
      </c>
      <c r="K688" s="2" t="s">
        <v>1252</v>
      </c>
      <c r="L688" s="5">
        <v>112620</v>
      </c>
      <c r="M688" s="2" t="s">
        <v>55</v>
      </c>
      <c r="N688" s="2" t="s">
        <v>1253</v>
      </c>
      <c r="O688" s="2" t="s">
        <v>1254</v>
      </c>
      <c r="P688" s="2" t="s">
        <v>5779</v>
      </c>
      <c r="Q688" s="2" t="s">
        <v>5798</v>
      </c>
      <c r="R688" s="2" t="s">
        <v>5781</v>
      </c>
      <c r="T688" s="2" t="s">
        <v>5782</v>
      </c>
      <c r="U688" s="2" t="s">
        <v>5783</v>
      </c>
      <c r="V688" s="2" t="s">
        <v>5784</v>
      </c>
      <c r="W688" s="2" t="s">
        <v>5785</v>
      </c>
      <c r="X688" s="2" t="s">
        <v>5786</v>
      </c>
      <c r="Y688" s="2" t="s">
        <v>5787</v>
      </c>
      <c r="Z688" s="2" t="s">
        <v>5788</v>
      </c>
      <c r="AA688" s="2" t="s">
        <v>5789</v>
      </c>
      <c r="AB688" s="2" t="s">
        <v>5790</v>
      </c>
      <c r="AC688" s="2" t="s">
        <v>5791</v>
      </c>
      <c r="AD688" s="2" t="s">
        <v>5792</v>
      </c>
      <c r="AE688" s="2" t="s">
        <v>5793</v>
      </c>
      <c r="AF688" s="2" t="s">
        <v>70</v>
      </c>
      <c r="AG688" s="2" t="s">
        <v>5779</v>
      </c>
      <c r="AK688" s="2" t="s">
        <v>5794</v>
      </c>
      <c r="AM688" s="2" t="s">
        <v>72</v>
      </c>
      <c r="AN688" s="2" t="s">
        <v>73</v>
      </c>
      <c r="AP688" s="2" t="s">
        <v>4543</v>
      </c>
      <c r="AT688" s="2" t="s">
        <v>5795</v>
      </c>
      <c r="AU688" s="2" t="s">
        <v>75</v>
      </c>
      <c r="AV688" s="2" t="s">
        <v>5796</v>
      </c>
      <c r="AW688" s="2" t="s">
        <v>5797</v>
      </c>
      <c r="AX688" s="2" t="s">
        <v>477</v>
      </c>
      <c r="AZ688" s="2" t="s">
        <v>1256</v>
      </c>
    </row>
    <row r="689" spans="1:52" s="3" customFormat="1" x14ac:dyDescent="0.35">
      <c r="A689" s="2" t="s">
        <v>5777</v>
      </c>
      <c r="B689" s="4">
        <v>243697</v>
      </c>
      <c r="C689" s="2" t="s">
        <v>5778</v>
      </c>
      <c r="D689" s="2">
        <f t="shared" si="10"/>
        <v>2</v>
      </c>
      <c r="F689" s="2" t="s">
        <v>5757</v>
      </c>
      <c r="G689" s="2" t="s">
        <v>53</v>
      </c>
      <c r="H689" s="4">
        <v>1</v>
      </c>
      <c r="I689" s="4">
        <v>1</v>
      </c>
      <c r="J689" s="5">
        <v>10000</v>
      </c>
      <c r="K689" s="2" t="s">
        <v>1252</v>
      </c>
      <c r="L689" s="5">
        <v>112620</v>
      </c>
      <c r="M689" s="2" t="s">
        <v>55</v>
      </c>
      <c r="N689" s="2" t="s">
        <v>1253</v>
      </c>
      <c r="O689" s="2" t="s">
        <v>1254</v>
      </c>
      <c r="P689" s="2" t="s">
        <v>5779</v>
      </c>
      <c r="Q689" s="2" t="s">
        <v>5799</v>
      </c>
      <c r="R689" s="2" t="s">
        <v>5781</v>
      </c>
      <c r="T689" s="2" t="s">
        <v>5782</v>
      </c>
      <c r="U689" s="2" t="s">
        <v>5783</v>
      </c>
      <c r="V689" s="2" t="s">
        <v>5784</v>
      </c>
      <c r="W689" s="2" t="s">
        <v>5785</v>
      </c>
      <c r="X689" s="2" t="s">
        <v>5786</v>
      </c>
      <c r="Y689" s="2" t="s">
        <v>5787</v>
      </c>
      <c r="Z689" s="2" t="s">
        <v>5788</v>
      </c>
      <c r="AA689" s="2" t="s">
        <v>5789</v>
      </c>
      <c r="AB689" s="2" t="s">
        <v>5790</v>
      </c>
      <c r="AC689" s="2" t="s">
        <v>5791</v>
      </c>
      <c r="AD689" s="2" t="s">
        <v>5792</v>
      </c>
      <c r="AE689" s="2" t="s">
        <v>5793</v>
      </c>
      <c r="AF689" s="2" t="s">
        <v>70</v>
      </c>
      <c r="AG689" s="2" t="s">
        <v>5779</v>
      </c>
      <c r="AK689" s="2" t="s">
        <v>5794</v>
      </c>
      <c r="AM689" s="2" t="s">
        <v>72</v>
      </c>
      <c r="AN689" s="2" t="s">
        <v>73</v>
      </c>
      <c r="AP689" s="2" t="s">
        <v>4426</v>
      </c>
      <c r="AT689" s="2" t="s">
        <v>5795</v>
      </c>
      <c r="AU689" s="2" t="s">
        <v>75</v>
      </c>
      <c r="AV689" s="2" t="s">
        <v>5796</v>
      </c>
      <c r="AW689" s="2" t="s">
        <v>5797</v>
      </c>
      <c r="AX689" s="2" t="s">
        <v>477</v>
      </c>
      <c r="AZ689" s="2" t="s">
        <v>1256</v>
      </c>
    </row>
    <row r="690" spans="1:52" s="3" customFormat="1" x14ac:dyDescent="0.35">
      <c r="A690" s="2" t="s">
        <v>5777</v>
      </c>
      <c r="B690" s="4">
        <v>243697</v>
      </c>
      <c r="C690" s="2" t="s">
        <v>5778</v>
      </c>
      <c r="D690" s="2">
        <f t="shared" si="10"/>
        <v>2</v>
      </c>
      <c r="F690" s="2" t="s">
        <v>5757</v>
      </c>
      <c r="G690" s="2" t="s">
        <v>53</v>
      </c>
      <c r="H690" s="4">
        <v>1</v>
      </c>
      <c r="I690" s="4">
        <v>1</v>
      </c>
      <c r="J690" s="5">
        <v>10000</v>
      </c>
      <c r="K690" s="2" t="s">
        <v>1252</v>
      </c>
      <c r="L690" s="5">
        <v>112620</v>
      </c>
      <c r="M690" s="2" t="s">
        <v>55</v>
      </c>
      <c r="N690" s="2" t="s">
        <v>1253</v>
      </c>
      <c r="O690" s="2" t="s">
        <v>1254</v>
      </c>
      <c r="P690" s="2" t="s">
        <v>5779</v>
      </c>
      <c r="Q690" s="2" t="s">
        <v>5800</v>
      </c>
      <c r="R690" s="2" t="s">
        <v>5781</v>
      </c>
      <c r="T690" s="2" t="s">
        <v>5782</v>
      </c>
      <c r="U690" s="2" t="s">
        <v>5783</v>
      </c>
      <c r="V690" s="2" t="s">
        <v>5784</v>
      </c>
      <c r="W690" s="2" t="s">
        <v>5785</v>
      </c>
      <c r="X690" s="2" t="s">
        <v>5786</v>
      </c>
      <c r="Y690" s="2" t="s">
        <v>5787</v>
      </c>
      <c r="Z690" s="2" t="s">
        <v>5788</v>
      </c>
      <c r="AA690" s="2" t="s">
        <v>5789</v>
      </c>
      <c r="AB690" s="2" t="s">
        <v>5790</v>
      </c>
      <c r="AC690" s="2" t="s">
        <v>5791</v>
      </c>
      <c r="AD690" s="2" t="s">
        <v>5792</v>
      </c>
      <c r="AE690" s="2" t="s">
        <v>5793</v>
      </c>
      <c r="AF690" s="2" t="s">
        <v>70</v>
      </c>
      <c r="AG690" s="2" t="s">
        <v>5779</v>
      </c>
      <c r="AK690" s="2" t="s">
        <v>5794</v>
      </c>
      <c r="AM690" s="2" t="s">
        <v>72</v>
      </c>
      <c r="AN690" s="2" t="s">
        <v>73</v>
      </c>
      <c r="AP690" s="2" t="s">
        <v>5801</v>
      </c>
      <c r="AT690" s="2" t="s">
        <v>5795</v>
      </c>
      <c r="AU690" s="2" t="s">
        <v>75</v>
      </c>
      <c r="AV690" s="2" t="s">
        <v>5796</v>
      </c>
      <c r="AW690" s="2" t="s">
        <v>5797</v>
      </c>
      <c r="AX690" s="2" t="s">
        <v>477</v>
      </c>
      <c r="AZ690" s="2" t="s">
        <v>1256</v>
      </c>
    </row>
    <row r="691" spans="1:52" s="3" customFormat="1" x14ac:dyDescent="0.35">
      <c r="A691" s="2" t="s">
        <v>5777</v>
      </c>
      <c r="B691" s="4">
        <v>243697</v>
      </c>
      <c r="C691" s="2" t="s">
        <v>5778</v>
      </c>
      <c r="D691" s="2">
        <f t="shared" si="10"/>
        <v>2</v>
      </c>
      <c r="F691" s="2" t="s">
        <v>5757</v>
      </c>
      <c r="G691" s="2" t="s">
        <v>53</v>
      </c>
      <c r="H691" s="4">
        <v>1</v>
      </c>
      <c r="I691" s="4">
        <v>1</v>
      </c>
      <c r="J691" s="5">
        <v>10000</v>
      </c>
      <c r="K691" s="2" t="s">
        <v>1252</v>
      </c>
      <c r="L691" s="5">
        <v>112620</v>
      </c>
      <c r="M691" s="2" t="s">
        <v>55</v>
      </c>
      <c r="N691" s="2" t="s">
        <v>1253</v>
      </c>
      <c r="O691" s="2" t="s">
        <v>1254</v>
      </c>
      <c r="P691" s="2" t="s">
        <v>5779</v>
      </c>
      <c r="Q691" s="2" t="s">
        <v>5802</v>
      </c>
      <c r="R691" s="2" t="s">
        <v>5781</v>
      </c>
      <c r="T691" s="2" t="s">
        <v>5782</v>
      </c>
      <c r="U691" s="2" t="s">
        <v>5783</v>
      </c>
      <c r="V691" s="2" t="s">
        <v>5784</v>
      </c>
      <c r="W691" s="2" t="s">
        <v>5785</v>
      </c>
      <c r="X691" s="2" t="s">
        <v>5786</v>
      </c>
      <c r="Y691" s="2" t="s">
        <v>5787</v>
      </c>
      <c r="Z691" s="2" t="s">
        <v>5788</v>
      </c>
      <c r="AA691" s="2" t="s">
        <v>5789</v>
      </c>
      <c r="AB691" s="2" t="s">
        <v>5790</v>
      </c>
      <c r="AC691" s="2" t="s">
        <v>5791</v>
      </c>
      <c r="AD691" s="2" t="s">
        <v>5792</v>
      </c>
      <c r="AE691" s="2" t="s">
        <v>5793</v>
      </c>
      <c r="AF691" s="2" t="s">
        <v>70</v>
      </c>
      <c r="AG691" s="2" t="s">
        <v>5779</v>
      </c>
      <c r="AK691" s="2" t="s">
        <v>5794</v>
      </c>
      <c r="AM691" s="2" t="s">
        <v>72</v>
      </c>
      <c r="AN691" s="2" t="s">
        <v>73</v>
      </c>
      <c r="AP691" s="2" t="s">
        <v>5803</v>
      </c>
      <c r="AT691" s="2" t="s">
        <v>5795</v>
      </c>
      <c r="AU691" s="2" t="s">
        <v>75</v>
      </c>
      <c r="AV691" s="2" t="s">
        <v>5796</v>
      </c>
      <c r="AW691" s="2" t="s">
        <v>5797</v>
      </c>
      <c r="AX691" s="2" t="s">
        <v>477</v>
      </c>
      <c r="AZ691" s="2" t="s">
        <v>1256</v>
      </c>
    </row>
    <row r="692" spans="1:52" s="3" customFormat="1" x14ac:dyDescent="0.35">
      <c r="A692" s="2" t="s">
        <v>5777</v>
      </c>
      <c r="B692" s="4">
        <v>243697</v>
      </c>
      <c r="C692" s="2" t="s">
        <v>5778</v>
      </c>
      <c r="D692" s="2">
        <f t="shared" si="10"/>
        <v>2</v>
      </c>
      <c r="F692" s="2" t="s">
        <v>5757</v>
      </c>
      <c r="G692" s="2" t="s">
        <v>53</v>
      </c>
      <c r="H692" s="4">
        <v>1</v>
      </c>
      <c r="I692" s="4">
        <v>1</v>
      </c>
      <c r="J692" s="5">
        <v>10000</v>
      </c>
      <c r="K692" s="2" t="s">
        <v>1252</v>
      </c>
      <c r="L692" s="5">
        <v>112620</v>
      </c>
      <c r="M692" s="2" t="s">
        <v>55</v>
      </c>
      <c r="N692" s="2" t="s">
        <v>1253</v>
      </c>
      <c r="O692" s="2" t="s">
        <v>1254</v>
      </c>
      <c r="P692" s="2" t="s">
        <v>5779</v>
      </c>
      <c r="Q692" s="2" t="s">
        <v>5804</v>
      </c>
      <c r="R692" s="2" t="s">
        <v>5781</v>
      </c>
      <c r="T692" s="2" t="s">
        <v>5782</v>
      </c>
      <c r="U692" s="2" t="s">
        <v>5783</v>
      </c>
      <c r="V692" s="2" t="s">
        <v>5784</v>
      </c>
      <c r="W692" s="2" t="s">
        <v>5785</v>
      </c>
      <c r="X692" s="2" t="s">
        <v>5786</v>
      </c>
      <c r="Y692" s="2" t="s">
        <v>5787</v>
      </c>
      <c r="Z692" s="2" t="s">
        <v>5788</v>
      </c>
      <c r="AA692" s="2" t="s">
        <v>5789</v>
      </c>
      <c r="AB692" s="2" t="s">
        <v>5790</v>
      </c>
      <c r="AC692" s="2" t="s">
        <v>5791</v>
      </c>
      <c r="AD692" s="2" t="s">
        <v>5792</v>
      </c>
      <c r="AE692" s="2" t="s">
        <v>5793</v>
      </c>
      <c r="AF692" s="2" t="s">
        <v>70</v>
      </c>
      <c r="AG692" s="2" t="s">
        <v>5779</v>
      </c>
      <c r="AK692" s="2" t="s">
        <v>5794</v>
      </c>
      <c r="AM692" s="2" t="s">
        <v>72</v>
      </c>
      <c r="AN692" s="2" t="s">
        <v>73</v>
      </c>
      <c r="AP692" s="2" t="s">
        <v>5805</v>
      </c>
      <c r="AT692" s="2" t="s">
        <v>5795</v>
      </c>
      <c r="AU692" s="2" t="s">
        <v>75</v>
      </c>
      <c r="AV692" s="2" t="s">
        <v>5796</v>
      </c>
      <c r="AW692" s="2" t="s">
        <v>5797</v>
      </c>
      <c r="AX692" s="2" t="s">
        <v>477</v>
      </c>
      <c r="AZ692" s="2" t="s">
        <v>1256</v>
      </c>
    </row>
    <row r="693" spans="1:52" s="3" customFormat="1" x14ac:dyDescent="0.35">
      <c r="A693" s="2" t="s">
        <v>5777</v>
      </c>
      <c r="B693" s="4">
        <v>243697</v>
      </c>
      <c r="C693" s="2" t="s">
        <v>5778</v>
      </c>
      <c r="D693" s="2">
        <f t="shared" si="10"/>
        <v>2</v>
      </c>
      <c r="F693" s="2" t="s">
        <v>5757</v>
      </c>
      <c r="G693" s="2" t="s">
        <v>53</v>
      </c>
      <c r="H693" s="4">
        <v>1</v>
      </c>
      <c r="I693" s="4">
        <v>1</v>
      </c>
      <c r="J693" s="5">
        <v>10000</v>
      </c>
      <c r="K693" s="2" t="s">
        <v>1252</v>
      </c>
      <c r="L693" s="5">
        <v>112620</v>
      </c>
      <c r="M693" s="2" t="s">
        <v>55</v>
      </c>
      <c r="N693" s="2" t="s">
        <v>1253</v>
      </c>
      <c r="O693" s="2" t="s">
        <v>1254</v>
      </c>
      <c r="P693" s="2" t="s">
        <v>5779</v>
      </c>
      <c r="Q693" s="2" t="s">
        <v>5806</v>
      </c>
      <c r="R693" s="2" t="s">
        <v>5781</v>
      </c>
      <c r="T693" s="2" t="s">
        <v>5782</v>
      </c>
      <c r="U693" s="2" t="s">
        <v>5783</v>
      </c>
      <c r="V693" s="2" t="s">
        <v>5784</v>
      </c>
      <c r="W693" s="2" t="s">
        <v>5785</v>
      </c>
      <c r="X693" s="2" t="s">
        <v>5786</v>
      </c>
      <c r="Y693" s="2" t="s">
        <v>5787</v>
      </c>
      <c r="Z693" s="2" t="s">
        <v>5788</v>
      </c>
      <c r="AA693" s="2" t="s">
        <v>5789</v>
      </c>
      <c r="AB693" s="2" t="s">
        <v>5790</v>
      </c>
      <c r="AC693" s="2" t="s">
        <v>5791</v>
      </c>
      <c r="AD693" s="2" t="s">
        <v>5792</v>
      </c>
      <c r="AE693" s="2" t="s">
        <v>5793</v>
      </c>
      <c r="AF693" s="2" t="s">
        <v>70</v>
      </c>
      <c r="AG693" s="2" t="s">
        <v>5779</v>
      </c>
      <c r="AK693" s="2" t="s">
        <v>5794</v>
      </c>
      <c r="AM693" s="2" t="s">
        <v>72</v>
      </c>
      <c r="AN693" s="2" t="s">
        <v>73</v>
      </c>
      <c r="AP693" s="2" t="s">
        <v>4615</v>
      </c>
      <c r="AT693" s="2" t="s">
        <v>5795</v>
      </c>
      <c r="AU693" s="2" t="s">
        <v>75</v>
      </c>
      <c r="AV693" s="2" t="s">
        <v>5796</v>
      </c>
      <c r="AW693" s="2" t="s">
        <v>5797</v>
      </c>
      <c r="AX693" s="2" t="s">
        <v>477</v>
      </c>
      <c r="AZ693" s="2" t="s">
        <v>1256</v>
      </c>
    </row>
    <row r="694" spans="1:52" s="3" customFormat="1" x14ac:dyDescent="0.35">
      <c r="A694" s="2" t="s">
        <v>5777</v>
      </c>
      <c r="B694" s="4">
        <v>243697</v>
      </c>
      <c r="C694" s="2" t="s">
        <v>5778</v>
      </c>
      <c r="D694" s="2">
        <f t="shared" si="10"/>
        <v>2</v>
      </c>
      <c r="F694" s="2" t="s">
        <v>5757</v>
      </c>
      <c r="G694" s="2" t="s">
        <v>53</v>
      </c>
      <c r="H694" s="4">
        <v>1</v>
      </c>
      <c r="I694" s="4">
        <v>1</v>
      </c>
      <c r="J694" s="5">
        <v>10000</v>
      </c>
      <c r="K694" s="2" t="s">
        <v>1252</v>
      </c>
      <c r="L694" s="5">
        <v>112620</v>
      </c>
      <c r="M694" s="2" t="s">
        <v>55</v>
      </c>
      <c r="N694" s="2" t="s">
        <v>1253</v>
      </c>
      <c r="O694" s="2" t="s">
        <v>1254</v>
      </c>
      <c r="P694" s="2" t="s">
        <v>5779</v>
      </c>
      <c r="Q694" s="2" t="s">
        <v>5807</v>
      </c>
      <c r="R694" s="2" t="s">
        <v>5781</v>
      </c>
      <c r="T694" s="2" t="s">
        <v>5782</v>
      </c>
      <c r="U694" s="2" t="s">
        <v>5783</v>
      </c>
      <c r="V694" s="2" t="s">
        <v>5784</v>
      </c>
      <c r="W694" s="2" t="s">
        <v>5785</v>
      </c>
      <c r="X694" s="2" t="s">
        <v>5786</v>
      </c>
      <c r="Y694" s="2" t="s">
        <v>5787</v>
      </c>
      <c r="Z694" s="2" t="s">
        <v>5788</v>
      </c>
      <c r="AA694" s="2" t="s">
        <v>5789</v>
      </c>
      <c r="AB694" s="2" t="s">
        <v>5790</v>
      </c>
      <c r="AC694" s="2" t="s">
        <v>5791</v>
      </c>
      <c r="AD694" s="2" t="s">
        <v>5792</v>
      </c>
      <c r="AE694" s="2" t="s">
        <v>5793</v>
      </c>
      <c r="AF694" s="2" t="s">
        <v>70</v>
      </c>
      <c r="AG694" s="2" t="s">
        <v>5779</v>
      </c>
      <c r="AK694" s="2" t="s">
        <v>5794</v>
      </c>
      <c r="AM694" s="2" t="s">
        <v>72</v>
      </c>
      <c r="AN694" s="2" t="s">
        <v>73</v>
      </c>
      <c r="AP694" s="2" t="s">
        <v>5808</v>
      </c>
      <c r="AT694" s="2" t="s">
        <v>5795</v>
      </c>
      <c r="AU694" s="2" t="s">
        <v>75</v>
      </c>
      <c r="AV694" s="2" t="s">
        <v>5796</v>
      </c>
      <c r="AW694" s="2" t="s">
        <v>5797</v>
      </c>
      <c r="AX694" s="2" t="s">
        <v>477</v>
      </c>
      <c r="AZ694" s="2" t="s">
        <v>1256</v>
      </c>
    </row>
    <row r="695" spans="1:52" s="3" customFormat="1" x14ac:dyDescent="0.35">
      <c r="A695" s="2" t="s">
        <v>5777</v>
      </c>
      <c r="B695" s="4">
        <v>243697</v>
      </c>
      <c r="C695" s="2" t="s">
        <v>5778</v>
      </c>
      <c r="D695" s="2">
        <f t="shared" si="10"/>
        <v>2</v>
      </c>
      <c r="F695" s="2" t="s">
        <v>5757</v>
      </c>
      <c r="G695" s="2" t="s">
        <v>53</v>
      </c>
      <c r="H695" s="4">
        <v>1</v>
      </c>
      <c r="I695" s="4">
        <v>1</v>
      </c>
      <c r="J695" s="5">
        <v>10000</v>
      </c>
      <c r="K695" s="2" t="s">
        <v>1252</v>
      </c>
      <c r="L695" s="5">
        <v>112620</v>
      </c>
      <c r="M695" s="2" t="s">
        <v>55</v>
      </c>
      <c r="N695" s="2" t="s">
        <v>1253</v>
      </c>
      <c r="O695" s="2" t="s">
        <v>1254</v>
      </c>
      <c r="P695" s="2" t="s">
        <v>5779</v>
      </c>
      <c r="Q695" s="2" t="s">
        <v>5809</v>
      </c>
      <c r="R695" s="2" t="s">
        <v>5781</v>
      </c>
      <c r="T695" s="2" t="s">
        <v>5782</v>
      </c>
      <c r="U695" s="2" t="s">
        <v>5783</v>
      </c>
      <c r="V695" s="2" t="s">
        <v>5784</v>
      </c>
      <c r="W695" s="2" t="s">
        <v>5785</v>
      </c>
      <c r="X695" s="2" t="s">
        <v>5786</v>
      </c>
      <c r="Y695" s="2" t="s">
        <v>5787</v>
      </c>
      <c r="Z695" s="2" t="s">
        <v>5788</v>
      </c>
      <c r="AA695" s="2" t="s">
        <v>5789</v>
      </c>
      <c r="AB695" s="2" t="s">
        <v>5790</v>
      </c>
      <c r="AC695" s="2" t="s">
        <v>5791</v>
      </c>
      <c r="AD695" s="2" t="s">
        <v>5792</v>
      </c>
      <c r="AE695" s="2" t="s">
        <v>5793</v>
      </c>
      <c r="AF695" s="2" t="s">
        <v>70</v>
      </c>
      <c r="AG695" s="2" t="s">
        <v>5779</v>
      </c>
      <c r="AK695" s="2" t="s">
        <v>5794</v>
      </c>
      <c r="AM695" s="2" t="s">
        <v>72</v>
      </c>
      <c r="AN695" s="2" t="s">
        <v>73</v>
      </c>
      <c r="AP695" s="2" t="s">
        <v>5810</v>
      </c>
      <c r="AT695" s="2" t="s">
        <v>5795</v>
      </c>
      <c r="AU695" s="2" t="s">
        <v>75</v>
      </c>
      <c r="AV695" s="2" t="s">
        <v>5796</v>
      </c>
      <c r="AW695" s="2" t="s">
        <v>5797</v>
      </c>
      <c r="AX695" s="2" t="s">
        <v>477</v>
      </c>
      <c r="AZ695" s="2" t="s">
        <v>1256</v>
      </c>
    </row>
    <row r="696" spans="1:52" s="3" customFormat="1" x14ac:dyDescent="0.35">
      <c r="A696" s="2" t="s">
        <v>5777</v>
      </c>
      <c r="B696" s="4">
        <v>243697</v>
      </c>
      <c r="C696" s="2" t="s">
        <v>5778</v>
      </c>
      <c r="D696" s="2">
        <f t="shared" si="10"/>
        <v>2</v>
      </c>
      <c r="F696" s="2" t="s">
        <v>5757</v>
      </c>
      <c r="G696" s="2" t="s">
        <v>53</v>
      </c>
      <c r="H696" s="4">
        <v>1</v>
      </c>
      <c r="I696" s="4">
        <v>1</v>
      </c>
      <c r="J696" s="5">
        <v>10000</v>
      </c>
      <c r="K696" s="2" t="s">
        <v>1252</v>
      </c>
      <c r="L696" s="5">
        <v>112620</v>
      </c>
      <c r="M696" s="2" t="s">
        <v>55</v>
      </c>
      <c r="N696" s="2" t="s">
        <v>1253</v>
      </c>
      <c r="O696" s="2" t="s">
        <v>1254</v>
      </c>
      <c r="P696" s="2" t="s">
        <v>5779</v>
      </c>
      <c r="Q696" s="2" t="s">
        <v>5811</v>
      </c>
      <c r="R696" s="2" t="s">
        <v>5781</v>
      </c>
      <c r="T696" s="2" t="s">
        <v>5782</v>
      </c>
      <c r="U696" s="2" t="s">
        <v>5783</v>
      </c>
      <c r="V696" s="2" t="s">
        <v>5784</v>
      </c>
      <c r="W696" s="2" t="s">
        <v>5785</v>
      </c>
      <c r="X696" s="2" t="s">
        <v>5786</v>
      </c>
      <c r="Y696" s="2" t="s">
        <v>5787</v>
      </c>
      <c r="Z696" s="2" t="s">
        <v>5788</v>
      </c>
      <c r="AA696" s="2" t="s">
        <v>5789</v>
      </c>
      <c r="AB696" s="2" t="s">
        <v>5790</v>
      </c>
      <c r="AC696" s="2" t="s">
        <v>5791</v>
      </c>
      <c r="AD696" s="2" t="s">
        <v>5792</v>
      </c>
      <c r="AE696" s="2" t="s">
        <v>5793</v>
      </c>
      <c r="AF696" s="2" t="s">
        <v>70</v>
      </c>
      <c r="AG696" s="2" t="s">
        <v>5779</v>
      </c>
      <c r="AK696" s="2" t="s">
        <v>5794</v>
      </c>
      <c r="AM696" s="2" t="s">
        <v>72</v>
      </c>
      <c r="AN696" s="2" t="s">
        <v>73</v>
      </c>
      <c r="AP696" s="2" t="s">
        <v>5812</v>
      </c>
      <c r="AT696" s="2" t="s">
        <v>5795</v>
      </c>
      <c r="AU696" s="2" t="s">
        <v>75</v>
      </c>
      <c r="AV696" s="2" t="s">
        <v>5796</v>
      </c>
      <c r="AW696" s="2" t="s">
        <v>5797</v>
      </c>
      <c r="AX696" s="2" t="s">
        <v>477</v>
      </c>
      <c r="AZ696" s="2" t="s">
        <v>1256</v>
      </c>
    </row>
    <row r="697" spans="1:52" s="3" customFormat="1" x14ac:dyDescent="0.35">
      <c r="A697" s="2" t="s">
        <v>5777</v>
      </c>
      <c r="B697" s="4">
        <v>243697</v>
      </c>
      <c r="C697" s="2" t="s">
        <v>5778</v>
      </c>
      <c r="D697" s="2">
        <f t="shared" si="10"/>
        <v>2</v>
      </c>
      <c r="F697" s="2" t="s">
        <v>5757</v>
      </c>
      <c r="G697" s="2" t="s">
        <v>53</v>
      </c>
      <c r="H697" s="4">
        <v>1</v>
      </c>
      <c r="I697" s="4">
        <v>1</v>
      </c>
      <c r="J697" s="5">
        <v>10000</v>
      </c>
      <c r="K697" s="2" t="s">
        <v>1252</v>
      </c>
      <c r="L697" s="5">
        <v>112620</v>
      </c>
      <c r="M697" s="2" t="s">
        <v>55</v>
      </c>
      <c r="N697" s="2" t="s">
        <v>1253</v>
      </c>
      <c r="O697" s="2" t="s">
        <v>1254</v>
      </c>
      <c r="P697" s="2" t="s">
        <v>5779</v>
      </c>
      <c r="Q697" s="2" t="s">
        <v>5813</v>
      </c>
      <c r="R697" s="2" t="s">
        <v>5781</v>
      </c>
      <c r="T697" s="2" t="s">
        <v>5782</v>
      </c>
      <c r="U697" s="2" t="s">
        <v>5783</v>
      </c>
      <c r="V697" s="2" t="s">
        <v>5784</v>
      </c>
      <c r="W697" s="2" t="s">
        <v>5785</v>
      </c>
      <c r="X697" s="2" t="s">
        <v>5786</v>
      </c>
      <c r="Y697" s="2" t="s">
        <v>5787</v>
      </c>
      <c r="Z697" s="2" t="s">
        <v>5788</v>
      </c>
      <c r="AA697" s="2" t="s">
        <v>5789</v>
      </c>
      <c r="AB697" s="2" t="s">
        <v>5790</v>
      </c>
      <c r="AC697" s="2" t="s">
        <v>5791</v>
      </c>
      <c r="AD697" s="2" t="s">
        <v>5792</v>
      </c>
      <c r="AE697" s="2" t="s">
        <v>5793</v>
      </c>
      <c r="AF697" s="2" t="s">
        <v>70</v>
      </c>
      <c r="AG697" s="2" t="s">
        <v>5779</v>
      </c>
      <c r="AK697" s="2" t="s">
        <v>5794</v>
      </c>
      <c r="AM697" s="2" t="s">
        <v>72</v>
      </c>
      <c r="AN697" s="2" t="s">
        <v>73</v>
      </c>
      <c r="AP697" s="2" t="s">
        <v>5814</v>
      </c>
      <c r="AT697" s="2" t="s">
        <v>5795</v>
      </c>
      <c r="AU697" s="2" t="s">
        <v>75</v>
      </c>
      <c r="AV697" s="2" t="s">
        <v>5796</v>
      </c>
      <c r="AW697" s="2" t="s">
        <v>5797</v>
      </c>
      <c r="AX697" s="2" t="s">
        <v>477</v>
      </c>
      <c r="AZ697" s="2" t="s">
        <v>1256</v>
      </c>
    </row>
    <row r="698" spans="1:52" s="3" customFormat="1" x14ac:dyDescent="0.35">
      <c r="A698" s="2" t="s">
        <v>5777</v>
      </c>
      <c r="B698" s="4">
        <v>243697</v>
      </c>
      <c r="C698" s="2" t="s">
        <v>5778</v>
      </c>
      <c r="D698" s="2">
        <f t="shared" si="10"/>
        <v>2</v>
      </c>
      <c r="F698" s="2" t="s">
        <v>5757</v>
      </c>
      <c r="G698" s="2" t="s">
        <v>53</v>
      </c>
      <c r="H698" s="4">
        <v>1</v>
      </c>
      <c r="I698" s="4">
        <v>1</v>
      </c>
      <c r="J698" s="5">
        <v>10000</v>
      </c>
      <c r="K698" s="2" t="s">
        <v>1252</v>
      </c>
      <c r="L698" s="5">
        <v>112620</v>
      </c>
      <c r="M698" s="2" t="s">
        <v>55</v>
      </c>
      <c r="N698" s="2" t="s">
        <v>1253</v>
      </c>
      <c r="O698" s="2" t="s">
        <v>1254</v>
      </c>
      <c r="P698" s="2" t="s">
        <v>5779</v>
      </c>
      <c r="Q698" s="2" t="s">
        <v>5815</v>
      </c>
      <c r="R698" s="2" t="s">
        <v>5781</v>
      </c>
      <c r="T698" s="2" t="s">
        <v>5782</v>
      </c>
      <c r="U698" s="2" t="s">
        <v>5783</v>
      </c>
      <c r="V698" s="2" t="s">
        <v>5784</v>
      </c>
      <c r="W698" s="2" t="s">
        <v>5785</v>
      </c>
      <c r="X698" s="2" t="s">
        <v>5786</v>
      </c>
      <c r="Y698" s="2" t="s">
        <v>5787</v>
      </c>
      <c r="Z698" s="2" t="s">
        <v>5788</v>
      </c>
      <c r="AA698" s="2" t="s">
        <v>5789</v>
      </c>
      <c r="AB698" s="2" t="s">
        <v>5790</v>
      </c>
      <c r="AC698" s="2" t="s">
        <v>5791</v>
      </c>
      <c r="AD698" s="2" t="s">
        <v>5792</v>
      </c>
      <c r="AE698" s="2" t="s">
        <v>5793</v>
      </c>
      <c r="AF698" s="2" t="s">
        <v>70</v>
      </c>
      <c r="AG698" s="2" t="s">
        <v>5779</v>
      </c>
      <c r="AK698" s="2" t="s">
        <v>5794</v>
      </c>
      <c r="AM698" s="2" t="s">
        <v>72</v>
      </c>
      <c r="AN698" s="2" t="s">
        <v>73</v>
      </c>
      <c r="AP698" s="2" t="s">
        <v>5816</v>
      </c>
      <c r="AT698" s="2" t="s">
        <v>5795</v>
      </c>
      <c r="AU698" s="2" t="s">
        <v>75</v>
      </c>
      <c r="AV698" s="2" t="s">
        <v>5796</v>
      </c>
      <c r="AW698" s="2" t="s">
        <v>5797</v>
      </c>
      <c r="AX698" s="2" t="s">
        <v>477</v>
      </c>
      <c r="AZ698" s="2" t="s">
        <v>1256</v>
      </c>
    </row>
    <row r="699" spans="1:52" s="3" customFormat="1" x14ac:dyDescent="0.35">
      <c r="A699" s="2" t="s">
        <v>5817</v>
      </c>
      <c r="B699" s="4">
        <v>243693</v>
      </c>
      <c r="C699" s="2" t="s">
        <v>5818</v>
      </c>
      <c r="D699" s="2">
        <f t="shared" si="10"/>
        <v>2</v>
      </c>
      <c r="F699" s="2" t="s">
        <v>5757</v>
      </c>
      <c r="G699" s="2" t="s">
        <v>53</v>
      </c>
      <c r="H699" s="4">
        <v>1</v>
      </c>
      <c r="I699" s="4">
        <v>1</v>
      </c>
      <c r="J699" s="5">
        <v>800000</v>
      </c>
      <c r="L699" s="5">
        <v>750800</v>
      </c>
      <c r="M699" s="2" t="s">
        <v>55</v>
      </c>
      <c r="N699" s="2" t="s">
        <v>458</v>
      </c>
      <c r="O699" s="2" t="s">
        <v>459</v>
      </c>
      <c r="P699" s="2" t="s">
        <v>5819</v>
      </c>
      <c r="Q699" s="2" t="s">
        <v>5820</v>
      </c>
      <c r="R699" s="2" t="s">
        <v>5821</v>
      </c>
      <c r="T699" s="2" t="s">
        <v>5396</v>
      </c>
      <c r="U699" s="2" t="s">
        <v>5397</v>
      </c>
      <c r="V699" s="2" t="s">
        <v>5822</v>
      </c>
      <c r="W699" s="2" t="s">
        <v>5823</v>
      </c>
      <c r="X699" s="2" t="s">
        <v>5824</v>
      </c>
      <c r="Y699" s="2" t="s">
        <v>5400</v>
      </c>
      <c r="Z699" s="2" t="s">
        <v>5401</v>
      </c>
      <c r="AA699" s="2" t="s">
        <v>5402</v>
      </c>
      <c r="AB699" s="2" t="s">
        <v>5403</v>
      </c>
      <c r="AC699" s="2" t="s">
        <v>5404</v>
      </c>
      <c r="AD699" s="2" t="s">
        <v>68</v>
      </c>
      <c r="AE699" s="2" t="s">
        <v>69</v>
      </c>
      <c r="AF699" s="2" t="s">
        <v>70</v>
      </c>
      <c r="AG699" s="2" t="s">
        <v>5819</v>
      </c>
      <c r="AK699" s="2" t="s">
        <v>5825</v>
      </c>
      <c r="AM699" s="2" t="s">
        <v>72</v>
      </c>
      <c r="AN699" s="2" t="s">
        <v>403</v>
      </c>
      <c r="AP699" s="2" t="s">
        <v>2705</v>
      </c>
      <c r="AU699" s="2" t="s">
        <v>75</v>
      </c>
      <c r="AV699" s="2" t="s">
        <v>5407</v>
      </c>
      <c r="AW699" s="2" t="s">
        <v>5408</v>
      </c>
      <c r="AX699" s="2" t="s">
        <v>477</v>
      </c>
      <c r="AZ699" s="2" t="s">
        <v>478</v>
      </c>
    </row>
    <row r="700" spans="1:52" s="3" customFormat="1" x14ac:dyDescent="0.35">
      <c r="A700" s="2" t="s">
        <v>5826</v>
      </c>
      <c r="B700" s="4">
        <v>243684</v>
      </c>
      <c r="C700" s="2" t="s">
        <v>5827</v>
      </c>
      <c r="D700" s="2">
        <f t="shared" si="10"/>
        <v>2</v>
      </c>
      <c r="G700" s="2" t="s">
        <v>53</v>
      </c>
      <c r="H700" s="4">
        <v>1</v>
      </c>
      <c r="I700" s="4">
        <v>1</v>
      </c>
      <c r="J700" s="4">
        <v>0</v>
      </c>
      <c r="L700" s="4">
        <v>0</v>
      </c>
      <c r="M700" s="2" t="s">
        <v>55</v>
      </c>
      <c r="N700" s="2" t="s">
        <v>56</v>
      </c>
      <c r="O700" s="2" t="s">
        <v>57</v>
      </c>
      <c r="P700" s="2" t="s">
        <v>4887</v>
      </c>
      <c r="Q700" s="2" t="s">
        <v>4888</v>
      </c>
      <c r="R700" s="2" t="s">
        <v>5828</v>
      </c>
      <c r="S700" s="2" t="s">
        <v>5829</v>
      </c>
      <c r="V700" s="2" t="s">
        <v>5830</v>
      </c>
      <c r="W700" s="2" t="s">
        <v>5831</v>
      </c>
      <c r="Y700" s="2" t="s">
        <v>64</v>
      </c>
      <c r="Z700" s="2" t="s">
        <v>65</v>
      </c>
      <c r="AA700" s="2" t="s">
        <v>66</v>
      </c>
      <c r="AC700" s="2" t="s">
        <v>67</v>
      </c>
      <c r="AD700" s="2" t="s">
        <v>68</v>
      </c>
      <c r="AE700" s="2" t="s">
        <v>69</v>
      </c>
      <c r="AF700" s="2" t="s">
        <v>70</v>
      </c>
      <c r="AG700" s="2" t="s">
        <v>4887</v>
      </c>
      <c r="AK700" s="2" t="s">
        <v>5832</v>
      </c>
      <c r="AM700" s="2" t="s">
        <v>72</v>
      </c>
      <c r="AN700" s="2" t="s">
        <v>1383</v>
      </c>
      <c r="AP700" s="2" t="s">
        <v>4546</v>
      </c>
      <c r="AU700" s="2" t="s">
        <v>75</v>
      </c>
      <c r="AW700" s="2" t="s">
        <v>5833</v>
      </c>
      <c r="AZ700" s="2" t="s">
        <v>116</v>
      </c>
    </row>
    <row r="701" spans="1:52" s="3" customFormat="1" x14ac:dyDescent="0.35">
      <c r="A701" s="2" t="s">
        <v>5834</v>
      </c>
      <c r="B701" s="4">
        <v>243682</v>
      </c>
      <c r="C701" s="2" t="s">
        <v>5835</v>
      </c>
      <c r="D701" s="2">
        <f t="shared" si="10"/>
        <v>2</v>
      </c>
      <c r="F701" s="2" t="s">
        <v>5757</v>
      </c>
      <c r="G701" s="2" t="s">
        <v>53</v>
      </c>
      <c r="H701" s="4">
        <v>1</v>
      </c>
      <c r="I701" s="4">
        <v>1</v>
      </c>
      <c r="J701" s="5">
        <v>40000</v>
      </c>
      <c r="L701" s="5">
        <v>37540</v>
      </c>
      <c r="M701" s="2" t="s">
        <v>55</v>
      </c>
      <c r="N701" s="2" t="s">
        <v>458</v>
      </c>
      <c r="O701" s="2" t="s">
        <v>459</v>
      </c>
      <c r="P701" s="2" t="s">
        <v>5836</v>
      </c>
      <c r="Q701" s="2" t="s">
        <v>5837</v>
      </c>
      <c r="R701" s="2" t="s">
        <v>5838</v>
      </c>
      <c r="T701" s="2" t="s">
        <v>5839</v>
      </c>
      <c r="U701" s="2" t="s">
        <v>5840</v>
      </c>
      <c r="V701" s="2" t="s">
        <v>5841</v>
      </c>
      <c r="W701" s="2" t="s">
        <v>5842</v>
      </c>
      <c r="X701" s="2" t="s">
        <v>5843</v>
      </c>
      <c r="Y701" s="2" t="s">
        <v>3968</v>
      </c>
      <c r="Z701" s="2" t="s">
        <v>2854</v>
      </c>
      <c r="AA701" s="2" t="s">
        <v>5844</v>
      </c>
      <c r="AB701" s="2" t="s">
        <v>5845</v>
      </c>
      <c r="AC701" s="2" t="s">
        <v>3971</v>
      </c>
      <c r="AD701" s="2" t="s">
        <v>68</v>
      </c>
      <c r="AE701" s="2" t="s">
        <v>69</v>
      </c>
      <c r="AF701" s="2" t="s">
        <v>70</v>
      </c>
      <c r="AG701" s="2" t="s">
        <v>5836</v>
      </c>
      <c r="AK701" s="2" t="s">
        <v>5846</v>
      </c>
      <c r="AM701" s="2" t="s">
        <v>72</v>
      </c>
      <c r="AN701" s="2" t="s">
        <v>73</v>
      </c>
      <c r="AP701" s="2" t="s">
        <v>5847</v>
      </c>
      <c r="AU701" s="2" t="s">
        <v>75</v>
      </c>
      <c r="AV701" s="2" t="s">
        <v>5848</v>
      </c>
      <c r="AW701" s="2" t="s">
        <v>5849</v>
      </c>
      <c r="AX701" s="2" t="s">
        <v>477</v>
      </c>
      <c r="AZ701" s="2" t="s">
        <v>478</v>
      </c>
    </row>
    <row r="702" spans="1:52" s="3" customFormat="1" x14ac:dyDescent="0.35">
      <c r="A702" s="2" t="s">
        <v>5850</v>
      </c>
      <c r="B702" s="4">
        <v>243663</v>
      </c>
      <c r="C702" s="2" t="s">
        <v>5851</v>
      </c>
      <c r="D702" s="2">
        <f t="shared" si="10"/>
        <v>2</v>
      </c>
      <c r="F702" s="2" t="s">
        <v>5757</v>
      </c>
      <c r="G702" s="2" t="s">
        <v>53</v>
      </c>
      <c r="H702" s="4">
        <v>1</v>
      </c>
      <c r="I702" s="4">
        <v>1</v>
      </c>
      <c r="J702" s="5">
        <v>53000</v>
      </c>
      <c r="L702" s="5">
        <v>49740.5</v>
      </c>
      <c r="M702" s="2" t="s">
        <v>55</v>
      </c>
      <c r="N702" s="2" t="s">
        <v>458</v>
      </c>
      <c r="O702" s="2" t="s">
        <v>459</v>
      </c>
      <c r="P702" s="2" t="s">
        <v>5852</v>
      </c>
      <c r="Q702" s="2" t="s">
        <v>5853</v>
      </c>
      <c r="R702" s="2" t="s">
        <v>5854</v>
      </c>
      <c r="T702" s="2" t="s">
        <v>4263</v>
      </c>
      <c r="U702" s="2" t="s">
        <v>4264</v>
      </c>
      <c r="V702" s="2" t="s">
        <v>5855</v>
      </c>
      <c r="W702" s="2" t="s">
        <v>5856</v>
      </c>
      <c r="X702" s="2" t="s">
        <v>5856</v>
      </c>
      <c r="Y702" s="2" t="s">
        <v>4267</v>
      </c>
      <c r="Z702" s="2" t="s">
        <v>4268</v>
      </c>
      <c r="AA702" s="2" t="s">
        <v>3925</v>
      </c>
      <c r="AC702" s="2" t="s">
        <v>4269</v>
      </c>
      <c r="AD702" s="2" t="s">
        <v>2979</v>
      </c>
      <c r="AE702" s="2" t="s">
        <v>2980</v>
      </c>
      <c r="AF702" s="2" t="s">
        <v>70</v>
      </c>
      <c r="AG702" s="2" t="s">
        <v>5852</v>
      </c>
      <c r="AK702" s="2" t="s">
        <v>5857</v>
      </c>
      <c r="AM702" s="2" t="s">
        <v>72</v>
      </c>
      <c r="AN702" s="2" t="s">
        <v>232</v>
      </c>
      <c r="AP702" s="2" t="s">
        <v>4689</v>
      </c>
      <c r="AU702" s="2" t="s">
        <v>75</v>
      </c>
      <c r="AV702" s="2" t="s">
        <v>4273</v>
      </c>
      <c r="AW702" s="2" t="s">
        <v>4274</v>
      </c>
      <c r="AX702" s="2" t="s">
        <v>77</v>
      </c>
      <c r="AZ702" s="2" t="s">
        <v>77</v>
      </c>
    </row>
    <row r="703" spans="1:52" s="3" customFormat="1" x14ac:dyDescent="0.35">
      <c r="A703" s="2" t="s">
        <v>5858</v>
      </c>
      <c r="B703" s="4">
        <v>243659</v>
      </c>
      <c r="C703" s="2" t="s">
        <v>5859</v>
      </c>
      <c r="D703" s="2">
        <f t="shared" si="10"/>
        <v>2</v>
      </c>
      <c r="F703" s="2" t="s">
        <v>5757</v>
      </c>
      <c r="G703" s="2" t="s">
        <v>53</v>
      </c>
      <c r="H703" s="4">
        <v>1</v>
      </c>
      <c r="I703" s="4">
        <v>1</v>
      </c>
      <c r="J703" s="5">
        <v>650000</v>
      </c>
      <c r="L703" s="5">
        <v>650000</v>
      </c>
      <c r="M703" s="2" t="s">
        <v>55</v>
      </c>
      <c r="N703" s="2" t="s">
        <v>458</v>
      </c>
      <c r="O703" s="2" t="s">
        <v>459</v>
      </c>
      <c r="P703" s="2" t="s">
        <v>5860</v>
      </c>
      <c r="Q703" s="2" t="s">
        <v>5861</v>
      </c>
      <c r="R703" s="2" t="s">
        <v>5862</v>
      </c>
      <c r="T703" s="2" t="s">
        <v>5863</v>
      </c>
      <c r="U703" s="2" t="s">
        <v>5864</v>
      </c>
      <c r="V703" s="2" t="s">
        <v>5865</v>
      </c>
      <c r="W703" s="2" t="s">
        <v>5866</v>
      </c>
      <c r="X703" s="2" t="s">
        <v>5867</v>
      </c>
      <c r="Y703" s="2" t="s">
        <v>5868</v>
      </c>
      <c r="Z703" s="2" t="s">
        <v>5869</v>
      </c>
      <c r="AA703" s="2" t="s">
        <v>1624</v>
      </c>
      <c r="AB703" s="2" t="s">
        <v>5870</v>
      </c>
      <c r="AC703" s="2" t="s">
        <v>5871</v>
      </c>
      <c r="AD703" s="2" t="s">
        <v>1903</v>
      </c>
      <c r="AE703" s="2" t="s">
        <v>69</v>
      </c>
      <c r="AF703" s="2" t="s">
        <v>97</v>
      </c>
      <c r="AG703" s="2" t="s">
        <v>5860</v>
      </c>
      <c r="AK703" s="2" t="s">
        <v>5872</v>
      </c>
      <c r="AM703" s="2" t="s">
        <v>72</v>
      </c>
      <c r="AN703" s="2" t="s">
        <v>403</v>
      </c>
      <c r="AP703" s="2" t="s">
        <v>2894</v>
      </c>
      <c r="AS703" s="2" t="s">
        <v>5873</v>
      </c>
      <c r="AT703" s="2" t="s">
        <v>102</v>
      </c>
      <c r="AU703" s="2" t="s">
        <v>75</v>
      </c>
      <c r="AV703" s="2" t="s">
        <v>5874</v>
      </c>
      <c r="AW703" s="2" t="s">
        <v>5875</v>
      </c>
      <c r="AX703" s="2" t="s">
        <v>477</v>
      </c>
      <c r="AZ703" s="2" t="s">
        <v>478</v>
      </c>
    </row>
    <row r="704" spans="1:52" s="3" customFormat="1" x14ac:dyDescent="0.35">
      <c r="A704" s="2" t="s">
        <v>5876</v>
      </c>
      <c r="B704" s="4">
        <v>243656</v>
      </c>
      <c r="C704" s="2" t="s">
        <v>5877</v>
      </c>
      <c r="D704" s="2">
        <f t="shared" si="10"/>
        <v>2</v>
      </c>
      <c r="F704" s="2" t="s">
        <v>5757</v>
      </c>
      <c r="G704" s="2" t="s">
        <v>53</v>
      </c>
      <c r="H704" s="4">
        <v>1</v>
      </c>
      <c r="I704" s="4">
        <v>1</v>
      </c>
      <c r="J704" s="5">
        <v>359000</v>
      </c>
      <c r="K704" s="2" t="s">
        <v>1252</v>
      </c>
      <c r="L704" s="5">
        <v>718000</v>
      </c>
      <c r="M704" s="2" t="s">
        <v>55</v>
      </c>
      <c r="N704" s="2" t="s">
        <v>1253</v>
      </c>
      <c r="O704" s="2" t="s">
        <v>1254</v>
      </c>
      <c r="P704" s="2" t="s">
        <v>5878</v>
      </c>
      <c r="Q704" s="2" t="s">
        <v>5879</v>
      </c>
      <c r="R704" s="2" t="s">
        <v>3624</v>
      </c>
      <c r="T704" s="2" t="s">
        <v>2926</v>
      </c>
      <c r="U704" s="2" t="s">
        <v>2927</v>
      </c>
      <c r="V704" s="2" t="s">
        <v>2928</v>
      </c>
      <c r="W704" s="2" t="s">
        <v>2929</v>
      </c>
      <c r="X704" s="2" t="s">
        <v>2930</v>
      </c>
      <c r="Y704" s="2" t="s">
        <v>2931</v>
      </c>
      <c r="Z704" s="2" t="s">
        <v>2932</v>
      </c>
      <c r="AA704" s="2" t="s">
        <v>2933</v>
      </c>
      <c r="AB704" s="2" t="s">
        <v>2934</v>
      </c>
      <c r="AC704" s="2" t="s">
        <v>5880</v>
      </c>
      <c r="AD704" s="2" t="s">
        <v>2556</v>
      </c>
      <c r="AE704" s="2" t="s">
        <v>69</v>
      </c>
      <c r="AF704" s="2" t="s">
        <v>97</v>
      </c>
      <c r="AG704" s="2" t="s">
        <v>5881</v>
      </c>
      <c r="AK704" s="2" t="s">
        <v>5882</v>
      </c>
      <c r="AM704" s="2" t="s">
        <v>72</v>
      </c>
      <c r="AN704" s="2" t="s">
        <v>283</v>
      </c>
      <c r="AP704" s="2" t="s">
        <v>5883</v>
      </c>
      <c r="AS704" s="2" t="s">
        <v>5884</v>
      </c>
      <c r="AT704" s="2" t="s">
        <v>5885</v>
      </c>
      <c r="AU704" s="2" t="s">
        <v>75</v>
      </c>
      <c r="AV704" s="2" t="s">
        <v>2937</v>
      </c>
      <c r="AW704" s="2" t="s">
        <v>2938</v>
      </c>
      <c r="AX704" s="2" t="s">
        <v>477</v>
      </c>
      <c r="AZ704" s="2" t="s">
        <v>478</v>
      </c>
    </row>
    <row r="705" spans="1:52" s="3" customFormat="1" x14ac:dyDescent="0.35">
      <c r="A705" s="2" t="s">
        <v>5876</v>
      </c>
      <c r="B705" s="4">
        <v>243656</v>
      </c>
      <c r="C705" s="2" t="s">
        <v>5877</v>
      </c>
      <c r="D705" s="2">
        <f t="shared" si="10"/>
        <v>2</v>
      </c>
      <c r="F705" s="2" t="s">
        <v>5757</v>
      </c>
      <c r="G705" s="2" t="s">
        <v>53</v>
      </c>
      <c r="H705" s="4">
        <v>1</v>
      </c>
      <c r="I705" s="4">
        <v>1</v>
      </c>
      <c r="J705" s="5">
        <v>359000</v>
      </c>
      <c r="K705" s="2" t="s">
        <v>1252</v>
      </c>
      <c r="L705" s="5">
        <v>718000</v>
      </c>
      <c r="M705" s="2" t="s">
        <v>55</v>
      </c>
      <c r="N705" s="2" t="s">
        <v>1253</v>
      </c>
      <c r="O705" s="2" t="s">
        <v>1254</v>
      </c>
      <c r="P705" s="2" t="s">
        <v>5878</v>
      </c>
      <c r="Q705" s="2" t="s">
        <v>5886</v>
      </c>
      <c r="R705" s="2" t="s">
        <v>3624</v>
      </c>
      <c r="T705" s="2" t="s">
        <v>2926</v>
      </c>
      <c r="U705" s="2" t="s">
        <v>2927</v>
      </c>
      <c r="V705" s="2" t="s">
        <v>2928</v>
      </c>
      <c r="W705" s="2" t="s">
        <v>2929</v>
      </c>
      <c r="X705" s="2" t="s">
        <v>2930</v>
      </c>
      <c r="Y705" s="2" t="s">
        <v>2931</v>
      </c>
      <c r="Z705" s="2" t="s">
        <v>2932</v>
      </c>
      <c r="AA705" s="2" t="s">
        <v>2933</v>
      </c>
      <c r="AB705" s="2" t="s">
        <v>2934</v>
      </c>
      <c r="AC705" s="2" t="s">
        <v>5880</v>
      </c>
      <c r="AD705" s="2" t="s">
        <v>2556</v>
      </c>
      <c r="AE705" s="2" t="s">
        <v>69</v>
      </c>
      <c r="AF705" s="2" t="s">
        <v>97</v>
      </c>
      <c r="AG705" s="2" t="s">
        <v>5881</v>
      </c>
      <c r="AK705" s="2" t="s">
        <v>5882</v>
      </c>
      <c r="AM705" s="2" t="s">
        <v>72</v>
      </c>
      <c r="AN705" s="2" t="s">
        <v>283</v>
      </c>
      <c r="AP705" s="2" t="s">
        <v>5883</v>
      </c>
      <c r="AS705" s="2" t="s">
        <v>5884</v>
      </c>
      <c r="AT705" s="2" t="s">
        <v>5885</v>
      </c>
      <c r="AU705" s="2" t="s">
        <v>75</v>
      </c>
      <c r="AV705" s="2" t="s">
        <v>2937</v>
      </c>
      <c r="AW705" s="2" t="s">
        <v>2938</v>
      </c>
      <c r="AX705" s="2" t="s">
        <v>477</v>
      </c>
      <c r="AZ705" s="2" t="s">
        <v>478</v>
      </c>
    </row>
    <row r="706" spans="1:52" s="3" customFormat="1" x14ac:dyDescent="0.35">
      <c r="A706" s="2" t="s">
        <v>5887</v>
      </c>
      <c r="B706" s="4">
        <v>243644</v>
      </c>
      <c r="C706" s="2" t="s">
        <v>5888</v>
      </c>
      <c r="D706" s="2">
        <f t="shared" si="10"/>
        <v>2</v>
      </c>
      <c r="F706" s="2" t="s">
        <v>5757</v>
      </c>
      <c r="G706" s="2" t="s">
        <v>53</v>
      </c>
      <c r="H706" s="4">
        <v>1</v>
      </c>
      <c r="I706" s="4">
        <v>1</v>
      </c>
      <c r="J706" s="5">
        <v>15000</v>
      </c>
      <c r="L706" s="5">
        <v>14077.5</v>
      </c>
      <c r="M706" s="2" t="s">
        <v>55</v>
      </c>
      <c r="N706" s="2" t="s">
        <v>458</v>
      </c>
      <c r="O706" s="2" t="s">
        <v>459</v>
      </c>
      <c r="P706" s="2" t="s">
        <v>5889</v>
      </c>
      <c r="Q706" s="2" t="s">
        <v>5890</v>
      </c>
      <c r="R706" s="2" t="s">
        <v>5891</v>
      </c>
      <c r="T706" s="2" t="s">
        <v>4641</v>
      </c>
      <c r="U706" s="2" t="s">
        <v>4642</v>
      </c>
      <c r="V706" s="2" t="s">
        <v>5892</v>
      </c>
      <c r="W706" s="2" t="s">
        <v>5893</v>
      </c>
      <c r="X706" s="2" t="s">
        <v>4645</v>
      </c>
      <c r="Y706" s="2" t="s">
        <v>4646</v>
      </c>
      <c r="Z706" s="2" t="s">
        <v>4647</v>
      </c>
      <c r="AA706" s="2" t="s">
        <v>4648</v>
      </c>
      <c r="AB706" s="2" t="s">
        <v>4649</v>
      </c>
      <c r="AC706" s="2" t="s">
        <v>4650</v>
      </c>
      <c r="AD706" s="2" t="s">
        <v>68</v>
      </c>
      <c r="AE706" s="2" t="s">
        <v>69</v>
      </c>
      <c r="AF706" s="2" t="s">
        <v>70</v>
      </c>
      <c r="AG706" s="2" t="s">
        <v>5889</v>
      </c>
      <c r="AK706" s="2" t="s">
        <v>5894</v>
      </c>
      <c r="AM706" s="2" t="s">
        <v>72</v>
      </c>
      <c r="AN706" s="2" t="s">
        <v>73</v>
      </c>
      <c r="AP706" s="2" t="s">
        <v>4986</v>
      </c>
      <c r="AU706" s="2" t="s">
        <v>75</v>
      </c>
      <c r="AV706" s="2" t="s">
        <v>4652</v>
      </c>
      <c r="AW706" s="2" t="s">
        <v>4653</v>
      </c>
      <c r="AX706" s="2" t="s">
        <v>77</v>
      </c>
      <c r="AZ706" s="2" t="s">
        <v>77</v>
      </c>
    </row>
    <row r="707" spans="1:52" s="3" customFormat="1" x14ac:dyDescent="0.35">
      <c r="A707" s="2" t="s">
        <v>5895</v>
      </c>
      <c r="B707" s="4">
        <v>243642</v>
      </c>
      <c r="C707" s="2" t="s">
        <v>5896</v>
      </c>
      <c r="D707" s="2">
        <f t="shared" ref="D707:D770" si="11">MONTH(C707)</f>
        <v>2</v>
      </c>
      <c r="F707" s="2" t="s">
        <v>5757</v>
      </c>
      <c r="G707" s="2" t="s">
        <v>53</v>
      </c>
      <c r="H707" s="4">
        <v>1</v>
      </c>
      <c r="I707" s="4">
        <v>1</v>
      </c>
      <c r="J707" s="5">
        <v>185000</v>
      </c>
      <c r="L707" s="5">
        <v>167517.5</v>
      </c>
      <c r="M707" s="2" t="s">
        <v>55</v>
      </c>
      <c r="N707" s="2" t="s">
        <v>458</v>
      </c>
      <c r="O707" s="2" t="s">
        <v>459</v>
      </c>
      <c r="P707" s="2" t="s">
        <v>5897</v>
      </c>
      <c r="Q707" s="2" t="s">
        <v>5898</v>
      </c>
      <c r="R707" s="2" t="s">
        <v>5891</v>
      </c>
      <c r="T707" s="2" t="s">
        <v>4641</v>
      </c>
      <c r="U707" s="2" t="s">
        <v>4642</v>
      </c>
      <c r="V707" s="2" t="s">
        <v>5892</v>
      </c>
      <c r="W707" s="2" t="s">
        <v>5893</v>
      </c>
      <c r="X707" s="2" t="s">
        <v>4645</v>
      </c>
      <c r="Y707" s="2" t="s">
        <v>4646</v>
      </c>
      <c r="Z707" s="2" t="s">
        <v>4647</v>
      </c>
      <c r="AA707" s="2" t="s">
        <v>4648</v>
      </c>
      <c r="AB707" s="2" t="s">
        <v>4649</v>
      </c>
      <c r="AC707" s="2" t="s">
        <v>4650</v>
      </c>
      <c r="AD707" s="2" t="s">
        <v>68</v>
      </c>
      <c r="AE707" s="2" t="s">
        <v>69</v>
      </c>
      <c r="AF707" s="2" t="s">
        <v>70</v>
      </c>
      <c r="AG707" s="2" t="s">
        <v>5899</v>
      </c>
      <c r="AK707" s="2" t="s">
        <v>5900</v>
      </c>
      <c r="AM707" s="2" t="s">
        <v>72</v>
      </c>
      <c r="AN707" s="2" t="s">
        <v>73</v>
      </c>
      <c r="AP707" s="2" t="s">
        <v>1033</v>
      </c>
      <c r="AU707" s="2" t="s">
        <v>75</v>
      </c>
      <c r="AV707" s="2" t="s">
        <v>4652</v>
      </c>
      <c r="AW707" s="2" t="s">
        <v>4653</v>
      </c>
      <c r="AX707" s="2" t="s">
        <v>477</v>
      </c>
      <c r="AZ707" s="2" t="s">
        <v>478</v>
      </c>
    </row>
    <row r="708" spans="1:52" s="3" customFormat="1" x14ac:dyDescent="0.35">
      <c r="A708" s="2" t="s">
        <v>5901</v>
      </c>
      <c r="B708" s="4">
        <v>243639</v>
      </c>
      <c r="C708" s="2" t="s">
        <v>5902</v>
      </c>
      <c r="D708" s="2">
        <f t="shared" si="11"/>
        <v>2</v>
      </c>
      <c r="F708" s="2" t="s">
        <v>5757</v>
      </c>
      <c r="G708" s="2" t="s">
        <v>53</v>
      </c>
      <c r="H708" s="4">
        <v>1</v>
      </c>
      <c r="I708" s="4">
        <v>1</v>
      </c>
      <c r="J708" s="5">
        <v>150000</v>
      </c>
      <c r="L708" s="5">
        <v>140775</v>
      </c>
      <c r="M708" s="2" t="s">
        <v>55</v>
      </c>
      <c r="N708" s="2" t="s">
        <v>458</v>
      </c>
      <c r="O708" s="2" t="s">
        <v>459</v>
      </c>
      <c r="P708" s="2" t="s">
        <v>5903</v>
      </c>
      <c r="Q708" s="2" t="s">
        <v>5904</v>
      </c>
      <c r="R708" s="2" t="s">
        <v>5905</v>
      </c>
      <c r="T708" s="2" t="s">
        <v>5906</v>
      </c>
      <c r="U708" s="2" t="s">
        <v>5907</v>
      </c>
      <c r="V708" s="2" t="s">
        <v>5908</v>
      </c>
      <c r="W708" s="2" t="s">
        <v>5909</v>
      </c>
      <c r="X708" s="2" t="s">
        <v>5909</v>
      </c>
      <c r="Y708" s="2" t="s">
        <v>5910</v>
      </c>
      <c r="Z708" s="2" t="s">
        <v>5911</v>
      </c>
      <c r="AA708" s="2" t="s">
        <v>5912</v>
      </c>
      <c r="AC708" s="2" t="s">
        <v>2842</v>
      </c>
      <c r="AD708" s="2" t="s">
        <v>68</v>
      </c>
      <c r="AE708" s="2" t="s">
        <v>69</v>
      </c>
      <c r="AF708" s="2" t="s">
        <v>70</v>
      </c>
      <c r="AG708" s="2" t="s">
        <v>5903</v>
      </c>
      <c r="AK708" s="2" t="s">
        <v>5913</v>
      </c>
      <c r="AM708" s="2" t="s">
        <v>72</v>
      </c>
      <c r="AN708" s="2" t="s">
        <v>73</v>
      </c>
      <c r="AP708" s="2" t="s">
        <v>5914</v>
      </c>
      <c r="AU708" s="2" t="s">
        <v>75</v>
      </c>
      <c r="AV708" s="2" t="s">
        <v>5757</v>
      </c>
      <c r="AW708" s="2" t="s">
        <v>5915</v>
      </c>
      <c r="AX708" s="2" t="s">
        <v>477</v>
      </c>
      <c r="AZ708" s="2" t="s">
        <v>478</v>
      </c>
    </row>
    <row r="709" spans="1:52" s="3" customFormat="1" x14ac:dyDescent="0.35">
      <c r="A709" s="2" t="s">
        <v>5916</v>
      </c>
      <c r="B709" s="4">
        <v>242532</v>
      </c>
      <c r="C709" s="2" t="s">
        <v>5917</v>
      </c>
      <c r="D709" s="2">
        <f t="shared" si="11"/>
        <v>2</v>
      </c>
      <c r="F709" s="2" t="s">
        <v>5757</v>
      </c>
      <c r="G709" s="2" t="s">
        <v>53</v>
      </c>
      <c r="H709" s="4">
        <v>2</v>
      </c>
      <c r="I709" s="4">
        <v>12</v>
      </c>
      <c r="J709" s="5">
        <v>69999.98</v>
      </c>
      <c r="K709" s="2" t="s">
        <v>80</v>
      </c>
      <c r="L709" s="5">
        <v>69999.98</v>
      </c>
      <c r="M709" s="2" t="s">
        <v>5918</v>
      </c>
      <c r="N709" s="2" t="s">
        <v>82</v>
      </c>
      <c r="O709" s="2" t="s">
        <v>484</v>
      </c>
      <c r="P709" s="2" t="s">
        <v>3075</v>
      </c>
      <c r="Q709" s="2" t="s">
        <v>3076</v>
      </c>
      <c r="R709" s="2" t="s">
        <v>5919</v>
      </c>
      <c r="S709" s="2" t="s">
        <v>5920</v>
      </c>
      <c r="T709" s="2" t="s">
        <v>5921</v>
      </c>
      <c r="U709" s="2" t="s">
        <v>5922</v>
      </c>
      <c r="V709" s="2" t="s">
        <v>5923</v>
      </c>
      <c r="W709" s="2" t="s">
        <v>5924</v>
      </c>
      <c r="X709" s="2" t="s">
        <v>5925</v>
      </c>
      <c r="Y709" s="2" t="s">
        <v>5926</v>
      </c>
      <c r="Z709" s="2" t="s">
        <v>5927</v>
      </c>
      <c r="AA709" s="2" t="s">
        <v>5928</v>
      </c>
      <c r="AC709" s="2" t="s">
        <v>5929</v>
      </c>
      <c r="AD709" s="2" t="s">
        <v>5930</v>
      </c>
      <c r="AE709" s="2" t="s">
        <v>69</v>
      </c>
      <c r="AF709" s="2" t="s">
        <v>97</v>
      </c>
      <c r="AG709" s="2" t="s">
        <v>3075</v>
      </c>
      <c r="AK709" s="2" t="s">
        <v>5931</v>
      </c>
      <c r="AL709" s="2" t="s">
        <v>4485</v>
      </c>
      <c r="AM709" s="2" t="s">
        <v>72</v>
      </c>
      <c r="AN709" s="2" t="s">
        <v>73</v>
      </c>
      <c r="AP709" s="2" t="s">
        <v>3088</v>
      </c>
      <c r="AS709" s="2" t="s">
        <v>5932</v>
      </c>
      <c r="AT709" s="2" t="s">
        <v>102</v>
      </c>
      <c r="AU709" s="2" t="s">
        <v>75</v>
      </c>
      <c r="AV709" s="2" t="s">
        <v>5757</v>
      </c>
      <c r="AW709" s="2" t="s">
        <v>5933</v>
      </c>
      <c r="AX709" s="2" t="s">
        <v>4670</v>
      </c>
      <c r="AZ709" s="2" t="s">
        <v>77</v>
      </c>
    </row>
    <row r="710" spans="1:52" s="3" customFormat="1" x14ac:dyDescent="0.35">
      <c r="A710" s="2" t="s">
        <v>5934</v>
      </c>
      <c r="B710" s="4">
        <v>243626</v>
      </c>
      <c r="C710" s="2" t="s">
        <v>5935</v>
      </c>
      <c r="D710" s="2">
        <f t="shared" si="11"/>
        <v>2</v>
      </c>
      <c r="F710" s="2" t="s">
        <v>5757</v>
      </c>
      <c r="G710" s="2" t="s">
        <v>53</v>
      </c>
      <c r="H710" s="4">
        <v>2</v>
      </c>
      <c r="I710" s="4">
        <v>1</v>
      </c>
      <c r="J710" s="5">
        <v>37000</v>
      </c>
      <c r="K710" s="2" t="s">
        <v>1252</v>
      </c>
      <c r="L710" s="5">
        <v>34724.5</v>
      </c>
      <c r="M710" s="2" t="s">
        <v>55</v>
      </c>
      <c r="N710" s="2" t="s">
        <v>1253</v>
      </c>
      <c r="O710" s="2" t="s">
        <v>1254</v>
      </c>
      <c r="P710" s="2" t="s">
        <v>4877</v>
      </c>
      <c r="Q710" s="2" t="s">
        <v>4878</v>
      </c>
      <c r="R710" s="2" t="s">
        <v>5936</v>
      </c>
      <c r="T710" s="2" t="s">
        <v>5937</v>
      </c>
      <c r="U710" s="2" t="s">
        <v>5938</v>
      </c>
      <c r="V710" s="2" t="s">
        <v>5939</v>
      </c>
      <c r="W710" s="2" t="s">
        <v>5940</v>
      </c>
      <c r="X710" s="2" t="s">
        <v>5941</v>
      </c>
      <c r="Y710" s="2" t="s">
        <v>5942</v>
      </c>
      <c r="Z710" s="2" t="s">
        <v>5943</v>
      </c>
      <c r="AA710" s="2" t="s">
        <v>5944</v>
      </c>
      <c r="AB710" s="2" t="s">
        <v>5945</v>
      </c>
      <c r="AC710" s="2" t="s">
        <v>5946</v>
      </c>
      <c r="AD710" s="2" t="s">
        <v>3159</v>
      </c>
      <c r="AE710" s="2" t="s">
        <v>3160</v>
      </c>
      <c r="AF710" s="2" t="s">
        <v>70</v>
      </c>
      <c r="AG710" s="2" t="s">
        <v>4877</v>
      </c>
      <c r="AK710" s="2" t="s">
        <v>5947</v>
      </c>
      <c r="AM710" s="2" t="s">
        <v>72</v>
      </c>
      <c r="AN710" s="2" t="s">
        <v>283</v>
      </c>
      <c r="AP710" s="2" t="s">
        <v>3758</v>
      </c>
      <c r="AU710" s="2" t="s">
        <v>75</v>
      </c>
      <c r="AV710" s="2" t="s">
        <v>5948</v>
      </c>
      <c r="AW710" s="2" t="s">
        <v>5949</v>
      </c>
      <c r="AX710" s="2" t="s">
        <v>77</v>
      </c>
      <c r="AZ710" s="2" t="s">
        <v>77</v>
      </c>
    </row>
    <row r="711" spans="1:52" s="3" customFormat="1" x14ac:dyDescent="0.35">
      <c r="A711" s="2" t="s">
        <v>5950</v>
      </c>
      <c r="B711" s="4">
        <v>243611</v>
      </c>
      <c r="C711" s="2" t="s">
        <v>5951</v>
      </c>
      <c r="D711" s="2">
        <f t="shared" si="11"/>
        <v>2</v>
      </c>
      <c r="F711" s="2" t="s">
        <v>5757</v>
      </c>
      <c r="G711" s="2" t="s">
        <v>53</v>
      </c>
      <c r="H711" s="4">
        <v>1</v>
      </c>
      <c r="I711" s="4">
        <v>0</v>
      </c>
      <c r="J711" s="4">
        <v>0</v>
      </c>
      <c r="L711" s="4">
        <v>0</v>
      </c>
      <c r="N711" s="2" t="s">
        <v>56</v>
      </c>
      <c r="O711" s="2" t="s">
        <v>57</v>
      </c>
      <c r="P711" s="2" t="s">
        <v>4619</v>
      </c>
      <c r="Q711" s="2" t="s">
        <v>4620</v>
      </c>
      <c r="R711" s="2" t="s">
        <v>5952</v>
      </c>
      <c r="S711" s="2" t="s">
        <v>5953</v>
      </c>
      <c r="T711" s="2" t="s">
        <v>5954</v>
      </c>
      <c r="U711" s="2" t="s">
        <v>5955</v>
      </c>
      <c r="V711" s="2" t="s">
        <v>5956</v>
      </c>
      <c r="W711" s="2" t="s">
        <v>5957</v>
      </c>
      <c r="Y711" s="2" t="s">
        <v>5958</v>
      </c>
      <c r="Z711" s="2" t="s">
        <v>5959</v>
      </c>
      <c r="AA711" s="2" t="s">
        <v>5960</v>
      </c>
      <c r="AB711" s="2" t="s">
        <v>5565</v>
      </c>
      <c r="AC711" s="2" t="s">
        <v>5961</v>
      </c>
      <c r="AD711" s="2" t="s">
        <v>3756</v>
      </c>
      <c r="AE711" s="2" t="s">
        <v>2980</v>
      </c>
      <c r="AF711" s="2" t="s">
        <v>70</v>
      </c>
      <c r="AK711" s="2" t="s">
        <v>5962</v>
      </c>
      <c r="AL711" s="2" t="s">
        <v>4629</v>
      </c>
      <c r="AM711" s="2" t="s">
        <v>72</v>
      </c>
      <c r="AN711" s="2" t="s">
        <v>73</v>
      </c>
      <c r="AP711" s="2" t="s">
        <v>3341</v>
      </c>
      <c r="AT711" s="2" t="s">
        <v>114</v>
      </c>
      <c r="AU711" s="2" t="s">
        <v>75</v>
      </c>
      <c r="AV711" s="2" t="s">
        <v>5963</v>
      </c>
      <c r="AW711" s="2" t="s">
        <v>5964</v>
      </c>
      <c r="AZ711" s="2" t="s">
        <v>116</v>
      </c>
    </row>
    <row r="712" spans="1:52" s="3" customFormat="1" x14ac:dyDescent="0.35">
      <c r="A712" s="2" t="s">
        <v>5965</v>
      </c>
      <c r="B712" s="4">
        <v>243591</v>
      </c>
      <c r="C712" s="2" t="s">
        <v>5966</v>
      </c>
      <c r="D712" s="2">
        <f t="shared" si="11"/>
        <v>2</v>
      </c>
      <c r="F712" s="2" t="s">
        <v>5757</v>
      </c>
      <c r="G712" s="2" t="s">
        <v>53</v>
      </c>
      <c r="H712" s="4">
        <v>1</v>
      </c>
      <c r="I712" s="4">
        <v>0</v>
      </c>
      <c r="J712" s="4">
        <v>0</v>
      </c>
      <c r="L712" s="4">
        <v>0</v>
      </c>
      <c r="N712" s="2" t="s">
        <v>56</v>
      </c>
      <c r="O712" s="2" t="s">
        <v>57</v>
      </c>
      <c r="P712" s="2" t="s">
        <v>4619</v>
      </c>
      <c r="Q712" s="2" t="s">
        <v>4620</v>
      </c>
      <c r="R712" s="2" t="s">
        <v>5967</v>
      </c>
      <c r="S712" s="2" t="s">
        <v>5968</v>
      </c>
      <c r="V712" s="2" t="s">
        <v>5969</v>
      </c>
      <c r="W712" s="2" t="s">
        <v>5970</v>
      </c>
      <c r="Y712" s="2" t="s">
        <v>5958</v>
      </c>
      <c r="Z712" s="2" t="s">
        <v>5959</v>
      </c>
      <c r="AA712" s="2" t="s">
        <v>5960</v>
      </c>
      <c r="AB712" s="2" t="s">
        <v>5971</v>
      </c>
      <c r="AC712" s="2" t="s">
        <v>5961</v>
      </c>
      <c r="AD712" s="2" t="s">
        <v>3756</v>
      </c>
      <c r="AE712" s="2" t="s">
        <v>2980</v>
      </c>
      <c r="AF712" s="2" t="s">
        <v>70</v>
      </c>
      <c r="AK712" s="2" t="s">
        <v>5972</v>
      </c>
      <c r="AL712" s="2" t="s">
        <v>4629</v>
      </c>
      <c r="AM712" s="2" t="s">
        <v>72</v>
      </c>
      <c r="AN712" s="2" t="s">
        <v>73</v>
      </c>
      <c r="AP712" s="2" t="s">
        <v>3341</v>
      </c>
      <c r="AT712" s="2" t="s">
        <v>114</v>
      </c>
      <c r="AU712" s="2" t="s">
        <v>75</v>
      </c>
      <c r="AV712" s="2" t="s">
        <v>5973</v>
      </c>
      <c r="AW712" s="2" t="s">
        <v>5974</v>
      </c>
      <c r="AZ712" s="2" t="s">
        <v>116</v>
      </c>
    </row>
    <row r="713" spans="1:52" s="3" customFormat="1" x14ac:dyDescent="0.35">
      <c r="A713" s="2" t="s">
        <v>5975</v>
      </c>
      <c r="B713" s="4">
        <v>243590</v>
      </c>
      <c r="C713" s="2" t="s">
        <v>5976</v>
      </c>
      <c r="D713" s="2">
        <f t="shared" si="11"/>
        <v>2</v>
      </c>
      <c r="F713" s="2" t="s">
        <v>5757</v>
      </c>
      <c r="G713" s="2" t="s">
        <v>53</v>
      </c>
      <c r="H713" s="4">
        <v>1</v>
      </c>
      <c r="I713" s="4">
        <v>0</v>
      </c>
      <c r="J713" s="4">
        <v>0</v>
      </c>
      <c r="L713" s="4">
        <v>0</v>
      </c>
      <c r="N713" s="2" t="s">
        <v>56</v>
      </c>
      <c r="O713" s="2" t="s">
        <v>57</v>
      </c>
      <c r="P713" s="2" t="s">
        <v>4619</v>
      </c>
      <c r="Q713" s="2" t="s">
        <v>4620</v>
      </c>
      <c r="R713" s="2" t="s">
        <v>5967</v>
      </c>
      <c r="S713" s="2" t="s">
        <v>5968</v>
      </c>
      <c r="T713" s="2" t="s">
        <v>5954</v>
      </c>
      <c r="U713" s="2" t="s">
        <v>5955</v>
      </c>
      <c r="V713" s="2" t="s">
        <v>5969</v>
      </c>
      <c r="W713" s="2" t="s">
        <v>5970</v>
      </c>
      <c r="Y713" s="2" t="s">
        <v>5958</v>
      </c>
      <c r="Z713" s="2" t="s">
        <v>5959</v>
      </c>
      <c r="AA713" s="2" t="s">
        <v>5960</v>
      </c>
      <c r="AB713" s="2" t="s">
        <v>5971</v>
      </c>
      <c r="AC713" s="2" t="s">
        <v>5961</v>
      </c>
      <c r="AD713" s="2" t="s">
        <v>3756</v>
      </c>
      <c r="AE713" s="2" t="s">
        <v>2980</v>
      </c>
      <c r="AF713" s="2" t="s">
        <v>70</v>
      </c>
      <c r="AK713" s="2" t="s">
        <v>5977</v>
      </c>
      <c r="AL713" s="2" t="s">
        <v>4629</v>
      </c>
      <c r="AM713" s="2" t="s">
        <v>72</v>
      </c>
      <c r="AN713" s="2" t="s">
        <v>73</v>
      </c>
      <c r="AP713" s="2" t="s">
        <v>3341</v>
      </c>
      <c r="AT713" s="2" t="s">
        <v>114</v>
      </c>
      <c r="AU713" s="2" t="s">
        <v>75</v>
      </c>
      <c r="AV713" s="2" t="s">
        <v>5963</v>
      </c>
      <c r="AW713" s="2" t="s">
        <v>5964</v>
      </c>
      <c r="AZ713" s="2" t="s">
        <v>116</v>
      </c>
    </row>
    <row r="714" spans="1:52" s="3" customFormat="1" x14ac:dyDescent="0.35">
      <c r="A714" s="2" t="s">
        <v>5978</v>
      </c>
      <c r="B714" s="4">
        <v>243560</v>
      </c>
      <c r="C714" s="2" t="s">
        <v>5979</v>
      </c>
      <c r="D714" s="2">
        <f t="shared" si="11"/>
        <v>2</v>
      </c>
      <c r="F714" s="2" t="s">
        <v>5757</v>
      </c>
      <c r="G714" s="2" t="s">
        <v>53</v>
      </c>
      <c r="H714" s="4">
        <v>1</v>
      </c>
      <c r="I714" s="4">
        <v>1</v>
      </c>
      <c r="J714" s="5">
        <v>65000</v>
      </c>
      <c r="L714" s="5">
        <v>61002.5</v>
      </c>
      <c r="M714" s="2" t="s">
        <v>55</v>
      </c>
      <c r="N714" s="2" t="s">
        <v>458</v>
      </c>
      <c r="O714" s="2" t="s">
        <v>459</v>
      </c>
      <c r="P714" s="2" t="s">
        <v>5980</v>
      </c>
      <c r="Q714" s="2" t="s">
        <v>5981</v>
      </c>
      <c r="R714" s="2" t="s">
        <v>5982</v>
      </c>
      <c r="T714" s="2" t="s">
        <v>5983</v>
      </c>
      <c r="U714" s="2" t="s">
        <v>5984</v>
      </c>
      <c r="V714" s="2" t="s">
        <v>5985</v>
      </c>
      <c r="W714" s="2" t="s">
        <v>5986</v>
      </c>
      <c r="X714" s="2" t="s">
        <v>5987</v>
      </c>
      <c r="Y714" s="2" t="s">
        <v>3968</v>
      </c>
      <c r="Z714" s="2" t="s">
        <v>2854</v>
      </c>
      <c r="AA714" s="2" t="s">
        <v>3969</v>
      </c>
      <c r="AB714" s="2" t="s">
        <v>5988</v>
      </c>
      <c r="AC714" s="2" t="s">
        <v>5989</v>
      </c>
      <c r="AD714" s="2" t="s">
        <v>68</v>
      </c>
      <c r="AE714" s="2" t="s">
        <v>69</v>
      </c>
      <c r="AF714" s="2" t="s">
        <v>70</v>
      </c>
      <c r="AG714" s="2" t="s">
        <v>5990</v>
      </c>
      <c r="AK714" s="2" t="s">
        <v>5991</v>
      </c>
      <c r="AM714" s="2" t="s">
        <v>72</v>
      </c>
      <c r="AN714" s="2" t="s">
        <v>403</v>
      </c>
      <c r="AP714" s="2" t="s">
        <v>3240</v>
      </c>
      <c r="AU714" s="2" t="s">
        <v>75</v>
      </c>
      <c r="AV714" s="2" t="s">
        <v>3409</v>
      </c>
      <c r="AW714" s="2" t="s">
        <v>5992</v>
      </c>
      <c r="AX714" s="2" t="s">
        <v>477</v>
      </c>
      <c r="AZ714" s="2" t="s">
        <v>478</v>
      </c>
    </row>
    <row r="715" spans="1:52" s="3" customFormat="1" x14ac:dyDescent="0.35">
      <c r="A715" s="2" t="s">
        <v>5993</v>
      </c>
      <c r="B715" s="4">
        <v>243552</v>
      </c>
      <c r="C715" s="2" t="s">
        <v>5994</v>
      </c>
      <c r="D715" s="2">
        <f t="shared" si="11"/>
        <v>2</v>
      </c>
      <c r="G715" s="2" t="s">
        <v>53</v>
      </c>
      <c r="H715" s="4">
        <v>1</v>
      </c>
      <c r="I715" s="4">
        <v>1</v>
      </c>
      <c r="J715" s="4">
        <v>0</v>
      </c>
      <c r="L715" s="4">
        <v>0</v>
      </c>
      <c r="M715" s="2" t="s">
        <v>55</v>
      </c>
      <c r="N715" s="2" t="s">
        <v>56</v>
      </c>
      <c r="O715" s="2" t="s">
        <v>57</v>
      </c>
      <c r="P715" s="2" t="s">
        <v>4633</v>
      </c>
      <c r="Q715" s="2" t="s">
        <v>4634</v>
      </c>
      <c r="R715" s="2" t="s">
        <v>5995</v>
      </c>
      <c r="S715" s="2" t="s">
        <v>5996</v>
      </c>
      <c r="V715" s="2" t="s">
        <v>5997</v>
      </c>
      <c r="W715" s="2" t="s">
        <v>5998</v>
      </c>
      <c r="Y715" s="2" t="s">
        <v>64</v>
      </c>
      <c r="Z715" s="2" t="s">
        <v>65</v>
      </c>
      <c r="AA715" s="2" t="s">
        <v>66</v>
      </c>
      <c r="AC715" s="2" t="s">
        <v>67</v>
      </c>
      <c r="AD715" s="2" t="s">
        <v>68</v>
      </c>
      <c r="AE715" s="2" t="s">
        <v>69</v>
      </c>
      <c r="AF715" s="2" t="s">
        <v>70</v>
      </c>
      <c r="AG715" s="2" t="s">
        <v>4633</v>
      </c>
      <c r="AK715" s="2" t="s">
        <v>5999</v>
      </c>
      <c r="AM715" s="2" t="s">
        <v>72</v>
      </c>
      <c r="AN715" s="2" t="s">
        <v>344</v>
      </c>
      <c r="AP715" s="2" t="s">
        <v>4546</v>
      </c>
      <c r="AU715" s="2" t="s">
        <v>75</v>
      </c>
      <c r="AW715" s="2" t="s">
        <v>6000</v>
      </c>
      <c r="AZ715" s="2" t="s">
        <v>116</v>
      </c>
    </row>
    <row r="716" spans="1:52" s="3" customFormat="1" x14ac:dyDescent="0.35">
      <c r="A716" s="2" t="s">
        <v>6005</v>
      </c>
      <c r="B716" s="4">
        <v>243933</v>
      </c>
      <c r="C716" s="2" t="s">
        <v>6006</v>
      </c>
      <c r="D716" s="2">
        <f t="shared" si="11"/>
        <v>2</v>
      </c>
      <c r="F716" s="2" t="s">
        <v>5540</v>
      </c>
      <c r="G716" s="2" t="s">
        <v>53</v>
      </c>
      <c r="H716" s="4">
        <v>1</v>
      </c>
      <c r="I716" s="4">
        <v>1</v>
      </c>
      <c r="J716" s="5">
        <v>30000</v>
      </c>
      <c r="K716" s="2" t="s">
        <v>1252</v>
      </c>
      <c r="L716" s="5">
        <v>28155</v>
      </c>
      <c r="M716" s="2" t="s">
        <v>55</v>
      </c>
      <c r="N716" s="2" t="s">
        <v>1253</v>
      </c>
      <c r="O716" s="2" t="s">
        <v>1254</v>
      </c>
      <c r="P716" s="2" t="s">
        <v>6007</v>
      </c>
      <c r="Q716" s="2" t="s">
        <v>6008</v>
      </c>
      <c r="R716" s="2" t="s">
        <v>6009</v>
      </c>
      <c r="T716" s="2" t="s">
        <v>6010</v>
      </c>
      <c r="U716" s="2" t="s">
        <v>6011</v>
      </c>
      <c r="V716" s="2" t="s">
        <v>6012</v>
      </c>
      <c r="W716" s="2" t="s">
        <v>6013</v>
      </c>
      <c r="X716" s="2" t="s">
        <v>6014</v>
      </c>
      <c r="Y716" s="2" t="s">
        <v>6015</v>
      </c>
      <c r="Z716" s="2" t="s">
        <v>6016</v>
      </c>
      <c r="AA716" s="2" t="s">
        <v>6017</v>
      </c>
      <c r="AB716" s="2" t="s">
        <v>6018</v>
      </c>
      <c r="AC716" s="2" t="s">
        <v>6019</v>
      </c>
      <c r="AD716" s="2" t="s">
        <v>68</v>
      </c>
      <c r="AE716" s="2" t="s">
        <v>69</v>
      </c>
      <c r="AF716" s="2" t="s">
        <v>70</v>
      </c>
      <c r="AG716" s="2" t="s">
        <v>6020</v>
      </c>
      <c r="AK716" s="2" t="s">
        <v>6021</v>
      </c>
      <c r="AM716" s="2" t="s">
        <v>72</v>
      </c>
      <c r="AN716" s="2" t="s">
        <v>283</v>
      </c>
      <c r="AP716" s="2" t="s">
        <v>6022</v>
      </c>
      <c r="AU716" s="2" t="s">
        <v>75</v>
      </c>
      <c r="AV716" s="2" t="s">
        <v>6001</v>
      </c>
      <c r="AW716" s="2" t="s">
        <v>6023</v>
      </c>
      <c r="AX716" s="2" t="s">
        <v>77</v>
      </c>
      <c r="AZ716" s="2" t="s">
        <v>77</v>
      </c>
    </row>
    <row r="717" spans="1:52" s="3" customFormat="1" x14ac:dyDescent="0.35">
      <c r="A717" s="2" t="s">
        <v>6024</v>
      </c>
      <c r="B717" s="4">
        <v>243519</v>
      </c>
      <c r="C717" s="2" t="s">
        <v>6025</v>
      </c>
      <c r="D717" s="2">
        <f t="shared" si="11"/>
        <v>2</v>
      </c>
      <c r="G717" s="2" t="s">
        <v>53</v>
      </c>
      <c r="H717" s="4">
        <v>1</v>
      </c>
      <c r="I717" s="4">
        <v>1</v>
      </c>
      <c r="J717" s="4">
        <v>0</v>
      </c>
      <c r="L717" s="4">
        <v>0</v>
      </c>
      <c r="M717" s="2" t="s">
        <v>55</v>
      </c>
      <c r="N717" s="2" t="s">
        <v>56</v>
      </c>
      <c r="O717" s="2" t="s">
        <v>57</v>
      </c>
      <c r="P717" s="2" t="s">
        <v>4633</v>
      </c>
      <c r="Q717" s="2" t="s">
        <v>4634</v>
      </c>
      <c r="R717" s="2" t="s">
        <v>1062</v>
      </c>
      <c r="S717" s="2" t="s">
        <v>1063</v>
      </c>
      <c r="V717" s="2" t="s">
        <v>2357</v>
      </c>
      <c r="W717" s="2" t="s">
        <v>1065</v>
      </c>
      <c r="Y717" s="2" t="s">
        <v>64</v>
      </c>
      <c r="Z717" s="2" t="s">
        <v>65</v>
      </c>
      <c r="AA717" s="2" t="s">
        <v>66</v>
      </c>
      <c r="AC717" s="2" t="s">
        <v>67</v>
      </c>
      <c r="AD717" s="2" t="s">
        <v>68</v>
      </c>
      <c r="AE717" s="2" t="s">
        <v>69</v>
      </c>
      <c r="AF717" s="2" t="s">
        <v>70</v>
      </c>
      <c r="AG717" s="2" t="s">
        <v>4633</v>
      </c>
      <c r="AK717" s="2" t="s">
        <v>6026</v>
      </c>
      <c r="AM717" s="2" t="s">
        <v>72</v>
      </c>
      <c r="AN717" s="2" t="s">
        <v>595</v>
      </c>
      <c r="AP717" s="2" t="s">
        <v>4546</v>
      </c>
      <c r="AU717" s="2" t="s">
        <v>75</v>
      </c>
      <c r="AV717" s="2" t="s">
        <v>1067</v>
      </c>
      <c r="AW717" s="2" t="s">
        <v>1068</v>
      </c>
      <c r="AZ717" s="2" t="s">
        <v>116</v>
      </c>
    </row>
    <row r="718" spans="1:52" s="3" customFormat="1" x14ac:dyDescent="0.35">
      <c r="A718" s="2" t="s">
        <v>6027</v>
      </c>
      <c r="B718" s="4">
        <v>243516</v>
      </c>
      <c r="C718" s="2" t="s">
        <v>6028</v>
      </c>
      <c r="D718" s="2">
        <f t="shared" si="11"/>
        <v>2</v>
      </c>
      <c r="G718" s="2" t="s">
        <v>53</v>
      </c>
      <c r="H718" s="4">
        <v>3</v>
      </c>
      <c r="I718" s="4">
        <v>1</v>
      </c>
      <c r="J718" s="4">
        <v>0</v>
      </c>
      <c r="L718" s="4">
        <v>0</v>
      </c>
      <c r="M718" s="2" t="s">
        <v>55</v>
      </c>
      <c r="N718" s="2" t="s">
        <v>56</v>
      </c>
      <c r="O718" s="2" t="s">
        <v>57</v>
      </c>
      <c r="P718" s="2" t="s">
        <v>4633</v>
      </c>
      <c r="Q718" s="2" t="s">
        <v>4634</v>
      </c>
      <c r="R718" s="2" t="s">
        <v>4083</v>
      </c>
      <c r="S718" s="2" t="s">
        <v>6029</v>
      </c>
      <c r="V718" s="2" t="s">
        <v>4085</v>
      </c>
      <c r="W718" s="2" t="s">
        <v>5142</v>
      </c>
      <c r="Y718" s="2" t="s">
        <v>64</v>
      </c>
      <c r="Z718" s="2" t="s">
        <v>65</v>
      </c>
      <c r="AA718" s="2" t="s">
        <v>66</v>
      </c>
      <c r="AC718" s="2" t="s">
        <v>67</v>
      </c>
      <c r="AD718" s="2" t="s">
        <v>68</v>
      </c>
      <c r="AE718" s="2" t="s">
        <v>69</v>
      </c>
      <c r="AF718" s="2" t="s">
        <v>70</v>
      </c>
      <c r="AG718" s="2" t="s">
        <v>4633</v>
      </c>
      <c r="AK718" s="2" t="s">
        <v>6030</v>
      </c>
      <c r="AM718" s="2" t="s">
        <v>72</v>
      </c>
      <c r="AN718" s="2" t="s">
        <v>283</v>
      </c>
      <c r="AP718" s="2" t="s">
        <v>4546</v>
      </c>
      <c r="AU718" s="2" t="s">
        <v>75</v>
      </c>
      <c r="AW718" s="2" t="s">
        <v>6031</v>
      </c>
      <c r="AZ718" s="2" t="s">
        <v>116</v>
      </c>
    </row>
    <row r="719" spans="1:52" s="3" customFormat="1" x14ac:dyDescent="0.35">
      <c r="A719" s="2" t="s">
        <v>6032</v>
      </c>
      <c r="B719" s="4">
        <v>243514</v>
      </c>
      <c r="C719" s="2" t="s">
        <v>6033</v>
      </c>
      <c r="D719" s="2">
        <f t="shared" si="11"/>
        <v>2</v>
      </c>
      <c r="F719" s="2" t="s">
        <v>6001</v>
      </c>
      <c r="G719" s="2" t="s">
        <v>53</v>
      </c>
      <c r="H719" s="4">
        <v>1</v>
      </c>
      <c r="I719" s="4">
        <v>1</v>
      </c>
      <c r="J719" s="4">
        <v>0</v>
      </c>
      <c r="L719" s="4">
        <v>0</v>
      </c>
      <c r="M719" s="2" t="s">
        <v>55</v>
      </c>
      <c r="N719" s="2" t="s">
        <v>56</v>
      </c>
      <c r="O719" s="2" t="s">
        <v>57</v>
      </c>
      <c r="P719" s="2" t="s">
        <v>4877</v>
      </c>
      <c r="Q719" s="2" t="s">
        <v>4878</v>
      </c>
      <c r="R719" s="2" t="s">
        <v>6034</v>
      </c>
      <c r="S719" s="2" t="s">
        <v>6035</v>
      </c>
      <c r="V719" s="2" t="s">
        <v>6036</v>
      </c>
      <c r="W719" s="2" t="s">
        <v>6037</v>
      </c>
      <c r="Y719" s="2" t="s">
        <v>64</v>
      </c>
      <c r="Z719" s="2" t="s">
        <v>65</v>
      </c>
      <c r="AA719" s="2" t="s">
        <v>66</v>
      </c>
      <c r="AC719" s="2" t="s">
        <v>67</v>
      </c>
      <c r="AD719" s="2" t="s">
        <v>68</v>
      </c>
      <c r="AE719" s="2" t="s">
        <v>69</v>
      </c>
      <c r="AF719" s="2" t="s">
        <v>70</v>
      </c>
      <c r="AG719" s="2" t="s">
        <v>4877</v>
      </c>
      <c r="AK719" s="2" t="s">
        <v>6038</v>
      </c>
      <c r="AM719" s="2" t="s">
        <v>72</v>
      </c>
      <c r="AN719" s="2" t="s">
        <v>283</v>
      </c>
      <c r="AP719" s="2" t="s">
        <v>3758</v>
      </c>
      <c r="AU719" s="2" t="s">
        <v>75</v>
      </c>
      <c r="AV719" s="2" t="s">
        <v>6039</v>
      </c>
      <c r="AW719" s="2" t="s">
        <v>6040</v>
      </c>
      <c r="AZ719" s="2" t="s">
        <v>116</v>
      </c>
    </row>
    <row r="720" spans="1:52" s="3" customFormat="1" x14ac:dyDescent="0.35">
      <c r="A720" s="2" t="s">
        <v>6041</v>
      </c>
      <c r="B720" s="4">
        <v>243513</v>
      </c>
      <c r="C720" s="2" t="s">
        <v>6042</v>
      </c>
      <c r="D720" s="2">
        <f t="shared" si="11"/>
        <v>2</v>
      </c>
      <c r="G720" s="2" t="s">
        <v>53</v>
      </c>
      <c r="H720" s="4">
        <v>1</v>
      </c>
      <c r="I720" s="4">
        <v>1</v>
      </c>
      <c r="J720" s="4">
        <v>0</v>
      </c>
      <c r="L720" s="4">
        <v>0</v>
      </c>
      <c r="M720" s="2" t="s">
        <v>55</v>
      </c>
      <c r="N720" s="2" t="s">
        <v>56</v>
      </c>
      <c r="O720" s="2" t="s">
        <v>57</v>
      </c>
      <c r="P720" s="2" t="s">
        <v>4633</v>
      </c>
      <c r="Q720" s="2" t="s">
        <v>4634</v>
      </c>
      <c r="R720" s="2" t="s">
        <v>6043</v>
      </c>
      <c r="S720" s="2" t="s">
        <v>6044</v>
      </c>
      <c r="V720" s="2" t="s">
        <v>6045</v>
      </c>
      <c r="W720" s="2" t="s">
        <v>5142</v>
      </c>
      <c r="Y720" s="2" t="s">
        <v>64</v>
      </c>
      <c r="Z720" s="2" t="s">
        <v>65</v>
      </c>
      <c r="AA720" s="2" t="s">
        <v>66</v>
      </c>
      <c r="AC720" s="2" t="s">
        <v>67</v>
      </c>
      <c r="AD720" s="2" t="s">
        <v>68</v>
      </c>
      <c r="AE720" s="2" t="s">
        <v>69</v>
      </c>
      <c r="AF720" s="2" t="s">
        <v>70</v>
      </c>
      <c r="AG720" s="2" t="s">
        <v>4633</v>
      </c>
      <c r="AK720" s="2" t="s">
        <v>6046</v>
      </c>
      <c r="AM720" s="2" t="s">
        <v>72</v>
      </c>
      <c r="AN720" s="2" t="s">
        <v>283</v>
      </c>
      <c r="AP720" s="2" t="s">
        <v>4546</v>
      </c>
      <c r="AU720" s="2" t="s">
        <v>75</v>
      </c>
      <c r="AW720" s="2" t="s">
        <v>6047</v>
      </c>
      <c r="AZ720" s="2" t="s">
        <v>116</v>
      </c>
    </row>
    <row r="721" spans="1:52" s="3" customFormat="1" x14ac:dyDescent="0.35">
      <c r="A721" s="2" t="s">
        <v>6048</v>
      </c>
      <c r="B721" s="4">
        <v>243511</v>
      </c>
      <c r="C721" s="2" t="s">
        <v>6049</v>
      </c>
      <c r="D721" s="2">
        <f t="shared" si="11"/>
        <v>2</v>
      </c>
      <c r="F721" s="2" t="s">
        <v>5757</v>
      </c>
      <c r="G721" s="2" t="s">
        <v>53</v>
      </c>
      <c r="H721" s="4">
        <v>1</v>
      </c>
      <c r="I721" s="4">
        <v>1</v>
      </c>
      <c r="J721" s="5">
        <v>30000</v>
      </c>
      <c r="K721" s="2" t="s">
        <v>1252</v>
      </c>
      <c r="L721" s="5">
        <v>337860</v>
      </c>
      <c r="M721" s="2" t="s">
        <v>55</v>
      </c>
      <c r="N721" s="2" t="s">
        <v>1253</v>
      </c>
      <c r="O721" s="2" t="s">
        <v>1254</v>
      </c>
      <c r="P721" s="2" t="s">
        <v>6050</v>
      </c>
      <c r="Q721" s="2" t="s">
        <v>6051</v>
      </c>
      <c r="R721" s="2" t="s">
        <v>6052</v>
      </c>
      <c r="T721" s="2" t="s">
        <v>6053</v>
      </c>
      <c r="U721" s="2" t="s">
        <v>6054</v>
      </c>
      <c r="V721" s="2" t="s">
        <v>6055</v>
      </c>
      <c r="W721" s="2" t="s">
        <v>6056</v>
      </c>
      <c r="X721" s="2" t="s">
        <v>6057</v>
      </c>
      <c r="Y721" s="2" t="s">
        <v>6058</v>
      </c>
      <c r="Z721" s="2" t="s">
        <v>6059</v>
      </c>
      <c r="AA721" s="2" t="s">
        <v>6060</v>
      </c>
      <c r="AB721" s="2" t="s">
        <v>6061</v>
      </c>
      <c r="AC721" s="2" t="s">
        <v>3086</v>
      </c>
      <c r="AD721" s="2" t="s">
        <v>2556</v>
      </c>
      <c r="AE721" s="2" t="s">
        <v>69</v>
      </c>
      <c r="AF721" s="2" t="s">
        <v>70</v>
      </c>
      <c r="AG721" s="2" t="s">
        <v>6062</v>
      </c>
      <c r="AK721" s="2" t="s">
        <v>6063</v>
      </c>
      <c r="AM721" s="2" t="s">
        <v>72</v>
      </c>
      <c r="AN721" s="2" t="s">
        <v>283</v>
      </c>
      <c r="AP721" s="2" t="s">
        <v>3886</v>
      </c>
      <c r="AT721" s="2" t="s">
        <v>5795</v>
      </c>
      <c r="AU721" s="2" t="s">
        <v>75</v>
      </c>
      <c r="AV721" s="2" t="s">
        <v>5551</v>
      </c>
      <c r="AW721" s="2" t="s">
        <v>6064</v>
      </c>
      <c r="AX721" s="2" t="s">
        <v>477</v>
      </c>
      <c r="AZ721" s="2" t="s">
        <v>478</v>
      </c>
    </row>
    <row r="722" spans="1:52" s="3" customFormat="1" x14ac:dyDescent="0.35">
      <c r="A722" s="2" t="s">
        <v>6048</v>
      </c>
      <c r="B722" s="4">
        <v>243511</v>
      </c>
      <c r="C722" s="2" t="s">
        <v>6049</v>
      </c>
      <c r="D722" s="2">
        <f t="shared" si="11"/>
        <v>2</v>
      </c>
      <c r="F722" s="2" t="s">
        <v>5757</v>
      </c>
      <c r="G722" s="2" t="s">
        <v>53</v>
      </c>
      <c r="H722" s="4">
        <v>1</v>
      </c>
      <c r="I722" s="4">
        <v>1</v>
      </c>
      <c r="J722" s="5">
        <v>30000</v>
      </c>
      <c r="K722" s="2" t="s">
        <v>1252</v>
      </c>
      <c r="L722" s="5">
        <v>337860</v>
      </c>
      <c r="M722" s="2" t="s">
        <v>55</v>
      </c>
      <c r="N722" s="2" t="s">
        <v>1253</v>
      </c>
      <c r="O722" s="2" t="s">
        <v>1254</v>
      </c>
      <c r="P722" s="2" t="s">
        <v>6065</v>
      </c>
      <c r="Q722" s="2" t="s">
        <v>6066</v>
      </c>
      <c r="R722" s="2" t="s">
        <v>6052</v>
      </c>
      <c r="T722" s="2" t="s">
        <v>6053</v>
      </c>
      <c r="U722" s="2" t="s">
        <v>6054</v>
      </c>
      <c r="V722" s="2" t="s">
        <v>6055</v>
      </c>
      <c r="W722" s="2" t="s">
        <v>6056</v>
      </c>
      <c r="X722" s="2" t="s">
        <v>6057</v>
      </c>
      <c r="Y722" s="2" t="s">
        <v>6058</v>
      </c>
      <c r="Z722" s="2" t="s">
        <v>6059</v>
      </c>
      <c r="AA722" s="2" t="s">
        <v>6060</v>
      </c>
      <c r="AB722" s="2" t="s">
        <v>6061</v>
      </c>
      <c r="AC722" s="2" t="s">
        <v>3086</v>
      </c>
      <c r="AD722" s="2" t="s">
        <v>2556</v>
      </c>
      <c r="AE722" s="2" t="s">
        <v>69</v>
      </c>
      <c r="AF722" s="2" t="s">
        <v>70</v>
      </c>
      <c r="AG722" s="2" t="s">
        <v>6062</v>
      </c>
      <c r="AK722" s="2" t="s">
        <v>6063</v>
      </c>
      <c r="AM722" s="2" t="s">
        <v>72</v>
      </c>
      <c r="AN722" s="2" t="s">
        <v>283</v>
      </c>
      <c r="AP722" s="2" t="s">
        <v>113</v>
      </c>
      <c r="AT722" s="2" t="s">
        <v>5795</v>
      </c>
      <c r="AU722" s="2" t="s">
        <v>75</v>
      </c>
      <c r="AV722" s="2" t="s">
        <v>5551</v>
      </c>
      <c r="AW722" s="2" t="s">
        <v>6064</v>
      </c>
      <c r="AX722" s="2" t="s">
        <v>477</v>
      </c>
      <c r="AZ722" s="2" t="s">
        <v>478</v>
      </c>
    </row>
    <row r="723" spans="1:52" s="3" customFormat="1" x14ac:dyDescent="0.35">
      <c r="A723" s="2" t="s">
        <v>6048</v>
      </c>
      <c r="B723" s="4">
        <v>243511</v>
      </c>
      <c r="C723" s="2" t="s">
        <v>6049</v>
      </c>
      <c r="D723" s="2">
        <f t="shared" si="11"/>
        <v>2</v>
      </c>
      <c r="F723" s="2" t="s">
        <v>5757</v>
      </c>
      <c r="G723" s="2" t="s">
        <v>53</v>
      </c>
      <c r="H723" s="4">
        <v>1</v>
      </c>
      <c r="I723" s="4">
        <v>1</v>
      </c>
      <c r="J723" s="5">
        <v>30000</v>
      </c>
      <c r="K723" s="2" t="s">
        <v>1252</v>
      </c>
      <c r="L723" s="5">
        <v>337860</v>
      </c>
      <c r="M723" s="2" t="s">
        <v>55</v>
      </c>
      <c r="N723" s="2" t="s">
        <v>1253</v>
      </c>
      <c r="O723" s="2" t="s">
        <v>1254</v>
      </c>
      <c r="P723" s="2" t="s">
        <v>6067</v>
      </c>
      <c r="Q723" s="2" t="s">
        <v>6068</v>
      </c>
      <c r="R723" s="2" t="s">
        <v>6052</v>
      </c>
      <c r="T723" s="2" t="s">
        <v>6053</v>
      </c>
      <c r="U723" s="2" t="s">
        <v>6054</v>
      </c>
      <c r="V723" s="2" t="s">
        <v>6055</v>
      </c>
      <c r="W723" s="2" t="s">
        <v>6056</v>
      </c>
      <c r="X723" s="2" t="s">
        <v>6057</v>
      </c>
      <c r="Y723" s="2" t="s">
        <v>6058</v>
      </c>
      <c r="Z723" s="2" t="s">
        <v>6059</v>
      </c>
      <c r="AA723" s="2" t="s">
        <v>6060</v>
      </c>
      <c r="AB723" s="2" t="s">
        <v>6061</v>
      </c>
      <c r="AC723" s="2" t="s">
        <v>3086</v>
      </c>
      <c r="AD723" s="2" t="s">
        <v>2556</v>
      </c>
      <c r="AE723" s="2" t="s">
        <v>69</v>
      </c>
      <c r="AF723" s="2" t="s">
        <v>70</v>
      </c>
      <c r="AG723" s="2" t="s">
        <v>6062</v>
      </c>
      <c r="AK723" s="2" t="s">
        <v>6063</v>
      </c>
      <c r="AM723" s="2" t="s">
        <v>72</v>
      </c>
      <c r="AN723" s="2" t="s">
        <v>283</v>
      </c>
      <c r="AP723" s="2" t="s">
        <v>6069</v>
      </c>
      <c r="AT723" s="2" t="s">
        <v>5795</v>
      </c>
      <c r="AU723" s="2" t="s">
        <v>75</v>
      </c>
      <c r="AV723" s="2" t="s">
        <v>5551</v>
      </c>
      <c r="AW723" s="2" t="s">
        <v>6064</v>
      </c>
      <c r="AX723" s="2" t="s">
        <v>477</v>
      </c>
      <c r="AZ723" s="2" t="s">
        <v>478</v>
      </c>
    </row>
    <row r="724" spans="1:52" s="3" customFormat="1" x14ac:dyDescent="0.35">
      <c r="A724" s="2" t="s">
        <v>6048</v>
      </c>
      <c r="B724" s="4">
        <v>243511</v>
      </c>
      <c r="C724" s="2" t="s">
        <v>6049</v>
      </c>
      <c r="D724" s="2">
        <f t="shared" si="11"/>
        <v>2</v>
      </c>
      <c r="F724" s="2" t="s">
        <v>5757</v>
      </c>
      <c r="G724" s="2" t="s">
        <v>53</v>
      </c>
      <c r="H724" s="4">
        <v>1</v>
      </c>
      <c r="I724" s="4">
        <v>1</v>
      </c>
      <c r="J724" s="5">
        <v>30000</v>
      </c>
      <c r="K724" s="2" t="s">
        <v>1252</v>
      </c>
      <c r="L724" s="5">
        <v>337860</v>
      </c>
      <c r="M724" s="2" t="s">
        <v>55</v>
      </c>
      <c r="N724" s="2" t="s">
        <v>1253</v>
      </c>
      <c r="O724" s="2" t="s">
        <v>1254</v>
      </c>
      <c r="P724" s="2" t="s">
        <v>6070</v>
      </c>
      <c r="Q724" s="2" t="s">
        <v>6071</v>
      </c>
      <c r="R724" s="2" t="s">
        <v>6052</v>
      </c>
      <c r="T724" s="2" t="s">
        <v>6053</v>
      </c>
      <c r="U724" s="2" t="s">
        <v>6054</v>
      </c>
      <c r="V724" s="2" t="s">
        <v>6055</v>
      </c>
      <c r="W724" s="2" t="s">
        <v>6056</v>
      </c>
      <c r="X724" s="2" t="s">
        <v>6057</v>
      </c>
      <c r="Y724" s="2" t="s">
        <v>6058</v>
      </c>
      <c r="Z724" s="2" t="s">
        <v>6059</v>
      </c>
      <c r="AA724" s="2" t="s">
        <v>6060</v>
      </c>
      <c r="AB724" s="2" t="s">
        <v>6061</v>
      </c>
      <c r="AC724" s="2" t="s">
        <v>3086</v>
      </c>
      <c r="AD724" s="2" t="s">
        <v>2556</v>
      </c>
      <c r="AE724" s="2" t="s">
        <v>69</v>
      </c>
      <c r="AF724" s="2" t="s">
        <v>70</v>
      </c>
      <c r="AG724" s="2" t="s">
        <v>6062</v>
      </c>
      <c r="AK724" s="2" t="s">
        <v>6063</v>
      </c>
      <c r="AM724" s="2" t="s">
        <v>72</v>
      </c>
      <c r="AN724" s="2" t="s">
        <v>283</v>
      </c>
      <c r="AP724" s="2" t="s">
        <v>6072</v>
      </c>
      <c r="AT724" s="2" t="s">
        <v>5795</v>
      </c>
      <c r="AU724" s="2" t="s">
        <v>75</v>
      </c>
      <c r="AV724" s="2" t="s">
        <v>5551</v>
      </c>
      <c r="AW724" s="2" t="s">
        <v>6064</v>
      </c>
      <c r="AX724" s="2" t="s">
        <v>477</v>
      </c>
      <c r="AZ724" s="2" t="s">
        <v>478</v>
      </c>
    </row>
    <row r="725" spans="1:52" s="3" customFormat="1" x14ac:dyDescent="0.35">
      <c r="A725" s="2" t="s">
        <v>6048</v>
      </c>
      <c r="B725" s="4">
        <v>243511</v>
      </c>
      <c r="C725" s="2" t="s">
        <v>6049</v>
      </c>
      <c r="D725" s="2">
        <f t="shared" si="11"/>
        <v>2</v>
      </c>
      <c r="F725" s="2" t="s">
        <v>5757</v>
      </c>
      <c r="G725" s="2" t="s">
        <v>53</v>
      </c>
      <c r="H725" s="4">
        <v>1</v>
      </c>
      <c r="I725" s="4">
        <v>1</v>
      </c>
      <c r="J725" s="5">
        <v>30000</v>
      </c>
      <c r="K725" s="2" t="s">
        <v>1252</v>
      </c>
      <c r="L725" s="5">
        <v>337860</v>
      </c>
      <c r="M725" s="2" t="s">
        <v>55</v>
      </c>
      <c r="N725" s="2" t="s">
        <v>1253</v>
      </c>
      <c r="O725" s="2" t="s">
        <v>1254</v>
      </c>
      <c r="P725" s="2" t="s">
        <v>6073</v>
      </c>
      <c r="Q725" s="2" t="s">
        <v>6074</v>
      </c>
      <c r="R725" s="2" t="s">
        <v>6052</v>
      </c>
      <c r="T725" s="2" t="s">
        <v>6053</v>
      </c>
      <c r="U725" s="2" t="s">
        <v>6054</v>
      </c>
      <c r="V725" s="2" t="s">
        <v>6055</v>
      </c>
      <c r="W725" s="2" t="s">
        <v>6056</v>
      </c>
      <c r="X725" s="2" t="s">
        <v>6057</v>
      </c>
      <c r="Y725" s="2" t="s">
        <v>6058</v>
      </c>
      <c r="Z725" s="2" t="s">
        <v>6059</v>
      </c>
      <c r="AA725" s="2" t="s">
        <v>6060</v>
      </c>
      <c r="AB725" s="2" t="s">
        <v>6061</v>
      </c>
      <c r="AC725" s="2" t="s">
        <v>3086</v>
      </c>
      <c r="AD725" s="2" t="s">
        <v>2556</v>
      </c>
      <c r="AE725" s="2" t="s">
        <v>69</v>
      </c>
      <c r="AF725" s="2" t="s">
        <v>70</v>
      </c>
      <c r="AG725" s="2" t="s">
        <v>6062</v>
      </c>
      <c r="AK725" s="2" t="s">
        <v>6063</v>
      </c>
      <c r="AM725" s="2" t="s">
        <v>72</v>
      </c>
      <c r="AN725" s="2" t="s">
        <v>283</v>
      </c>
      <c r="AP725" s="2" t="s">
        <v>6075</v>
      </c>
      <c r="AT725" s="2" t="s">
        <v>5795</v>
      </c>
      <c r="AU725" s="2" t="s">
        <v>75</v>
      </c>
      <c r="AV725" s="2" t="s">
        <v>5551</v>
      </c>
      <c r="AW725" s="2" t="s">
        <v>6064</v>
      </c>
      <c r="AX725" s="2" t="s">
        <v>477</v>
      </c>
      <c r="AZ725" s="2" t="s">
        <v>478</v>
      </c>
    </row>
    <row r="726" spans="1:52" s="3" customFormat="1" x14ac:dyDescent="0.35">
      <c r="A726" s="2" t="s">
        <v>6048</v>
      </c>
      <c r="B726" s="4">
        <v>243511</v>
      </c>
      <c r="C726" s="2" t="s">
        <v>6049</v>
      </c>
      <c r="D726" s="2">
        <f t="shared" si="11"/>
        <v>2</v>
      </c>
      <c r="F726" s="2" t="s">
        <v>5757</v>
      </c>
      <c r="G726" s="2" t="s">
        <v>53</v>
      </c>
      <c r="H726" s="4">
        <v>1</v>
      </c>
      <c r="I726" s="4">
        <v>1</v>
      </c>
      <c r="J726" s="5">
        <v>30000</v>
      </c>
      <c r="K726" s="2" t="s">
        <v>1252</v>
      </c>
      <c r="L726" s="5">
        <v>337860</v>
      </c>
      <c r="M726" s="2" t="s">
        <v>55</v>
      </c>
      <c r="N726" s="2" t="s">
        <v>1253</v>
      </c>
      <c r="O726" s="2" t="s">
        <v>1254</v>
      </c>
      <c r="P726" s="2" t="s">
        <v>6076</v>
      </c>
      <c r="Q726" s="2" t="s">
        <v>6077</v>
      </c>
      <c r="R726" s="2" t="s">
        <v>6052</v>
      </c>
      <c r="T726" s="2" t="s">
        <v>6053</v>
      </c>
      <c r="U726" s="2" t="s">
        <v>6054</v>
      </c>
      <c r="V726" s="2" t="s">
        <v>6055</v>
      </c>
      <c r="W726" s="2" t="s">
        <v>6056</v>
      </c>
      <c r="X726" s="2" t="s">
        <v>6057</v>
      </c>
      <c r="Y726" s="2" t="s">
        <v>6058</v>
      </c>
      <c r="Z726" s="2" t="s">
        <v>6059</v>
      </c>
      <c r="AA726" s="2" t="s">
        <v>6060</v>
      </c>
      <c r="AB726" s="2" t="s">
        <v>6061</v>
      </c>
      <c r="AC726" s="2" t="s">
        <v>3086</v>
      </c>
      <c r="AD726" s="2" t="s">
        <v>2556</v>
      </c>
      <c r="AE726" s="2" t="s">
        <v>69</v>
      </c>
      <c r="AF726" s="2" t="s">
        <v>70</v>
      </c>
      <c r="AG726" s="2" t="s">
        <v>6062</v>
      </c>
      <c r="AK726" s="2" t="s">
        <v>6063</v>
      </c>
      <c r="AM726" s="2" t="s">
        <v>72</v>
      </c>
      <c r="AN726" s="2" t="s">
        <v>283</v>
      </c>
      <c r="AP726" s="2" t="s">
        <v>6078</v>
      </c>
      <c r="AT726" s="2" t="s">
        <v>5795</v>
      </c>
      <c r="AU726" s="2" t="s">
        <v>75</v>
      </c>
      <c r="AV726" s="2" t="s">
        <v>5551</v>
      </c>
      <c r="AW726" s="2" t="s">
        <v>6064</v>
      </c>
      <c r="AX726" s="2" t="s">
        <v>477</v>
      </c>
      <c r="AZ726" s="2" t="s">
        <v>478</v>
      </c>
    </row>
    <row r="727" spans="1:52" s="3" customFormat="1" x14ac:dyDescent="0.35">
      <c r="A727" s="2" t="s">
        <v>6048</v>
      </c>
      <c r="B727" s="4">
        <v>243511</v>
      </c>
      <c r="C727" s="2" t="s">
        <v>6049</v>
      </c>
      <c r="D727" s="2">
        <f t="shared" si="11"/>
        <v>2</v>
      </c>
      <c r="F727" s="2" t="s">
        <v>5757</v>
      </c>
      <c r="G727" s="2" t="s">
        <v>53</v>
      </c>
      <c r="H727" s="4">
        <v>1</v>
      </c>
      <c r="I727" s="4">
        <v>1</v>
      </c>
      <c r="J727" s="5">
        <v>30000</v>
      </c>
      <c r="K727" s="2" t="s">
        <v>1252</v>
      </c>
      <c r="L727" s="5">
        <v>337860</v>
      </c>
      <c r="M727" s="2" t="s">
        <v>55</v>
      </c>
      <c r="N727" s="2" t="s">
        <v>1253</v>
      </c>
      <c r="O727" s="2" t="s">
        <v>1254</v>
      </c>
      <c r="P727" s="2" t="s">
        <v>6079</v>
      </c>
      <c r="Q727" s="2" t="s">
        <v>6080</v>
      </c>
      <c r="R727" s="2" t="s">
        <v>6052</v>
      </c>
      <c r="T727" s="2" t="s">
        <v>6053</v>
      </c>
      <c r="U727" s="2" t="s">
        <v>6054</v>
      </c>
      <c r="V727" s="2" t="s">
        <v>6055</v>
      </c>
      <c r="W727" s="2" t="s">
        <v>6056</v>
      </c>
      <c r="X727" s="2" t="s">
        <v>6057</v>
      </c>
      <c r="Y727" s="2" t="s">
        <v>6058</v>
      </c>
      <c r="Z727" s="2" t="s">
        <v>6059</v>
      </c>
      <c r="AA727" s="2" t="s">
        <v>6060</v>
      </c>
      <c r="AB727" s="2" t="s">
        <v>6061</v>
      </c>
      <c r="AC727" s="2" t="s">
        <v>3086</v>
      </c>
      <c r="AD727" s="2" t="s">
        <v>2556</v>
      </c>
      <c r="AE727" s="2" t="s">
        <v>69</v>
      </c>
      <c r="AF727" s="2" t="s">
        <v>70</v>
      </c>
      <c r="AG727" s="2" t="s">
        <v>6062</v>
      </c>
      <c r="AK727" s="2" t="s">
        <v>6063</v>
      </c>
      <c r="AM727" s="2" t="s">
        <v>72</v>
      </c>
      <c r="AN727" s="2" t="s">
        <v>283</v>
      </c>
      <c r="AP727" s="2" t="s">
        <v>6081</v>
      </c>
      <c r="AT727" s="2" t="s">
        <v>5795</v>
      </c>
      <c r="AU727" s="2" t="s">
        <v>75</v>
      </c>
      <c r="AV727" s="2" t="s">
        <v>5551</v>
      </c>
      <c r="AW727" s="2" t="s">
        <v>6064</v>
      </c>
      <c r="AX727" s="2" t="s">
        <v>477</v>
      </c>
      <c r="AZ727" s="2" t="s">
        <v>478</v>
      </c>
    </row>
    <row r="728" spans="1:52" s="3" customFormat="1" x14ac:dyDescent="0.35">
      <c r="A728" s="2" t="s">
        <v>6048</v>
      </c>
      <c r="B728" s="4">
        <v>243511</v>
      </c>
      <c r="C728" s="2" t="s">
        <v>6049</v>
      </c>
      <c r="D728" s="2">
        <f t="shared" si="11"/>
        <v>2</v>
      </c>
      <c r="F728" s="2" t="s">
        <v>5757</v>
      </c>
      <c r="G728" s="2" t="s">
        <v>53</v>
      </c>
      <c r="H728" s="4">
        <v>1</v>
      </c>
      <c r="I728" s="4">
        <v>1</v>
      </c>
      <c r="J728" s="5">
        <v>30000</v>
      </c>
      <c r="K728" s="2" t="s">
        <v>1252</v>
      </c>
      <c r="L728" s="5">
        <v>337860</v>
      </c>
      <c r="M728" s="2" t="s">
        <v>55</v>
      </c>
      <c r="N728" s="2" t="s">
        <v>1253</v>
      </c>
      <c r="O728" s="2" t="s">
        <v>1254</v>
      </c>
      <c r="P728" s="2" t="s">
        <v>6082</v>
      </c>
      <c r="Q728" s="2" t="s">
        <v>6083</v>
      </c>
      <c r="R728" s="2" t="s">
        <v>6052</v>
      </c>
      <c r="T728" s="2" t="s">
        <v>6053</v>
      </c>
      <c r="U728" s="2" t="s">
        <v>6054</v>
      </c>
      <c r="V728" s="2" t="s">
        <v>6055</v>
      </c>
      <c r="W728" s="2" t="s">
        <v>6056</v>
      </c>
      <c r="X728" s="2" t="s">
        <v>6057</v>
      </c>
      <c r="Y728" s="2" t="s">
        <v>6058</v>
      </c>
      <c r="Z728" s="2" t="s">
        <v>6059</v>
      </c>
      <c r="AA728" s="2" t="s">
        <v>6060</v>
      </c>
      <c r="AB728" s="2" t="s">
        <v>6061</v>
      </c>
      <c r="AC728" s="2" t="s">
        <v>3086</v>
      </c>
      <c r="AD728" s="2" t="s">
        <v>2556</v>
      </c>
      <c r="AE728" s="2" t="s">
        <v>69</v>
      </c>
      <c r="AF728" s="2" t="s">
        <v>70</v>
      </c>
      <c r="AG728" s="2" t="s">
        <v>6062</v>
      </c>
      <c r="AK728" s="2" t="s">
        <v>6063</v>
      </c>
      <c r="AM728" s="2" t="s">
        <v>72</v>
      </c>
      <c r="AN728" s="2" t="s">
        <v>283</v>
      </c>
      <c r="AP728" s="2" t="s">
        <v>6084</v>
      </c>
      <c r="AT728" s="2" t="s">
        <v>5795</v>
      </c>
      <c r="AU728" s="2" t="s">
        <v>75</v>
      </c>
      <c r="AV728" s="2" t="s">
        <v>5551</v>
      </c>
      <c r="AW728" s="2" t="s">
        <v>6064</v>
      </c>
      <c r="AX728" s="2" t="s">
        <v>477</v>
      </c>
      <c r="AZ728" s="2" t="s">
        <v>478</v>
      </c>
    </row>
    <row r="729" spans="1:52" s="3" customFormat="1" x14ac:dyDescent="0.35">
      <c r="A729" s="2" t="s">
        <v>6048</v>
      </c>
      <c r="B729" s="4">
        <v>243511</v>
      </c>
      <c r="C729" s="2" t="s">
        <v>6049</v>
      </c>
      <c r="D729" s="2">
        <f t="shared" si="11"/>
        <v>2</v>
      </c>
      <c r="F729" s="2" t="s">
        <v>5757</v>
      </c>
      <c r="G729" s="2" t="s">
        <v>53</v>
      </c>
      <c r="H729" s="4">
        <v>1</v>
      </c>
      <c r="I729" s="4">
        <v>1</v>
      </c>
      <c r="J729" s="5">
        <v>30000</v>
      </c>
      <c r="K729" s="2" t="s">
        <v>1252</v>
      </c>
      <c r="L729" s="5">
        <v>337860</v>
      </c>
      <c r="M729" s="2" t="s">
        <v>55</v>
      </c>
      <c r="N729" s="2" t="s">
        <v>1253</v>
      </c>
      <c r="O729" s="2" t="s">
        <v>1254</v>
      </c>
      <c r="P729" s="2" t="s">
        <v>6085</v>
      </c>
      <c r="Q729" s="2" t="s">
        <v>6086</v>
      </c>
      <c r="R729" s="2" t="s">
        <v>6052</v>
      </c>
      <c r="T729" s="2" t="s">
        <v>6053</v>
      </c>
      <c r="U729" s="2" t="s">
        <v>6054</v>
      </c>
      <c r="V729" s="2" t="s">
        <v>6055</v>
      </c>
      <c r="W729" s="2" t="s">
        <v>6056</v>
      </c>
      <c r="X729" s="2" t="s">
        <v>6057</v>
      </c>
      <c r="Y729" s="2" t="s">
        <v>6058</v>
      </c>
      <c r="Z729" s="2" t="s">
        <v>6059</v>
      </c>
      <c r="AA729" s="2" t="s">
        <v>6060</v>
      </c>
      <c r="AB729" s="2" t="s">
        <v>6061</v>
      </c>
      <c r="AC729" s="2" t="s">
        <v>3086</v>
      </c>
      <c r="AD729" s="2" t="s">
        <v>2556</v>
      </c>
      <c r="AE729" s="2" t="s">
        <v>69</v>
      </c>
      <c r="AF729" s="2" t="s">
        <v>70</v>
      </c>
      <c r="AG729" s="2" t="s">
        <v>6062</v>
      </c>
      <c r="AK729" s="2" t="s">
        <v>6063</v>
      </c>
      <c r="AM729" s="2" t="s">
        <v>72</v>
      </c>
      <c r="AN729" s="2" t="s">
        <v>283</v>
      </c>
      <c r="AP729" s="2" t="s">
        <v>6087</v>
      </c>
      <c r="AT729" s="2" t="s">
        <v>5795</v>
      </c>
      <c r="AU729" s="2" t="s">
        <v>75</v>
      </c>
      <c r="AV729" s="2" t="s">
        <v>5551</v>
      </c>
      <c r="AW729" s="2" t="s">
        <v>6064</v>
      </c>
      <c r="AX729" s="2" t="s">
        <v>477</v>
      </c>
      <c r="AZ729" s="2" t="s">
        <v>478</v>
      </c>
    </row>
    <row r="730" spans="1:52" s="3" customFormat="1" x14ac:dyDescent="0.35">
      <c r="A730" s="2" t="s">
        <v>6048</v>
      </c>
      <c r="B730" s="4">
        <v>243511</v>
      </c>
      <c r="C730" s="2" t="s">
        <v>6049</v>
      </c>
      <c r="D730" s="2">
        <f t="shared" si="11"/>
        <v>2</v>
      </c>
      <c r="F730" s="2" t="s">
        <v>5757</v>
      </c>
      <c r="G730" s="2" t="s">
        <v>53</v>
      </c>
      <c r="H730" s="4">
        <v>1</v>
      </c>
      <c r="I730" s="4">
        <v>1</v>
      </c>
      <c r="J730" s="5">
        <v>30000</v>
      </c>
      <c r="K730" s="2" t="s">
        <v>1252</v>
      </c>
      <c r="L730" s="5">
        <v>337860</v>
      </c>
      <c r="M730" s="2" t="s">
        <v>55</v>
      </c>
      <c r="N730" s="2" t="s">
        <v>1253</v>
      </c>
      <c r="O730" s="2" t="s">
        <v>1254</v>
      </c>
      <c r="P730" s="2" t="s">
        <v>6088</v>
      </c>
      <c r="Q730" s="2" t="s">
        <v>6089</v>
      </c>
      <c r="R730" s="2" t="s">
        <v>6052</v>
      </c>
      <c r="T730" s="2" t="s">
        <v>6053</v>
      </c>
      <c r="U730" s="2" t="s">
        <v>6054</v>
      </c>
      <c r="V730" s="2" t="s">
        <v>6055</v>
      </c>
      <c r="W730" s="2" t="s">
        <v>6056</v>
      </c>
      <c r="X730" s="2" t="s">
        <v>6057</v>
      </c>
      <c r="Y730" s="2" t="s">
        <v>6058</v>
      </c>
      <c r="Z730" s="2" t="s">
        <v>6059</v>
      </c>
      <c r="AA730" s="2" t="s">
        <v>6060</v>
      </c>
      <c r="AB730" s="2" t="s">
        <v>6061</v>
      </c>
      <c r="AC730" s="2" t="s">
        <v>3086</v>
      </c>
      <c r="AD730" s="2" t="s">
        <v>2556</v>
      </c>
      <c r="AE730" s="2" t="s">
        <v>69</v>
      </c>
      <c r="AF730" s="2" t="s">
        <v>70</v>
      </c>
      <c r="AG730" s="2" t="s">
        <v>6062</v>
      </c>
      <c r="AK730" s="2" t="s">
        <v>6063</v>
      </c>
      <c r="AM730" s="2" t="s">
        <v>72</v>
      </c>
      <c r="AN730" s="2" t="s">
        <v>283</v>
      </c>
      <c r="AP730" s="2" t="s">
        <v>6090</v>
      </c>
      <c r="AT730" s="2" t="s">
        <v>5795</v>
      </c>
      <c r="AU730" s="2" t="s">
        <v>75</v>
      </c>
      <c r="AV730" s="2" t="s">
        <v>5551</v>
      </c>
      <c r="AW730" s="2" t="s">
        <v>6064</v>
      </c>
      <c r="AX730" s="2" t="s">
        <v>477</v>
      </c>
      <c r="AZ730" s="2" t="s">
        <v>478</v>
      </c>
    </row>
    <row r="731" spans="1:52" s="3" customFormat="1" x14ac:dyDescent="0.35">
      <c r="A731" s="2" t="s">
        <v>6048</v>
      </c>
      <c r="B731" s="4">
        <v>243511</v>
      </c>
      <c r="C731" s="2" t="s">
        <v>6049</v>
      </c>
      <c r="D731" s="2">
        <f t="shared" si="11"/>
        <v>2</v>
      </c>
      <c r="F731" s="2" t="s">
        <v>5757</v>
      </c>
      <c r="G731" s="2" t="s">
        <v>53</v>
      </c>
      <c r="H731" s="4">
        <v>1</v>
      </c>
      <c r="I731" s="4">
        <v>1</v>
      </c>
      <c r="J731" s="5">
        <v>30000</v>
      </c>
      <c r="K731" s="2" t="s">
        <v>1252</v>
      </c>
      <c r="L731" s="5">
        <v>337860</v>
      </c>
      <c r="M731" s="2" t="s">
        <v>55</v>
      </c>
      <c r="N731" s="2" t="s">
        <v>1253</v>
      </c>
      <c r="O731" s="2" t="s">
        <v>1254</v>
      </c>
      <c r="P731" s="2" t="s">
        <v>6091</v>
      </c>
      <c r="Q731" s="2" t="s">
        <v>6092</v>
      </c>
      <c r="R731" s="2" t="s">
        <v>6052</v>
      </c>
      <c r="T731" s="2" t="s">
        <v>6053</v>
      </c>
      <c r="U731" s="2" t="s">
        <v>6054</v>
      </c>
      <c r="V731" s="2" t="s">
        <v>6055</v>
      </c>
      <c r="W731" s="2" t="s">
        <v>6056</v>
      </c>
      <c r="X731" s="2" t="s">
        <v>6057</v>
      </c>
      <c r="Y731" s="2" t="s">
        <v>6058</v>
      </c>
      <c r="Z731" s="2" t="s">
        <v>6059</v>
      </c>
      <c r="AA731" s="2" t="s">
        <v>6060</v>
      </c>
      <c r="AB731" s="2" t="s">
        <v>6061</v>
      </c>
      <c r="AC731" s="2" t="s">
        <v>3086</v>
      </c>
      <c r="AD731" s="2" t="s">
        <v>2556</v>
      </c>
      <c r="AE731" s="2" t="s">
        <v>69</v>
      </c>
      <c r="AF731" s="2" t="s">
        <v>70</v>
      </c>
      <c r="AG731" s="2" t="s">
        <v>6062</v>
      </c>
      <c r="AK731" s="2" t="s">
        <v>6063</v>
      </c>
      <c r="AM731" s="2" t="s">
        <v>72</v>
      </c>
      <c r="AN731" s="2" t="s">
        <v>283</v>
      </c>
      <c r="AP731" s="2" t="s">
        <v>6093</v>
      </c>
      <c r="AT731" s="2" t="s">
        <v>5795</v>
      </c>
      <c r="AU731" s="2" t="s">
        <v>75</v>
      </c>
      <c r="AV731" s="2" t="s">
        <v>5551</v>
      </c>
      <c r="AW731" s="2" t="s">
        <v>6064</v>
      </c>
      <c r="AX731" s="2" t="s">
        <v>477</v>
      </c>
      <c r="AZ731" s="2" t="s">
        <v>478</v>
      </c>
    </row>
    <row r="732" spans="1:52" s="3" customFormat="1" x14ac:dyDescent="0.35">
      <c r="A732" s="2" t="s">
        <v>6048</v>
      </c>
      <c r="B732" s="4">
        <v>243511</v>
      </c>
      <c r="C732" s="2" t="s">
        <v>6049</v>
      </c>
      <c r="D732" s="2">
        <f t="shared" si="11"/>
        <v>2</v>
      </c>
      <c r="F732" s="2" t="s">
        <v>5757</v>
      </c>
      <c r="G732" s="2" t="s">
        <v>53</v>
      </c>
      <c r="H732" s="4">
        <v>1</v>
      </c>
      <c r="I732" s="4">
        <v>1</v>
      </c>
      <c r="J732" s="5">
        <v>30000</v>
      </c>
      <c r="K732" s="2" t="s">
        <v>1252</v>
      </c>
      <c r="L732" s="5">
        <v>337860</v>
      </c>
      <c r="M732" s="2" t="s">
        <v>55</v>
      </c>
      <c r="N732" s="2" t="s">
        <v>1253</v>
      </c>
      <c r="O732" s="2" t="s">
        <v>1254</v>
      </c>
      <c r="P732" s="2" t="s">
        <v>6094</v>
      </c>
      <c r="Q732" s="2" t="s">
        <v>6095</v>
      </c>
      <c r="R732" s="2" t="s">
        <v>6052</v>
      </c>
      <c r="T732" s="2" t="s">
        <v>6053</v>
      </c>
      <c r="U732" s="2" t="s">
        <v>6054</v>
      </c>
      <c r="V732" s="2" t="s">
        <v>6055</v>
      </c>
      <c r="W732" s="2" t="s">
        <v>6056</v>
      </c>
      <c r="X732" s="2" t="s">
        <v>6057</v>
      </c>
      <c r="Y732" s="2" t="s">
        <v>6058</v>
      </c>
      <c r="Z732" s="2" t="s">
        <v>6059</v>
      </c>
      <c r="AA732" s="2" t="s">
        <v>6060</v>
      </c>
      <c r="AB732" s="2" t="s">
        <v>6061</v>
      </c>
      <c r="AC732" s="2" t="s">
        <v>3086</v>
      </c>
      <c r="AD732" s="2" t="s">
        <v>2556</v>
      </c>
      <c r="AE732" s="2" t="s">
        <v>69</v>
      </c>
      <c r="AF732" s="2" t="s">
        <v>70</v>
      </c>
      <c r="AG732" s="2" t="s">
        <v>6062</v>
      </c>
      <c r="AK732" s="2" t="s">
        <v>6063</v>
      </c>
      <c r="AM732" s="2" t="s">
        <v>72</v>
      </c>
      <c r="AN732" s="2" t="s">
        <v>283</v>
      </c>
      <c r="AP732" s="2" t="s">
        <v>6096</v>
      </c>
      <c r="AT732" s="2" t="s">
        <v>5795</v>
      </c>
      <c r="AU732" s="2" t="s">
        <v>75</v>
      </c>
      <c r="AV732" s="2" t="s">
        <v>5551</v>
      </c>
      <c r="AW732" s="2" t="s">
        <v>6064</v>
      </c>
      <c r="AX732" s="2" t="s">
        <v>477</v>
      </c>
      <c r="AZ732" s="2" t="s">
        <v>478</v>
      </c>
    </row>
    <row r="733" spans="1:52" s="3" customFormat="1" x14ac:dyDescent="0.35">
      <c r="A733" s="2" t="s">
        <v>6097</v>
      </c>
      <c r="B733" s="4">
        <v>243506</v>
      </c>
      <c r="C733" s="2" t="s">
        <v>6098</v>
      </c>
      <c r="D733" s="2">
        <f t="shared" si="11"/>
        <v>2</v>
      </c>
      <c r="F733" s="2" t="s">
        <v>6001</v>
      </c>
      <c r="G733" s="2" t="s">
        <v>53</v>
      </c>
      <c r="H733" s="4">
        <v>11</v>
      </c>
      <c r="I733" s="4">
        <v>1</v>
      </c>
      <c r="J733" s="5">
        <v>9350.01</v>
      </c>
      <c r="L733" s="5">
        <v>8774.98</v>
      </c>
      <c r="M733" s="2" t="s">
        <v>55</v>
      </c>
      <c r="N733" s="2" t="s">
        <v>458</v>
      </c>
      <c r="O733" s="2" t="s">
        <v>459</v>
      </c>
      <c r="P733" s="2" t="s">
        <v>4633</v>
      </c>
      <c r="Q733" s="2" t="s">
        <v>4634</v>
      </c>
      <c r="R733" s="2" t="s">
        <v>6099</v>
      </c>
      <c r="T733" s="2" t="s">
        <v>6100</v>
      </c>
      <c r="U733" s="2" t="s">
        <v>6101</v>
      </c>
      <c r="V733" s="2" t="s">
        <v>6102</v>
      </c>
      <c r="W733" s="2" t="s">
        <v>6103</v>
      </c>
      <c r="X733" s="2" t="s">
        <v>6104</v>
      </c>
      <c r="Y733" s="2" t="s">
        <v>6105</v>
      </c>
      <c r="Z733" s="2" t="s">
        <v>6106</v>
      </c>
      <c r="AA733" s="2" t="s">
        <v>6107</v>
      </c>
      <c r="AC733" s="2" t="s">
        <v>1255</v>
      </c>
      <c r="AD733" s="2" t="s">
        <v>68</v>
      </c>
      <c r="AE733" s="2" t="s">
        <v>69</v>
      </c>
      <c r="AF733" s="2" t="s">
        <v>70</v>
      </c>
      <c r="AG733" s="2" t="s">
        <v>6108</v>
      </c>
      <c r="AK733" s="2" t="s">
        <v>6109</v>
      </c>
      <c r="AM733" s="2" t="s">
        <v>72</v>
      </c>
      <c r="AN733" s="2" t="s">
        <v>473</v>
      </c>
      <c r="AP733" s="2" t="s">
        <v>4546</v>
      </c>
      <c r="AU733" s="2" t="s">
        <v>75</v>
      </c>
      <c r="AV733" s="2" t="s">
        <v>6110</v>
      </c>
      <c r="AW733" s="2" t="s">
        <v>6111</v>
      </c>
      <c r="AX733" s="2" t="s">
        <v>77</v>
      </c>
      <c r="AZ733" s="2" t="s">
        <v>77</v>
      </c>
    </row>
    <row r="734" spans="1:52" s="3" customFormat="1" x14ac:dyDescent="0.35">
      <c r="A734" s="2" t="s">
        <v>6112</v>
      </c>
      <c r="B734" s="4">
        <v>243505</v>
      </c>
      <c r="C734" s="2" t="s">
        <v>6098</v>
      </c>
      <c r="D734" s="2">
        <f t="shared" si="11"/>
        <v>2</v>
      </c>
      <c r="F734" s="2" t="s">
        <v>6001</v>
      </c>
      <c r="G734" s="2" t="s">
        <v>53</v>
      </c>
      <c r="H734" s="4">
        <v>1</v>
      </c>
      <c r="I734" s="4">
        <v>1</v>
      </c>
      <c r="J734" s="4">
        <v>0</v>
      </c>
      <c r="L734" s="4">
        <v>0</v>
      </c>
      <c r="M734" s="2" t="s">
        <v>55</v>
      </c>
      <c r="N734" s="2" t="s">
        <v>56</v>
      </c>
      <c r="O734" s="2" t="s">
        <v>57</v>
      </c>
      <c r="P734" s="2" t="s">
        <v>3131</v>
      </c>
      <c r="Q734" s="2" t="s">
        <v>3132</v>
      </c>
      <c r="R734" s="2" t="s">
        <v>6113</v>
      </c>
      <c r="S734" s="2" t="s">
        <v>6114</v>
      </c>
      <c r="V734" s="2" t="s">
        <v>6115</v>
      </c>
      <c r="W734" s="2" t="s">
        <v>6116</v>
      </c>
      <c r="Y734" s="2" t="s">
        <v>6117</v>
      </c>
      <c r="Z734" s="2" t="s">
        <v>6118</v>
      </c>
      <c r="AA734" s="2" t="s">
        <v>6119</v>
      </c>
      <c r="AC734" s="2" t="s">
        <v>6120</v>
      </c>
      <c r="AD734" s="2" t="s">
        <v>68</v>
      </c>
      <c r="AE734" s="2" t="s">
        <v>69</v>
      </c>
      <c r="AF734" s="2" t="s">
        <v>70</v>
      </c>
      <c r="AG734" s="2" t="s">
        <v>6121</v>
      </c>
      <c r="AK734" s="2" t="s">
        <v>6122</v>
      </c>
      <c r="AM734" s="2" t="s">
        <v>72</v>
      </c>
      <c r="AN734" s="2" t="s">
        <v>1046</v>
      </c>
      <c r="AP734" s="2" t="s">
        <v>3144</v>
      </c>
      <c r="AT734" s="2" t="s">
        <v>114</v>
      </c>
      <c r="AU734" s="2" t="s">
        <v>75</v>
      </c>
      <c r="AW734" s="2" t="s">
        <v>6123</v>
      </c>
      <c r="AZ734" s="2" t="s">
        <v>116</v>
      </c>
    </row>
    <row r="735" spans="1:52" s="3" customFormat="1" x14ac:dyDescent="0.35">
      <c r="A735" s="2" t="s">
        <v>6124</v>
      </c>
      <c r="B735" s="4">
        <v>243501</v>
      </c>
      <c r="C735" s="2" t="s">
        <v>6125</v>
      </c>
      <c r="D735" s="2">
        <f t="shared" si="11"/>
        <v>2</v>
      </c>
      <c r="G735" s="2" t="s">
        <v>53</v>
      </c>
      <c r="H735" s="4">
        <v>4</v>
      </c>
      <c r="I735" s="4">
        <v>1</v>
      </c>
      <c r="J735" s="4">
        <v>0</v>
      </c>
      <c r="L735" s="4">
        <v>0</v>
      </c>
      <c r="M735" s="2" t="s">
        <v>55</v>
      </c>
      <c r="N735" s="2" t="s">
        <v>56</v>
      </c>
      <c r="O735" s="2" t="s">
        <v>57</v>
      </c>
      <c r="P735" s="2" t="s">
        <v>4887</v>
      </c>
      <c r="Q735" s="2" t="s">
        <v>4888</v>
      </c>
      <c r="R735" s="2" t="s">
        <v>6126</v>
      </c>
      <c r="S735" s="2" t="s">
        <v>2606</v>
      </c>
      <c r="T735" s="2" t="s">
        <v>6127</v>
      </c>
      <c r="U735" s="2" t="s">
        <v>6128</v>
      </c>
      <c r="V735" s="2" t="s">
        <v>2607</v>
      </c>
      <c r="W735" s="2" t="s">
        <v>6129</v>
      </c>
      <c r="X735" s="2" t="s">
        <v>6129</v>
      </c>
      <c r="Y735" s="2" t="s">
        <v>6130</v>
      </c>
      <c r="Z735" s="2" t="s">
        <v>6131</v>
      </c>
      <c r="AA735" s="2" t="s">
        <v>6132</v>
      </c>
      <c r="AC735" s="2" t="s">
        <v>6133</v>
      </c>
      <c r="AD735" s="2" t="s">
        <v>2679</v>
      </c>
      <c r="AE735" s="2" t="s">
        <v>1362</v>
      </c>
      <c r="AF735" s="2" t="s">
        <v>70</v>
      </c>
      <c r="AG735" s="2" t="s">
        <v>6134</v>
      </c>
      <c r="AK735" s="2" t="s">
        <v>6135</v>
      </c>
      <c r="AM735" s="2" t="s">
        <v>72</v>
      </c>
      <c r="AN735" s="2" t="s">
        <v>1046</v>
      </c>
      <c r="AP735" s="2" t="s">
        <v>4546</v>
      </c>
      <c r="AU735" s="2" t="s">
        <v>75</v>
      </c>
      <c r="AV735" s="2" t="s">
        <v>6136</v>
      </c>
      <c r="AW735" s="2" t="s">
        <v>6137</v>
      </c>
      <c r="AZ735" s="2" t="s">
        <v>116</v>
      </c>
    </row>
    <row r="736" spans="1:52" s="3" customFormat="1" x14ac:dyDescent="0.35">
      <c r="A736" s="2" t="s">
        <v>6138</v>
      </c>
      <c r="B736" s="4">
        <v>243499</v>
      </c>
      <c r="C736" s="2" t="s">
        <v>6139</v>
      </c>
      <c r="D736" s="2">
        <f t="shared" si="11"/>
        <v>2</v>
      </c>
      <c r="F736" s="2" t="s">
        <v>6001</v>
      </c>
      <c r="G736" s="2" t="s">
        <v>53</v>
      </c>
      <c r="H736" s="4">
        <v>1</v>
      </c>
      <c r="I736" s="4">
        <v>1</v>
      </c>
      <c r="J736" s="4">
        <v>0</v>
      </c>
      <c r="L736" s="4">
        <v>0</v>
      </c>
      <c r="M736" s="2" t="s">
        <v>55</v>
      </c>
      <c r="N736" s="2" t="s">
        <v>56</v>
      </c>
      <c r="O736" s="2" t="s">
        <v>57</v>
      </c>
      <c r="P736" s="2" t="s">
        <v>4877</v>
      </c>
      <c r="Q736" s="2" t="s">
        <v>4878</v>
      </c>
      <c r="R736" s="2" t="s">
        <v>3780</v>
      </c>
      <c r="S736" s="2" t="s">
        <v>3781</v>
      </c>
      <c r="V736" s="2" t="s">
        <v>3782</v>
      </c>
      <c r="W736" s="2" t="s">
        <v>3783</v>
      </c>
      <c r="Y736" s="2" t="s">
        <v>64</v>
      </c>
      <c r="Z736" s="2" t="s">
        <v>65</v>
      </c>
      <c r="AA736" s="2" t="s">
        <v>66</v>
      </c>
      <c r="AC736" s="2" t="s">
        <v>67</v>
      </c>
      <c r="AD736" s="2" t="s">
        <v>68</v>
      </c>
      <c r="AE736" s="2" t="s">
        <v>69</v>
      </c>
      <c r="AF736" s="2" t="s">
        <v>70</v>
      </c>
      <c r="AG736" s="2" t="s">
        <v>5536</v>
      </c>
      <c r="AK736" s="2" t="s">
        <v>6140</v>
      </c>
      <c r="AM736" s="2" t="s">
        <v>72</v>
      </c>
      <c r="AN736" s="2" t="s">
        <v>1046</v>
      </c>
      <c r="AP736" s="2" t="s">
        <v>3758</v>
      </c>
      <c r="AU736" s="2" t="s">
        <v>75</v>
      </c>
      <c r="AV736" s="2" t="s">
        <v>3788</v>
      </c>
      <c r="AW736" s="2" t="s">
        <v>3789</v>
      </c>
      <c r="AZ736" s="2" t="s">
        <v>116</v>
      </c>
    </row>
    <row r="737" spans="1:52" s="3" customFormat="1" x14ac:dyDescent="0.35">
      <c r="A737" s="2" t="s">
        <v>6150</v>
      </c>
      <c r="B737" s="4">
        <v>243457</v>
      </c>
      <c r="C737" s="2" t="s">
        <v>6151</v>
      </c>
      <c r="D737" s="2">
        <f t="shared" si="11"/>
        <v>2</v>
      </c>
      <c r="G737" s="2" t="s">
        <v>53</v>
      </c>
      <c r="H737" s="4">
        <v>3</v>
      </c>
      <c r="I737" s="4">
        <v>1</v>
      </c>
      <c r="J737" s="4">
        <v>0</v>
      </c>
      <c r="L737" s="4">
        <v>0</v>
      </c>
      <c r="M737" s="2" t="s">
        <v>55</v>
      </c>
      <c r="N737" s="2" t="s">
        <v>56</v>
      </c>
      <c r="O737" s="2" t="s">
        <v>57</v>
      </c>
      <c r="P737" s="2" t="s">
        <v>4633</v>
      </c>
      <c r="Q737" s="2" t="s">
        <v>4634</v>
      </c>
      <c r="R737" s="2" t="s">
        <v>6152</v>
      </c>
      <c r="T737" s="2" t="s">
        <v>5641</v>
      </c>
      <c r="U737" s="2" t="s">
        <v>5642</v>
      </c>
      <c r="V737" s="2" t="s">
        <v>6153</v>
      </c>
      <c r="W737" s="2" t="s">
        <v>5644</v>
      </c>
      <c r="X737" s="2" t="s">
        <v>5645</v>
      </c>
      <c r="Y737" s="2" t="s">
        <v>5646</v>
      </c>
      <c r="Z737" s="2" t="s">
        <v>5647</v>
      </c>
      <c r="AA737" s="2" t="s">
        <v>5402</v>
      </c>
      <c r="AB737" s="2" t="s">
        <v>5648</v>
      </c>
      <c r="AC737" s="2" t="s">
        <v>5649</v>
      </c>
      <c r="AD737" s="2" t="s">
        <v>68</v>
      </c>
      <c r="AE737" s="2" t="s">
        <v>69</v>
      </c>
      <c r="AF737" s="2" t="s">
        <v>70</v>
      </c>
      <c r="AG737" s="2" t="s">
        <v>5650</v>
      </c>
      <c r="AK737" s="2" t="s">
        <v>6154</v>
      </c>
      <c r="AM737" s="2" t="s">
        <v>72</v>
      </c>
      <c r="AN737" s="2" t="s">
        <v>1046</v>
      </c>
      <c r="AP737" s="2" t="s">
        <v>4546</v>
      </c>
      <c r="AU737" s="2" t="s">
        <v>75</v>
      </c>
      <c r="AV737" s="2" t="s">
        <v>5652</v>
      </c>
      <c r="AW737" s="2" t="s">
        <v>5653</v>
      </c>
      <c r="AZ737" s="2" t="s">
        <v>116</v>
      </c>
    </row>
    <row r="738" spans="1:52" s="3" customFormat="1" x14ac:dyDescent="0.35">
      <c r="A738" s="2" t="s">
        <v>6155</v>
      </c>
      <c r="B738" s="4">
        <v>246641</v>
      </c>
      <c r="C738" s="2" t="s">
        <v>6156</v>
      </c>
      <c r="D738" s="2">
        <f t="shared" si="11"/>
        <v>2</v>
      </c>
      <c r="F738" s="2" t="s">
        <v>6157</v>
      </c>
      <c r="G738" s="2" t="s">
        <v>53</v>
      </c>
      <c r="H738" s="4">
        <v>22</v>
      </c>
      <c r="I738" s="4">
        <v>1</v>
      </c>
      <c r="J738" s="5">
        <v>16500</v>
      </c>
      <c r="L738" s="5">
        <v>15485.25</v>
      </c>
      <c r="M738" s="2" t="s">
        <v>55</v>
      </c>
      <c r="N738" s="2" t="s">
        <v>458</v>
      </c>
      <c r="O738" s="2" t="s">
        <v>459</v>
      </c>
      <c r="P738" s="2" t="s">
        <v>4633</v>
      </c>
      <c r="Q738" s="2" t="s">
        <v>4634</v>
      </c>
      <c r="R738" s="2" t="s">
        <v>6002</v>
      </c>
      <c r="T738" s="2" t="s">
        <v>3511</v>
      </c>
      <c r="U738" s="2" t="s">
        <v>3512</v>
      </c>
      <c r="V738" s="2" t="s">
        <v>6003</v>
      </c>
      <c r="W738" s="2" t="s">
        <v>6004</v>
      </c>
      <c r="X738" s="2" t="s">
        <v>3515</v>
      </c>
      <c r="Y738" s="2" t="s">
        <v>3516</v>
      </c>
      <c r="Z738" s="2" t="s">
        <v>3517</v>
      </c>
      <c r="AA738" s="2" t="s">
        <v>3518</v>
      </c>
      <c r="AB738" s="2" t="s">
        <v>3519</v>
      </c>
      <c r="AC738" s="2" t="s">
        <v>3520</v>
      </c>
      <c r="AD738" s="2" t="s">
        <v>3521</v>
      </c>
      <c r="AE738" s="2" t="s">
        <v>96</v>
      </c>
      <c r="AF738" s="2" t="s">
        <v>70</v>
      </c>
      <c r="AG738" s="2" t="s">
        <v>6158</v>
      </c>
      <c r="AK738" s="2" t="s">
        <v>6159</v>
      </c>
      <c r="AM738" s="2" t="s">
        <v>72</v>
      </c>
      <c r="AN738" s="2" t="s">
        <v>403</v>
      </c>
      <c r="AP738" s="2" t="s">
        <v>4546</v>
      </c>
      <c r="AU738" s="2" t="s">
        <v>75</v>
      </c>
      <c r="AV738" s="2" t="s">
        <v>3524</v>
      </c>
      <c r="AW738" s="2" t="s">
        <v>3525</v>
      </c>
      <c r="AX738" s="2" t="s">
        <v>77</v>
      </c>
      <c r="AZ738" s="2" t="s">
        <v>77</v>
      </c>
    </row>
    <row r="739" spans="1:52" s="3" customFormat="1" x14ac:dyDescent="0.35">
      <c r="A739" s="2" t="s">
        <v>6160</v>
      </c>
      <c r="B739" s="4">
        <v>246642</v>
      </c>
      <c r="C739" s="2" t="s">
        <v>6156</v>
      </c>
      <c r="D739" s="2">
        <f t="shared" si="11"/>
        <v>2</v>
      </c>
      <c r="F739" s="2" t="s">
        <v>6157</v>
      </c>
      <c r="G739" s="2" t="s">
        <v>53</v>
      </c>
      <c r="H739" s="4">
        <v>5</v>
      </c>
      <c r="I739" s="4">
        <v>1</v>
      </c>
      <c r="J739" s="5">
        <v>3750.01</v>
      </c>
      <c r="L739" s="5">
        <v>3519.38</v>
      </c>
      <c r="M739" s="2" t="s">
        <v>55</v>
      </c>
      <c r="N739" s="2" t="s">
        <v>458</v>
      </c>
      <c r="O739" s="2" t="s">
        <v>459</v>
      </c>
      <c r="P739" s="2" t="s">
        <v>4633</v>
      </c>
      <c r="Q739" s="2" t="s">
        <v>4634</v>
      </c>
      <c r="R739" s="2" t="s">
        <v>6002</v>
      </c>
      <c r="T739" s="2" t="s">
        <v>6161</v>
      </c>
      <c r="U739" s="2" t="s">
        <v>6162</v>
      </c>
      <c r="V739" s="2" t="s">
        <v>6003</v>
      </c>
      <c r="W739" s="2" t="s">
        <v>6004</v>
      </c>
      <c r="X739" s="2" t="s">
        <v>6163</v>
      </c>
      <c r="Y739" s="2" t="s">
        <v>6164</v>
      </c>
      <c r="Z739" s="2" t="s">
        <v>6165</v>
      </c>
      <c r="AA739" s="2" t="s">
        <v>6166</v>
      </c>
      <c r="AC739" s="2" t="s">
        <v>6167</v>
      </c>
      <c r="AD739" s="2" t="s">
        <v>3521</v>
      </c>
      <c r="AE739" s="2" t="s">
        <v>96</v>
      </c>
      <c r="AF739" s="2" t="s">
        <v>70</v>
      </c>
      <c r="AG739" s="2" t="s">
        <v>6168</v>
      </c>
      <c r="AK739" s="2" t="s">
        <v>6169</v>
      </c>
      <c r="AM739" s="2" t="s">
        <v>72</v>
      </c>
      <c r="AN739" s="2" t="s">
        <v>403</v>
      </c>
      <c r="AP739" s="2" t="s">
        <v>4546</v>
      </c>
      <c r="AU739" s="2" t="s">
        <v>75</v>
      </c>
      <c r="AV739" s="2" t="s">
        <v>6170</v>
      </c>
      <c r="AW739" s="2" t="s">
        <v>6171</v>
      </c>
      <c r="AX739" s="2" t="s">
        <v>477</v>
      </c>
      <c r="AZ739" s="2" t="s">
        <v>1256</v>
      </c>
    </row>
    <row r="740" spans="1:52" s="3" customFormat="1" x14ac:dyDescent="0.35">
      <c r="A740" s="2" t="s">
        <v>6172</v>
      </c>
      <c r="B740" s="4">
        <v>243446</v>
      </c>
      <c r="C740" s="2" t="s">
        <v>6173</v>
      </c>
      <c r="D740" s="2">
        <f t="shared" si="11"/>
        <v>2</v>
      </c>
      <c r="F740" s="2" t="s">
        <v>6174</v>
      </c>
      <c r="G740" s="2" t="s">
        <v>53</v>
      </c>
      <c r="H740" s="4">
        <v>1</v>
      </c>
      <c r="I740" s="4">
        <v>0</v>
      </c>
      <c r="J740" s="4">
        <v>0</v>
      </c>
      <c r="L740" s="4">
        <v>0</v>
      </c>
      <c r="N740" s="2" t="s">
        <v>56</v>
      </c>
      <c r="O740" s="2" t="s">
        <v>57</v>
      </c>
      <c r="P740" s="2" t="s">
        <v>4619</v>
      </c>
      <c r="Q740" s="2" t="s">
        <v>4620</v>
      </c>
      <c r="R740" s="2" t="s">
        <v>6175</v>
      </c>
      <c r="S740" s="2" t="s">
        <v>6176</v>
      </c>
      <c r="V740" s="2" t="s">
        <v>6177</v>
      </c>
      <c r="W740" s="2" t="s">
        <v>6178</v>
      </c>
      <c r="Y740" s="2" t="s">
        <v>6179</v>
      </c>
      <c r="Z740" s="2" t="s">
        <v>6180</v>
      </c>
      <c r="AA740" s="2" t="s">
        <v>6181</v>
      </c>
      <c r="AC740" s="2" t="s">
        <v>6182</v>
      </c>
      <c r="AD740" s="2" t="s">
        <v>3756</v>
      </c>
      <c r="AE740" s="2" t="s">
        <v>2980</v>
      </c>
      <c r="AF740" s="2" t="s">
        <v>70</v>
      </c>
      <c r="AK740" s="2" t="s">
        <v>6183</v>
      </c>
      <c r="AL740" s="2" t="s">
        <v>4629</v>
      </c>
      <c r="AM740" s="2" t="s">
        <v>72</v>
      </c>
      <c r="AN740" s="2" t="s">
        <v>73</v>
      </c>
      <c r="AP740" s="2" t="s">
        <v>3341</v>
      </c>
      <c r="AT740" s="2" t="s">
        <v>114</v>
      </c>
      <c r="AU740" s="2" t="s">
        <v>75</v>
      </c>
      <c r="AW740" s="2" t="s">
        <v>6184</v>
      </c>
      <c r="AZ740" s="2" t="s">
        <v>116</v>
      </c>
    </row>
    <row r="741" spans="1:52" s="3" customFormat="1" x14ac:dyDescent="0.35">
      <c r="A741" s="2" t="s">
        <v>6185</v>
      </c>
      <c r="B741" s="4">
        <v>243441</v>
      </c>
      <c r="C741" s="2" t="s">
        <v>6186</v>
      </c>
      <c r="D741" s="2">
        <f t="shared" si="11"/>
        <v>2</v>
      </c>
      <c r="F741" s="2" t="s">
        <v>6174</v>
      </c>
      <c r="G741" s="2" t="s">
        <v>53</v>
      </c>
      <c r="H741" s="4">
        <v>1</v>
      </c>
      <c r="I741" s="4">
        <v>1</v>
      </c>
      <c r="J741" s="4">
        <v>0</v>
      </c>
      <c r="L741" s="4">
        <v>0</v>
      </c>
      <c r="M741" s="2" t="s">
        <v>55</v>
      </c>
      <c r="N741" s="2" t="s">
        <v>56</v>
      </c>
      <c r="O741" s="2" t="s">
        <v>57</v>
      </c>
      <c r="P741" s="2" t="s">
        <v>4877</v>
      </c>
      <c r="Q741" s="2" t="s">
        <v>4878</v>
      </c>
      <c r="R741" s="2" t="s">
        <v>6187</v>
      </c>
      <c r="S741" s="2" t="s">
        <v>6188</v>
      </c>
      <c r="V741" s="2" t="s">
        <v>6189</v>
      </c>
      <c r="W741" s="2" t="s">
        <v>6190</v>
      </c>
      <c r="Y741" s="2" t="s">
        <v>64</v>
      </c>
      <c r="Z741" s="2" t="s">
        <v>65</v>
      </c>
      <c r="AA741" s="2" t="s">
        <v>66</v>
      </c>
      <c r="AC741" s="2" t="s">
        <v>67</v>
      </c>
      <c r="AD741" s="2" t="s">
        <v>68</v>
      </c>
      <c r="AE741" s="2" t="s">
        <v>69</v>
      </c>
      <c r="AF741" s="2" t="s">
        <v>70</v>
      </c>
      <c r="AG741" s="2" t="s">
        <v>4877</v>
      </c>
      <c r="AK741" s="2" t="s">
        <v>6191</v>
      </c>
      <c r="AM741" s="2" t="s">
        <v>72</v>
      </c>
      <c r="AN741" s="2" t="s">
        <v>283</v>
      </c>
      <c r="AP741" s="2" t="s">
        <v>3758</v>
      </c>
      <c r="AU741" s="2" t="s">
        <v>75</v>
      </c>
      <c r="AV741" s="2" t="s">
        <v>6192</v>
      </c>
      <c r="AW741" s="2" t="s">
        <v>6193</v>
      </c>
      <c r="AZ741" s="2" t="s">
        <v>116</v>
      </c>
    </row>
    <row r="742" spans="1:52" s="3" customFormat="1" x14ac:dyDescent="0.35">
      <c r="A742" s="2" t="s">
        <v>6194</v>
      </c>
      <c r="B742" s="4">
        <v>243440</v>
      </c>
      <c r="C742" s="2" t="s">
        <v>6195</v>
      </c>
      <c r="D742" s="2">
        <f t="shared" si="11"/>
        <v>2</v>
      </c>
      <c r="F742" s="2" t="s">
        <v>6001</v>
      </c>
      <c r="G742" s="2" t="s">
        <v>53</v>
      </c>
      <c r="H742" s="4">
        <v>1</v>
      </c>
      <c r="I742" s="4">
        <v>1</v>
      </c>
      <c r="J742" s="5">
        <v>28900</v>
      </c>
      <c r="L742" s="5">
        <v>28900</v>
      </c>
      <c r="M742" s="2" t="s">
        <v>55</v>
      </c>
      <c r="N742" s="2" t="s">
        <v>458</v>
      </c>
      <c r="O742" s="2" t="s">
        <v>459</v>
      </c>
      <c r="P742" s="2" t="s">
        <v>6196</v>
      </c>
      <c r="Q742" s="2" t="s">
        <v>6197</v>
      </c>
      <c r="R742" s="2" t="s">
        <v>6198</v>
      </c>
      <c r="T742" s="2" t="s">
        <v>6199</v>
      </c>
      <c r="U742" s="2" t="s">
        <v>6200</v>
      </c>
      <c r="V742" s="2" t="s">
        <v>6201</v>
      </c>
      <c r="W742" s="2" t="s">
        <v>6202</v>
      </c>
      <c r="X742" s="2" t="s">
        <v>6203</v>
      </c>
      <c r="Y742" s="2" t="s">
        <v>6204</v>
      </c>
      <c r="Z742" s="2" t="s">
        <v>6205</v>
      </c>
      <c r="AA742" s="2" t="s">
        <v>4251</v>
      </c>
      <c r="AC742" s="2" t="s">
        <v>6206</v>
      </c>
      <c r="AD742" s="2" t="s">
        <v>1402</v>
      </c>
      <c r="AE742" s="2" t="s">
        <v>1403</v>
      </c>
      <c r="AF742" s="2" t="s">
        <v>97</v>
      </c>
      <c r="AG742" s="2" t="s">
        <v>6207</v>
      </c>
      <c r="AK742" s="2" t="s">
        <v>6208</v>
      </c>
      <c r="AM742" s="2" t="s">
        <v>72</v>
      </c>
      <c r="AN742" s="2" t="s">
        <v>595</v>
      </c>
      <c r="AP742" s="2" t="s">
        <v>3758</v>
      </c>
      <c r="AS742" s="2" t="s">
        <v>6209</v>
      </c>
      <c r="AT742" s="2" t="s">
        <v>3657</v>
      </c>
      <c r="AU742" s="2" t="s">
        <v>75</v>
      </c>
      <c r="AV742" s="2" t="s">
        <v>722</v>
      </c>
      <c r="AW742" s="2" t="s">
        <v>6210</v>
      </c>
      <c r="AX742" s="2" t="s">
        <v>477</v>
      </c>
      <c r="AZ742" s="2" t="s">
        <v>1256</v>
      </c>
    </row>
    <row r="743" spans="1:52" s="3" customFormat="1" x14ac:dyDescent="0.35">
      <c r="A743" s="2" t="s">
        <v>6211</v>
      </c>
      <c r="B743" s="4">
        <v>243438</v>
      </c>
      <c r="C743" s="2" t="s">
        <v>6212</v>
      </c>
      <c r="D743" s="2">
        <f t="shared" si="11"/>
        <v>2</v>
      </c>
      <c r="F743" s="2" t="s">
        <v>6001</v>
      </c>
      <c r="G743" s="2" t="s">
        <v>53</v>
      </c>
      <c r="H743" s="4">
        <v>1</v>
      </c>
      <c r="I743" s="4">
        <v>1</v>
      </c>
      <c r="J743" s="5">
        <v>28900</v>
      </c>
      <c r="L743" s="5">
        <v>28900</v>
      </c>
      <c r="M743" s="2" t="s">
        <v>55</v>
      </c>
      <c r="N743" s="2" t="s">
        <v>458</v>
      </c>
      <c r="O743" s="2" t="s">
        <v>459</v>
      </c>
      <c r="P743" s="2" t="s">
        <v>6196</v>
      </c>
      <c r="Q743" s="2" t="s">
        <v>6197</v>
      </c>
      <c r="R743" s="2" t="s">
        <v>6198</v>
      </c>
      <c r="T743" s="2" t="s">
        <v>6199</v>
      </c>
      <c r="U743" s="2" t="s">
        <v>6200</v>
      </c>
      <c r="V743" s="2" t="s">
        <v>6201</v>
      </c>
      <c r="W743" s="2" t="s">
        <v>6202</v>
      </c>
      <c r="X743" s="2" t="s">
        <v>6203</v>
      </c>
      <c r="Y743" s="2" t="s">
        <v>6204</v>
      </c>
      <c r="Z743" s="2" t="s">
        <v>6205</v>
      </c>
      <c r="AA743" s="2" t="s">
        <v>4251</v>
      </c>
      <c r="AC743" s="2" t="s">
        <v>6206</v>
      </c>
      <c r="AD743" s="2" t="s">
        <v>1402</v>
      </c>
      <c r="AE743" s="2" t="s">
        <v>1403</v>
      </c>
      <c r="AF743" s="2" t="s">
        <v>97</v>
      </c>
      <c r="AG743" s="2" t="s">
        <v>6213</v>
      </c>
      <c r="AK743" s="2" t="s">
        <v>6214</v>
      </c>
      <c r="AM743" s="2" t="s">
        <v>72</v>
      </c>
      <c r="AN743" s="2" t="s">
        <v>595</v>
      </c>
      <c r="AP743" s="2" t="s">
        <v>3758</v>
      </c>
      <c r="AS743" s="2" t="s">
        <v>6215</v>
      </c>
      <c r="AT743" s="2" t="s">
        <v>3657</v>
      </c>
      <c r="AU743" s="2" t="s">
        <v>75</v>
      </c>
      <c r="AV743" s="2" t="s">
        <v>722</v>
      </c>
      <c r="AW743" s="2" t="s">
        <v>6210</v>
      </c>
      <c r="AX743" s="2" t="s">
        <v>477</v>
      </c>
      <c r="AZ743" s="2" t="s">
        <v>1256</v>
      </c>
    </row>
    <row r="744" spans="1:52" s="3" customFormat="1" x14ac:dyDescent="0.35">
      <c r="A744" s="2" t="s">
        <v>6216</v>
      </c>
      <c r="B744" s="4">
        <v>243436</v>
      </c>
      <c r="C744" s="2" t="s">
        <v>6217</v>
      </c>
      <c r="D744" s="2">
        <f t="shared" si="11"/>
        <v>2</v>
      </c>
      <c r="F744" s="2" t="s">
        <v>6001</v>
      </c>
      <c r="G744" s="2" t="s">
        <v>53</v>
      </c>
      <c r="H744" s="4">
        <v>1</v>
      </c>
      <c r="I744" s="4">
        <v>1</v>
      </c>
      <c r="J744" s="5">
        <v>28900</v>
      </c>
      <c r="L744" s="5">
        <v>28900</v>
      </c>
      <c r="M744" s="2" t="s">
        <v>55</v>
      </c>
      <c r="N744" s="2" t="s">
        <v>458</v>
      </c>
      <c r="O744" s="2" t="s">
        <v>459</v>
      </c>
      <c r="P744" s="2" t="s">
        <v>6196</v>
      </c>
      <c r="Q744" s="2" t="s">
        <v>6197</v>
      </c>
      <c r="R744" s="2" t="s">
        <v>6198</v>
      </c>
      <c r="T744" s="2" t="s">
        <v>6199</v>
      </c>
      <c r="U744" s="2" t="s">
        <v>6200</v>
      </c>
      <c r="V744" s="2" t="s">
        <v>6201</v>
      </c>
      <c r="W744" s="2" t="s">
        <v>6202</v>
      </c>
      <c r="X744" s="2" t="s">
        <v>6203</v>
      </c>
      <c r="Y744" s="2" t="s">
        <v>6204</v>
      </c>
      <c r="Z744" s="2" t="s">
        <v>6205</v>
      </c>
      <c r="AA744" s="2" t="s">
        <v>4251</v>
      </c>
      <c r="AC744" s="2" t="s">
        <v>6206</v>
      </c>
      <c r="AD744" s="2" t="s">
        <v>1402</v>
      </c>
      <c r="AE744" s="2" t="s">
        <v>1403</v>
      </c>
      <c r="AF744" s="2" t="s">
        <v>97</v>
      </c>
      <c r="AG744" s="2" t="s">
        <v>6218</v>
      </c>
      <c r="AK744" s="2" t="s">
        <v>6219</v>
      </c>
      <c r="AM744" s="2" t="s">
        <v>72</v>
      </c>
      <c r="AN744" s="2" t="s">
        <v>595</v>
      </c>
      <c r="AP744" s="2" t="s">
        <v>3758</v>
      </c>
      <c r="AS744" s="2" t="s">
        <v>6220</v>
      </c>
      <c r="AT744" s="2" t="s">
        <v>3657</v>
      </c>
      <c r="AU744" s="2" t="s">
        <v>75</v>
      </c>
      <c r="AV744" s="2" t="s">
        <v>722</v>
      </c>
      <c r="AW744" s="2" t="s">
        <v>6210</v>
      </c>
      <c r="AX744" s="2" t="s">
        <v>477</v>
      </c>
      <c r="AZ744" s="2" t="s">
        <v>1256</v>
      </c>
    </row>
    <row r="745" spans="1:52" s="3" customFormat="1" x14ac:dyDescent="0.35">
      <c r="A745" s="2" t="s">
        <v>6221</v>
      </c>
      <c r="B745" s="4">
        <v>243423</v>
      </c>
      <c r="C745" s="2" t="s">
        <v>6222</v>
      </c>
      <c r="D745" s="2">
        <f t="shared" si="11"/>
        <v>2</v>
      </c>
      <c r="F745" s="2" t="s">
        <v>6174</v>
      </c>
      <c r="G745" s="2" t="s">
        <v>53</v>
      </c>
      <c r="H745" s="4">
        <v>1</v>
      </c>
      <c r="I745" s="4">
        <v>0</v>
      </c>
      <c r="J745" s="4">
        <v>0</v>
      </c>
      <c r="L745" s="4">
        <v>0</v>
      </c>
      <c r="N745" s="2" t="s">
        <v>56</v>
      </c>
      <c r="O745" s="2" t="s">
        <v>57</v>
      </c>
      <c r="P745" s="2" t="s">
        <v>4619</v>
      </c>
      <c r="Q745" s="2" t="s">
        <v>4620</v>
      </c>
      <c r="R745" s="2" t="s">
        <v>6223</v>
      </c>
      <c r="S745" s="2" t="s">
        <v>6224</v>
      </c>
      <c r="T745" s="2" t="s">
        <v>5954</v>
      </c>
      <c r="U745" s="2" t="s">
        <v>6225</v>
      </c>
      <c r="V745" s="2" t="s">
        <v>6226</v>
      </c>
      <c r="W745" s="2" t="s">
        <v>6227</v>
      </c>
      <c r="Y745" s="2" t="s">
        <v>6228</v>
      </c>
      <c r="Z745" s="2" t="s">
        <v>6229</v>
      </c>
      <c r="AB745" s="2" t="s">
        <v>6230</v>
      </c>
      <c r="AC745" s="2" t="s">
        <v>4627</v>
      </c>
      <c r="AD745" s="2" t="s">
        <v>3140</v>
      </c>
      <c r="AE745" s="2" t="s">
        <v>3141</v>
      </c>
      <c r="AF745" s="2" t="s">
        <v>70</v>
      </c>
      <c r="AK745" s="2" t="s">
        <v>6231</v>
      </c>
      <c r="AL745" s="2" t="s">
        <v>4629</v>
      </c>
      <c r="AM745" s="2" t="s">
        <v>72</v>
      </c>
      <c r="AN745" s="2" t="s">
        <v>73</v>
      </c>
      <c r="AP745" s="2" t="s">
        <v>3341</v>
      </c>
      <c r="AT745" s="2" t="s">
        <v>114</v>
      </c>
      <c r="AU745" s="2" t="s">
        <v>75</v>
      </c>
      <c r="AV745" s="2" t="s">
        <v>5963</v>
      </c>
      <c r="AW745" s="2" t="s">
        <v>5964</v>
      </c>
      <c r="AZ745" s="2" t="s">
        <v>116</v>
      </c>
    </row>
    <row r="746" spans="1:52" s="3" customFormat="1" x14ac:dyDescent="0.35">
      <c r="A746" s="2" t="s">
        <v>6232</v>
      </c>
      <c r="B746" s="4">
        <v>243421</v>
      </c>
      <c r="C746" s="2" t="s">
        <v>6233</v>
      </c>
      <c r="D746" s="2">
        <f t="shared" si="11"/>
        <v>2</v>
      </c>
      <c r="F746" s="2" t="s">
        <v>6001</v>
      </c>
      <c r="G746" s="2" t="s">
        <v>53</v>
      </c>
      <c r="H746" s="4">
        <v>2</v>
      </c>
      <c r="I746" s="4">
        <v>1</v>
      </c>
      <c r="J746" s="5">
        <v>2500</v>
      </c>
      <c r="K746" s="2" t="s">
        <v>1252</v>
      </c>
      <c r="L746" s="5">
        <v>2346.25</v>
      </c>
      <c r="M746" s="2" t="s">
        <v>55</v>
      </c>
      <c r="N746" s="2" t="s">
        <v>1253</v>
      </c>
      <c r="O746" s="2" t="s">
        <v>1254</v>
      </c>
      <c r="P746" s="2" t="s">
        <v>6234</v>
      </c>
      <c r="Q746" s="2" t="s">
        <v>6235</v>
      </c>
      <c r="R746" s="2" t="s">
        <v>6236</v>
      </c>
      <c r="T746" s="2" t="s">
        <v>1861</v>
      </c>
      <c r="U746" s="2" t="s">
        <v>1862</v>
      </c>
      <c r="V746" s="2" t="s">
        <v>6237</v>
      </c>
      <c r="W746" s="2" t="s">
        <v>6238</v>
      </c>
      <c r="X746" s="2" t="s">
        <v>5379</v>
      </c>
      <c r="Y746" s="2" t="s">
        <v>1866</v>
      </c>
      <c r="Z746" s="2" t="s">
        <v>1867</v>
      </c>
      <c r="AA746" s="2" t="s">
        <v>1868</v>
      </c>
      <c r="AB746" s="2" t="s">
        <v>1869</v>
      </c>
      <c r="AC746" s="2" t="s">
        <v>1870</v>
      </c>
      <c r="AD746" s="2" t="s">
        <v>1402</v>
      </c>
      <c r="AE746" s="2" t="s">
        <v>1403</v>
      </c>
      <c r="AF746" s="2" t="s">
        <v>70</v>
      </c>
      <c r="AG746" s="2" t="s">
        <v>6234</v>
      </c>
      <c r="AK746" s="2" t="s">
        <v>6239</v>
      </c>
      <c r="AM746" s="2" t="s">
        <v>72</v>
      </c>
      <c r="AN746" s="2" t="s">
        <v>403</v>
      </c>
      <c r="AP746" s="2" t="s">
        <v>4546</v>
      </c>
      <c r="AU746" s="2" t="s">
        <v>75</v>
      </c>
      <c r="AV746" s="2" t="s">
        <v>1872</v>
      </c>
      <c r="AW746" s="2" t="s">
        <v>1873</v>
      </c>
      <c r="AX746" s="2" t="s">
        <v>77</v>
      </c>
      <c r="AZ746" s="2" t="s">
        <v>77</v>
      </c>
    </row>
    <row r="747" spans="1:52" s="3" customFormat="1" x14ac:dyDescent="0.35">
      <c r="A747" s="2" t="s">
        <v>6240</v>
      </c>
      <c r="B747" s="4">
        <v>243419</v>
      </c>
      <c r="C747" s="2" t="s">
        <v>6241</v>
      </c>
      <c r="D747" s="2">
        <f t="shared" si="11"/>
        <v>2</v>
      </c>
      <c r="F747" s="2" t="s">
        <v>6174</v>
      </c>
      <c r="G747" s="2" t="s">
        <v>53</v>
      </c>
      <c r="H747" s="4">
        <v>1</v>
      </c>
      <c r="I747" s="4">
        <v>0</v>
      </c>
      <c r="J747" s="4">
        <v>0</v>
      </c>
      <c r="L747" s="4">
        <v>0</v>
      </c>
      <c r="N747" s="2" t="s">
        <v>56</v>
      </c>
      <c r="O747" s="2" t="s">
        <v>57</v>
      </c>
      <c r="P747" s="2" t="s">
        <v>4619</v>
      </c>
      <c r="Q747" s="2" t="s">
        <v>4620</v>
      </c>
      <c r="R747" s="2" t="s">
        <v>6242</v>
      </c>
      <c r="S747" s="2" t="s">
        <v>6243</v>
      </c>
      <c r="V747" s="2" t="s">
        <v>6244</v>
      </c>
      <c r="W747" s="2" t="s">
        <v>6245</v>
      </c>
      <c r="Y747" s="2" t="s">
        <v>6246</v>
      </c>
      <c r="Z747" s="2" t="s">
        <v>6247</v>
      </c>
      <c r="AA747" s="2" t="s">
        <v>3567</v>
      </c>
      <c r="AC747" s="2" t="s">
        <v>6248</v>
      </c>
      <c r="AD747" s="2" t="s">
        <v>1402</v>
      </c>
      <c r="AE747" s="2" t="s">
        <v>1403</v>
      </c>
      <c r="AF747" s="2" t="s">
        <v>70</v>
      </c>
      <c r="AK747" s="2" t="s">
        <v>6249</v>
      </c>
      <c r="AL747" s="2" t="s">
        <v>4629</v>
      </c>
      <c r="AM747" s="2" t="s">
        <v>72</v>
      </c>
      <c r="AN747" s="2" t="s">
        <v>73</v>
      </c>
      <c r="AP747" s="2" t="s">
        <v>3341</v>
      </c>
      <c r="AT747" s="2" t="s">
        <v>114</v>
      </c>
      <c r="AU747" s="2" t="s">
        <v>75</v>
      </c>
      <c r="AW747" s="2" t="s">
        <v>6250</v>
      </c>
      <c r="AZ747" s="2" t="s">
        <v>116</v>
      </c>
    </row>
    <row r="748" spans="1:52" s="3" customFormat="1" x14ac:dyDescent="0.35">
      <c r="A748" s="2" t="s">
        <v>6251</v>
      </c>
      <c r="B748" s="4">
        <v>243410</v>
      </c>
      <c r="C748" s="2" t="s">
        <v>6252</v>
      </c>
      <c r="D748" s="2">
        <f t="shared" si="11"/>
        <v>2</v>
      </c>
      <c r="F748" s="2" t="s">
        <v>6174</v>
      </c>
      <c r="G748" s="2" t="s">
        <v>53</v>
      </c>
      <c r="H748" s="4">
        <v>1</v>
      </c>
      <c r="I748" s="4">
        <v>12</v>
      </c>
      <c r="J748" s="5">
        <v>70000</v>
      </c>
      <c r="K748" s="2" t="s">
        <v>80</v>
      </c>
      <c r="L748" s="5">
        <v>65695</v>
      </c>
      <c r="M748" s="2" t="s">
        <v>6253</v>
      </c>
      <c r="N748" s="2" t="s">
        <v>82</v>
      </c>
      <c r="O748" s="2" t="s">
        <v>83</v>
      </c>
      <c r="P748" s="2" t="s">
        <v>6254</v>
      </c>
      <c r="Q748" s="2" t="s">
        <v>6255</v>
      </c>
      <c r="R748" s="2" t="s">
        <v>6256</v>
      </c>
      <c r="S748" s="2" t="s">
        <v>6257</v>
      </c>
      <c r="T748" s="2" t="s">
        <v>6258</v>
      </c>
      <c r="U748" s="2" t="s">
        <v>6259</v>
      </c>
      <c r="V748" s="2" t="s">
        <v>6260</v>
      </c>
      <c r="W748" s="2" t="s">
        <v>6261</v>
      </c>
      <c r="Y748" s="2" t="s">
        <v>6262</v>
      </c>
      <c r="Z748" s="2" t="s">
        <v>6263</v>
      </c>
      <c r="AB748" s="2" t="s">
        <v>6264</v>
      </c>
      <c r="AC748" s="2" t="s">
        <v>6265</v>
      </c>
      <c r="AD748" s="2" t="s">
        <v>6266</v>
      </c>
      <c r="AE748" s="2" t="s">
        <v>6267</v>
      </c>
      <c r="AF748" s="2" t="s">
        <v>70</v>
      </c>
      <c r="AK748" s="2" t="s">
        <v>6268</v>
      </c>
      <c r="AL748" s="2" t="s">
        <v>6269</v>
      </c>
      <c r="AM748" s="2" t="s">
        <v>72</v>
      </c>
      <c r="AN748" s="2" t="s">
        <v>473</v>
      </c>
      <c r="AP748" s="2" t="s">
        <v>4177</v>
      </c>
      <c r="AU748" s="2" t="s">
        <v>75</v>
      </c>
      <c r="AV748" s="2" t="s">
        <v>2559</v>
      </c>
      <c r="AW748" s="2" t="s">
        <v>6270</v>
      </c>
      <c r="AZ748" s="2" t="s">
        <v>77</v>
      </c>
    </row>
    <row r="749" spans="1:52" s="3" customFormat="1" x14ac:dyDescent="0.35">
      <c r="A749" s="2" t="s">
        <v>6271</v>
      </c>
      <c r="B749" s="4">
        <v>243400</v>
      </c>
      <c r="C749" s="2" t="s">
        <v>6272</v>
      </c>
      <c r="D749" s="2">
        <f t="shared" si="11"/>
        <v>2</v>
      </c>
      <c r="F749" s="2" t="s">
        <v>6174</v>
      </c>
      <c r="G749" s="2" t="s">
        <v>53</v>
      </c>
      <c r="H749" s="4">
        <v>1</v>
      </c>
      <c r="I749" s="4">
        <v>1</v>
      </c>
      <c r="J749" s="5">
        <v>15500</v>
      </c>
      <c r="L749" s="5">
        <v>14546.75</v>
      </c>
      <c r="M749" s="2" t="s">
        <v>55</v>
      </c>
      <c r="N749" s="2" t="s">
        <v>458</v>
      </c>
      <c r="O749" s="2" t="s">
        <v>459</v>
      </c>
      <c r="P749" s="2" t="s">
        <v>4877</v>
      </c>
      <c r="Q749" s="2" t="s">
        <v>4878</v>
      </c>
      <c r="R749" s="2" t="s">
        <v>464</v>
      </c>
      <c r="T749" s="2" t="s">
        <v>463</v>
      </c>
      <c r="U749" s="2" t="s">
        <v>464</v>
      </c>
      <c r="V749" s="2" t="s">
        <v>465</v>
      </c>
      <c r="W749" s="2" t="s">
        <v>6273</v>
      </c>
      <c r="X749" s="2" t="s">
        <v>2800</v>
      </c>
      <c r="Y749" s="2" t="s">
        <v>467</v>
      </c>
      <c r="Z749" s="2" t="s">
        <v>468</v>
      </c>
      <c r="AA749" s="2" t="s">
        <v>469</v>
      </c>
      <c r="AC749" s="2" t="s">
        <v>470</v>
      </c>
      <c r="AD749" s="2" t="s">
        <v>68</v>
      </c>
      <c r="AE749" s="2" t="s">
        <v>69</v>
      </c>
      <c r="AF749" s="2" t="s">
        <v>70</v>
      </c>
      <c r="AG749" s="2" t="s">
        <v>6274</v>
      </c>
      <c r="AK749" s="2" t="s">
        <v>6275</v>
      </c>
      <c r="AM749" s="2" t="s">
        <v>72</v>
      </c>
      <c r="AN749" s="2" t="s">
        <v>473</v>
      </c>
      <c r="AP749" s="2" t="s">
        <v>3758</v>
      </c>
      <c r="AU749" s="2" t="s">
        <v>75</v>
      </c>
      <c r="AV749" s="2" t="s">
        <v>475</v>
      </c>
      <c r="AW749" s="2" t="s">
        <v>476</v>
      </c>
      <c r="AX749" s="2" t="s">
        <v>477</v>
      </c>
      <c r="AZ749" s="2" t="s">
        <v>1256</v>
      </c>
    </row>
    <row r="750" spans="1:52" s="3" customFormat="1" x14ac:dyDescent="0.35">
      <c r="A750" s="2" t="s">
        <v>6276</v>
      </c>
      <c r="B750" s="4">
        <v>243399</v>
      </c>
      <c r="C750" s="2" t="s">
        <v>6277</v>
      </c>
      <c r="D750" s="2">
        <f t="shared" si="11"/>
        <v>2</v>
      </c>
      <c r="F750" s="2" t="s">
        <v>6174</v>
      </c>
      <c r="G750" s="2" t="s">
        <v>53</v>
      </c>
      <c r="H750" s="4">
        <v>4</v>
      </c>
      <c r="I750" s="4">
        <v>1</v>
      </c>
      <c r="J750" s="5">
        <v>118888</v>
      </c>
      <c r="L750" s="5">
        <v>511951.75</v>
      </c>
      <c r="M750" s="2" t="s">
        <v>55</v>
      </c>
      <c r="N750" s="2" t="s">
        <v>458</v>
      </c>
      <c r="O750" s="2" t="s">
        <v>459</v>
      </c>
      <c r="P750" s="2" t="s">
        <v>4709</v>
      </c>
      <c r="Q750" s="2" t="s">
        <v>4710</v>
      </c>
      <c r="R750" s="2" t="s">
        <v>6278</v>
      </c>
      <c r="T750" s="2" t="s">
        <v>3511</v>
      </c>
      <c r="U750" s="2" t="s">
        <v>3512</v>
      </c>
      <c r="V750" s="2" t="s">
        <v>6279</v>
      </c>
      <c r="W750" s="2" t="s">
        <v>6280</v>
      </c>
      <c r="X750" s="2" t="s">
        <v>3515</v>
      </c>
      <c r="Y750" s="2" t="s">
        <v>3516</v>
      </c>
      <c r="Z750" s="2" t="s">
        <v>3517</v>
      </c>
      <c r="AA750" s="2" t="s">
        <v>3518</v>
      </c>
      <c r="AB750" s="2" t="s">
        <v>3519</v>
      </c>
      <c r="AC750" s="2" t="s">
        <v>3520</v>
      </c>
      <c r="AD750" s="2" t="s">
        <v>3521</v>
      </c>
      <c r="AE750" s="2" t="s">
        <v>96</v>
      </c>
      <c r="AF750" s="2" t="s">
        <v>70</v>
      </c>
      <c r="AG750" s="2" t="s">
        <v>6281</v>
      </c>
      <c r="AK750" s="2" t="s">
        <v>6282</v>
      </c>
      <c r="AM750" s="2" t="s">
        <v>72</v>
      </c>
      <c r="AN750" s="2" t="s">
        <v>473</v>
      </c>
      <c r="AP750" s="2" t="s">
        <v>2563</v>
      </c>
      <c r="AT750" s="2" t="s">
        <v>6283</v>
      </c>
      <c r="AU750" s="2" t="s">
        <v>75</v>
      </c>
      <c r="AV750" s="2" t="s">
        <v>3524</v>
      </c>
      <c r="AW750" s="2" t="s">
        <v>3525</v>
      </c>
      <c r="AX750" s="2" t="s">
        <v>477</v>
      </c>
      <c r="AZ750" s="2" t="s">
        <v>478</v>
      </c>
    </row>
    <row r="751" spans="1:52" s="3" customFormat="1" x14ac:dyDescent="0.35">
      <c r="A751" s="2" t="s">
        <v>6276</v>
      </c>
      <c r="B751" s="4">
        <v>243399</v>
      </c>
      <c r="C751" s="2" t="s">
        <v>6277</v>
      </c>
      <c r="D751" s="2">
        <f t="shared" si="11"/>
        <v>2</v>
      </c>
      <c r="F751" s="2" t="s">
        <v>6174</v>
      </c>
      <c r="G751" s="2" t="s">
        <v>53</v>
      </c>
      <c r="H751" s="4">
        <v>11</v>
      </c>
      <c r="I751" s="4">
        <v>1</v>
      </c>
      <c r="J751" s="5">
        <v>180985.75</v>
      </c>
      <c r="L751" s="5">
        <v>511951.75</v>
      </c>
      <c r="M751" s="2" t="s">
        <v>55</v>
      </c>
      <c r="N751" s="2" t="s">
        <v>458</v>
      </c>
      <c r="O751" s="2" t="s">
        <v>459</v>
      </c>
      <c r="P751" s="2" t="s">
        <v>460</v>
      </c>
      <c r="Q751" s="2" t="s">
        <v>461</v>
      </c>
      <c r="R751" s="2" t="s">
        <v>6278</v>
      </c>
      <c r="T751" s="2" t="s">
        <v>3511</v>
      </c>
      <c r="U751" s="2" t="s">
        <v>3512</v>
      </c>
      <c r="V751" s="2" t="s">
        <v>6279</v>
      </c>
      <c r="W751" s="2" t="s">
        <v>6280</v>
      </c>
      <c r="X751" s="2" t="s">
        <v>3515</v>
      </c>
      <c r="Y751" s="2" t="s">
        <v>3516</v>
      </c>
      <c r="Z751" s="2" t="s">
        <v>3517</v>
      </c>
      <c r="AA751" s="2" t="s">
        <v>3518</v>
      </c>
      <c r="AB751" s="2" t="s">
        <v>3519</v>
      </c>
      <c r="AC751" s="2" t="s">
        <v>3520</v>
      </c>
      <c r="AD751" s="2" t="s">
        <v>3521</v>
      </c>
      <c r="AE751" s="2" t="s">
        <v>96</v>
      </c>
      <c r="AF751" s="2" t="s">
        <v>70</v>
      </c>
      <c r="AG751" s="2" t="s">
        <v>6281</v>
      </c>
      <c r="AK751" s="2" t="s">
        <v>6282</v>
      </c>
      <c r="AM751" s="2" t="s">
        <v>72</v>
      </c>
      <c r="AN751" s="2" t="s">
        <v>473</v>
      </c>
      <c r="AP751" s="2" t="s">
        <v>474</v>
      </c>
      <c r="AT751" s="2" t="s">
        <v>6283</v>
      </c>
      <c r="AU751" s="2" t="s">
        <v>75</v>
      </c>
      <c r="AV751" s="2" t="s">
        <v>3524</v>
      </c>
      <c r="AW751" s="2" t="s">
        <v>3525</v>
      </c>
      <c r="AX751" s="2" t="s">
        <v>477</v>
      </c>
      <c r="AZ751" s="2" t="s">
        <v>478</v>
      </c>
    </row>
    <row r="752" spans="1:52" s="3" customFormat="1" x14ac:dyDescent="0.35">
      <c r="A752" s="2" t="s">
        <v>6276</v>
      </c>
      <c r="B752" s="4">
        <v>243399</v>
      </c>
      <c r="C752" s="2" t="s">
        <v>6277</v>
      </c>
      <c r="D752" s="2">
        <f t="shared" si="11"/>
        <v>2</v>
      </c>
      <c r="F752" s="2" t="s">
        <v>6174</v>
      </c>
      <c r="G752" s="2" t="s">
        <v>53</v>
      </c>
      <c r="H752" s="4">
        <v>4</v>
      </c>
      <c r="I752" s="4">
        <v>1</v>
      </c>
      <c r="J752" s="5">
        <v>62000</v>
      </c>
      <c r="L752" s="5">
        <v>511951.75</v>
      </c>
      <c r="M752" s="2" t="s">
        <v>55</v>
      </c>
      <c r="N752" s="2" t="s">
        <v>458</v>
      </c>
      <c r="O752" s="2" t="s">
        <v>459</v>
      </c>
      <c r="P752" s="2" t="s">
        <v>1051</v>
      </c>
      <c r="Q752" s="2" t="s">
        <v>1052</v>
      </c>
      <c r="R752" s="2" t="s">
        <v>6278</v>
      </c>
      <c r="T752" s="2" t="s">
        <v>3511</v>
      </c>
      <c r="U752" s="2" t="s">
        <v>3512</v>
      </c>
      <c r="V752" s="2" t="s">
        <v>6279</v>
      </c>
      <c r="W752" s="2" t="s">
        <v>6280</v>
      </c>
      <c r="X752" s="2" t="s">
        <v>3515</v>
      </c>
      <c r="Y752" s="2" t="s">
        <v>3516</v>
      </c>
      <c r="Z752" s="2" t="s">
        <v>3517</v>
      </c>
      <c r="AA752" s="2" t="s">
        <v>3518</v>
      </c>
      <c r="AB752" s="2" t="s">
        <v>3519</v>
      </c>
      <c r="AC752" s="2" t="s">
        <v>3520</v>
      </c>
      <c r="AD752" s="2" t="s">
        <v>3521</v>
      </c>
      <c r="AE752" s="2" t="s">
        <v>96</v>
      </c>
      <c r="AF752" s="2" t="s">
        <v>70</v>
      </c>
      <c r="AG752" s="2" t="s">
        <v>6281</v>
      </c>
      <c r="AK752" s="2" t="s">
        <v>6282</v>
      </c>
      <c r="AM752" s="2" t="s">
        <v>72</v>
      </c>
      <c r="AN752" s="2" t="s">
        <v>473</v>
      </c>
      <c r="AP752" s="2" t="s">
        <v>1058</v>
      </c>
      <c r="AT752" s="2" t="s">
        <v>6283</v>
      </c>
      <c r="AU752" s="2" t="s">
        <v>75</v>
      </c>
      <c r="AV752" s="2" t="s">
        <v>3524</v>
      </c>
      <c r="AW752" s="2" t="s">
        <v>3525</v>
      </c>
      <c r="AX752" s="2" t="s">
        <v>477</v>
      </c>
      <c r="AZ752" s="2" t="s">
        <v>478</v>
      </c>
    </row>
    <row r="753" spans="1:52" s="3" customFormat="1" x14ac:dyDescent="0.35">
      <c r="A753" s="2" t="s">
        <v>6276</v>
      </c>
      <c r="B753" s="4">
        <v>243399</v>
      </c>
      <c r="C753" s="2" t="s">
        <v>6277</v>
      </c>
      <c r="D753" s="2">
        <f t="shared" si="11"/>
        <v>2</v>
      </c>
      <c r="F753" s="2" t="s">
        <v>6174</v>
      </c>
      <c r="G753" s="2" t="s">
        <v>53</v>
      </c>
      <c r="H753" s="4">
        <v>5</v>
      </c>
      <c r="I753" s="4">
        <v>1</v>
      </c>
      <c r="J753" s="5">
        <v>77500</v>
      </c>
      <c r="L753" s="5">
        <v>511951.75</v>
      </c>
      <c r="M753" s="2" t="s">
        <v>55</v>
      </c>
      <c r="N753" s="2" t="s">
        <v>458</v>
      </c>
      <c r="O753" s="2" t="s">
        <v>459</v>
      </c>
      <c r="P753" s="2" t="s">
        <v>6284</v>
      </c>
      <c r="Q753" s="2" t="s">
        <v>6285</v>
      </c>
      <c r="R753" s="2" t="s">
        <v>6278</v>
      </c>
      <c r="T753" s="2" t="s">
        <v>3511</v>
      </c>
      <c r="U753" s="2" t="s">
        <v>3512</v>
      </c>
      <c r="V753" s="2" t="s">
        <v>6279</v>
      </c>
      <c r="W753" s="2" t="s">
        <v>6280</v>
      </c>
      <c r="X753" s="2" t="s">
        <v>3515</v>
      </c>
      <c r="Y753" s="2" t="s">
        <v>3516</v>
      </c>
      <c r="Z753" s="2" t="s">
        <v>3517</v>
      </c>
      <c r="AA753" s="2" t="s">
        <v>3518</v>
      </c>
      <c r="AB753" s="2" t="s">
        <v>3519</v>
      </c>
      <c r="AC753" s="2" t="s">
        <v>3520</v>
      </c>
      <c r="AD753" s="2" t="s">
        <v>3521</v>
      </c>
      <c r="AE753" s="2" t="s">
        <v>96</v>
      </c>
      <c r="AF753" s="2" t="s">
        <v>70</v>
      </c>
      <c r="AG753" s="2" t="s">
        <v>6281</v>
      </c>
      <c r="AK753" s="2" t="s">
        <v>6282</v>
      </c>
      <c r="AM753" s="2" t="s">
        <v>72</v>
      </c>
      <c r="AN753" s="2" t="s">
        <v>473</v>
      </c>
      <c r="AP753" s="2" t="s">
        <v>6286</v>
      </c>
      <c r="AT753" s="2" t="s">
        <v>6283</v>
      </c>
      <c r="AU753" s="2" t="s">
        <v>75</v>
      </c>
      <c r="AV753" s="2" t="s">
        <v>3524</v>
      </c>
      <c r="AW753" s="2" t="s">
        <v>3525</v>
      </c>
      <c r="AX753" s="2" t="s">
        <v>477</v>
      </c>
      <c r="AZ753" s="2" t="s">
        <v>478</v>
      </c>
    </row>
    <row r="754" spans="1:52" s="3" customFormat="1" x14ac:dyDescent="0.35">
      <c r="A754" s="2" t="s">
        <v>6276</v>
      </c>
      <c r="B754" s="4">
        <v>243399</v>
      </c>
      <c r="C754" s="2" t="s">
        <v>6277</v>
      </c>
      <c r="D754" s="2">
        <f t="shared" si="11"/>
        <v>2</v>
      </c>
      <c r="F754" s="2" t="s">
        <v>6174</v>
      </c>
      <c r="G754" s="2" t="s">
        <v>53</v>
      </c>
      <c r="H754" s="4">
        <v>5</v>
      </c>
      <c r="I754" s="4">
        <v>1</v>
      </c>
      <c r="J754" s="5">
        <v>77500</v>
      </c>
      <c r="L754" s="5">
        <v>511951.75</v>
      </c>
      <c r="M754" s="2" t="s">
        <v>55</v>
      </c>
      <c r="N754" s="2" t="s">
        <v>458</v>
      </c>
      <c r="O754" s="2" t="s">
        <v>459</v>
      </c>
      <c r="P754" s="2" t="s">
        <v>6287</v>
      </c>
      <c r="Q754" s="2" t="s">
        <v>6288</v>
      </c>
      <c r="R754" s="2" t="s">
        <v>6278</v>
      </c>
      <c r="T754" s="2" t="s">
        <v>3511</v>
      </c>
      <c r="U754" s="2" t="s">
        <v>3512</v>
      </c>
      <c r="V754" s="2" t="s">
        <v>6279</v>
      </c>
      <c r="W754" s="2" t="s">
        <v>6280</v>
      </c>
      <c r="X754" s="2" t="s">
        <v>3515</v>
      </c>
      <c r="Y754" s="2" t="s">
        <v>3516</v>
      </c>
      <c r="Z754" s="2" t="s">
        <v>3517</v>
      </c>
      <c r="AA754" s="2" t="s">
        <v>3518</v>
      </c>
      <c r="AB754" s="2" t="s">
        <v>3519</v>
      </c>
      <c r="AC754" s="2" t="s">
        <v>3520</v>
      </c>
      <c r="AD754" s="2" t="s">
        <v>3521</v>
      </c>
      <c r="AE754" s="2" t="s">
        <v>96</v>
      </c>
      <c r="AF754" s="2" t="s">
        <v>70</v>
      </c>
      <c r="AG754" s="2" t="s">
        <v>6281</v>
      </c>
      <c r="AK754" s="2" t="s">
        <v>6282</v>
      </c>
      <c r="AM754" s="2" t="s">
        <v>72</v>
      </c>
      <c r="AN754" s="2" t="s">
        <v>473</v>
      </c>
      <c r="AP754" s="2" t="s">
        <v>6289</v>
      </c>
      <c r="AT754" s="2" t="s">
        <v>6283</v>
      </c>
      <c r="AU754" s="2" t="s">
        <v>75</v>
      </c>
      <c r="AV754" s="2" t="s">
        <v>3524</v>
      </c>
      <c r="AW754" s="2" t="s">
        <v>3525</v>
      </c>
      <c r="AX754" s="2" t="s">
        <v>477</v>
      </c>
      <c r="AZ754" s="2" t="s">
        <v>478</v>
      </c>
    </row>
    <row r="755" spans="1:52" s="3" customFormat="1" x14ac:dyDescent="0.35">
      <c r="A755" s="2" t="s">
        <v>6276</v>
      </c>
      <c r="B755" s="4">
        <v>243399</v>
      </c>
      <c r="C755" s="2" t="s">
        <v>6277</v>
      </c>
      <c r="D755" s="2">
        <f t="shared" si="11"/>
        <v>2</v>
      </c>
      <c r="F755" s="2" t="s">
        <v>6174</v>
      </c>
      <c r="G755" s="2" t="s">
        <v>53</v>
      </c>
      <c r="H755" s="4">
        <v>2</v>
      </c>
      <c r="I755" s="4">
        <v>1</v>
      </c>
      <c r="J755" s="5">
        <v>18000</v>
      </c>
      <c r="L755" s="5">
        <v>511951.75</v>
      </c>
      <c r="M755" s="2" t="s">
        <v>55</v>
      </c>
      <c r="N755" s="2" t="s">
        <v>458</v>
      </c>
      <c r="O755" s="2" t="s">
        <v>459</v>
      </c>
      <c r="P755" s="2" t="s">
        <v>6290</v>
      </c>
      <c r="Q755" s="2" t="s">
        <v>6291</v>
      </c>
      <c r="R755" s="2" t="s">
        <v>6278</v>
      </c>
      <c r="T755" s="2" t="s">
        <v>3511</v>
      </c>
      <c r="U755" s="2" t="s">
        <v>3512</v>
      </c>
      <c r="V755" s="2" t="s">
        <v>6279</v>
      </c>
      <c r="W755" s="2" t="s">
        <v>6280</v>
      </c>
      <c r="X755" s="2" t="s">
        <v>3515</v>
      </c>
      <c r="Y755" s="2" t="s">
        <v>3516</v>
      </c>
      <c r="Z755" s="2" t="s">
        <v>3517</v>
      </c>
      <c r="AA755" s="2" t="s">
        <v>3518</v>
      </c>
      <c r="AB755" s="2" t="s">
        <v>3519</v>
      </c>
      <c r="AC755" s="2" t="s">
        <v>3520</v>
      </c>
      <c r="AD755" s="2" t="s">
        <v>3521</v>
      </c>
      <c r="AE755" s="2" t="s">
        <v>96</v>
      </c>
      <c r="AF755" s="2" t="s">
        <v>70</v>
      </c>
      <c r="AG755" s="2" t="s">
        <v>6281</v>
      </c>
      <c r="AK755" s="2" t="s">
        <v>6282</v>
      </c>
      <c r="AM755" s="2" t="s">
        <v>72</v>
      </c>
      <c r="AN755" s="2" t="s">
        <v>473</v>
      </c>
      <c r="AP755" s="2" t="s">
        <v>6292</v>
      </c>
      <c r="AT755" s="2" t="s">
        <v>6283</v>
      </c>
      <c r="AU755" s="2" t="s">
        <v>75</v>
      </c>
      <c r="AV755" s="2" t="s">
        <v>3524</v>
      </c>
      <c r="AW755" s="2" t="s">
        <v>3525</v>
      </c>
      <c r="AX755" s="2" t="s">
        <v>477</v>
      </c>
      <c r="AZ755" s="2" t="s">
        <v>478</v>
      </c>
    </row>
    <row r="756" spans="1:52" s="3" customFormat="1" x14ac:dyDescent="0.35">
      <c r="A756" s="2" t="s">
        <v>6276</v>
      </c>
      <c r="B756" s="4">
        <v>243399</v>
      </c>
      <c r="C756" s="2" t="s">
        <v>6277</v>
      </c>
      <c r="D756" s="2">
        <f t="shared" si="11"/>
        <v>2</v>
      </c>
      <c r="F756" s="2" t="s">
        <v>6174</v>
      </c>
      <c r="G756" s="2" t="s">
        <v>53</v>
      </c>
      <c r="H756" s="4">
        <v>1</v>
      </c>
      <c r="I756" s="4">
        <v>1</v>
      </c>
      <c r="J756" s="5">
        <v>29722</v>
      </c>
      <c r="L756" s="5">
        <v>511951.75</v>
      </c>
      <c r="M756" s="2" t="s">
        <v>55</v>
      </c>
      <c r="N756" s="2" t="s">
        <v>458</v>
      </c>
      <c r="O756" s="2" t="s">
        <v>459</v>
      </c>
      <c r="P756" s="2" t="s">
        <v>4703</v>
      </c>
      <c r="Q756" s="2" t="s">
        <v>4704</v>
      </c>
      <c r="R756" s="2" t="s">
        <v>6278</v>
      </c>
      <c r="T756" s="2" t="s">
        <v>3511</v>
      </c>
      <c r="U756" s="2" t="s">
        <v>3512</v>
      </c>
      <c r="V756" s="2" t="s">
        <v>6279</v>
      </c>
      <c r="W756" s="2" t="s">
        <v>6280</v>
      </c>
      <c r="X756" s="2" t="s">
        <v>3515</v>
      </c>
      <c r="Y756" s="2" t="s">
        <v>3516</v>
      </c>
      <c r="Z756" s="2" t="s">
        <v>3517</v>
      </c>
      <c r="AA756" s="2" t="s">
        <v>3518</v>
      </c>
      <c r="AB756" s="2" t="s">
        <v>3519</v>
      </c>
      <c r="AC756" s="2" t="s">
        <v>3520</v>
      </c>
      <c r="AD756" s="2" t="s">
        <v>3521</v>
      </c>
      <c r="AE756" s="2" t="s">
        <v>96</v>
      </c>
      <c r="AF756" s="2" t="s">
        <v>70</v>
      </c>
      <c r="AG756" s="2" t="s">
        <v>6281</v>
      </c>
      <c r="AK756" s="2" t="s">
        <v>6282</v>
      </c>
      <c r="AM756" s="2" t="s">
        <v>72</v>
      </c>
      <c r="AN756" s="2" t="s">
        <v>473</v>
      </c>
      <c r="AP756" s="2" t="s">
        <v>4706</v>
      </c>
      <c r="AT756" s="2" t="s">
        <v>6283</v>
      </c>
      <c r="AU756" s="2" t="s">
        <v>75</v>
      </c>
      <c r="AV756" s="2" t="s">
        <v>3524</v>
      </c>
      <c r="AW756" s="2" t="s">
        <v>3525</v>
      </c>
      <c r="AX756" s="2" t="s">
        <v>477</v>
      </c>
      <c r="AZ756" s="2" t="s">
        <v>478</v>
      </c>
    </row>
    <row r="757" spans="1:52" s="3" customFormat="1" x14ac:dyDescent="0.35">
      <c r="A757" s="2" t="s">
        <v>6293</v>
      </c>
      <c r="B757" s="4">
        <v>243394</v>
      </c>
      <c r="C757" s="2" t="s">
        <v>6294</v>
      </c>
      <c r="D757" s="2">
        <f t="shared" si="11"/>
        <v>2</v>
      </c>
      <c r="F757" s="2" t="s">
        <v>6174</v>
      </c>
      <c r="G757" s="2" t="s">
        <v>53</v>
      </c>
      <c r="H757" s="4">
        <v>2</v>
      </c>
      <c r="I757" s="4">
        <v>1</v>
      </c>
      <c r="J757" s="5">
        <v>56000</v>
      </c>
      <c r="K757" s="2" t="s">
        <v>1252</v>
      </c>
      <c r="L757" s="5">
        <v>52556</v>
      </c>
      <c r="M757" s="2" t="s">
        <v>55</v>
      </c>
      <c r="N757" s="2" t="s">
        <v>1253</v>
      </c>
      <c r="O757" s="2" t="s">
        <v>1254</v>
      </c>
      <c r="P757" s="2" t="s">
        <v>4703</v>
      </c>
      <c r="Q757" s="2" t="s">
        <v>4704</v>
      </c>
      <c r="R757" s="2" t="s">
        <v>6278</v>
      </c>
      <c r="T757" s="2" t="s">
        <v>6295</v>
      </c>
      <c r="U757" s="2" t="s">
        <v>6296</v>
      </c>
      <c r="V757" s="2" t="s">
        <v>6279</v>
      </c>
      <c r="W757" s="2" t="s">
        <v>6280</v>
      </c>
      <c r="X757" s="2" t="s">
        <v>6297</v>
      </c>
      <c r="Y757" s="2" t="s">
        <v>6298</v>
      </c>
      <c r="Z757" s="2" t="s">
        <v>6299</v>
      </c>
      <c r="AA757" s="2" t="s">
        <v>6300</v>
      </c>
      <c r="AB757" s="2" t="s">
        <v>6301</v>
      </c>
      <c r="AC757" s="2" t="s">
        <v>6302</v>
      </c>
      <c r="AD757" s="2" t="s">
        <v>3521</v>
      </c>
      <c r="AE757" s="2" t="s">
        <v>96</v>
      </c>
      <c r="AF757" s="2" t="s">
        <v>70</v>
      </c>
      <c r="AG757" s="2" t="s">
        <v>6303</v>
      </c>
      <c r="AK757" s="2" t="s">
        <v>6304</v>
      </c>
      <c r="AM757" s="2" t="s">
        <v>72</v>
      </c>
      <c r="AN757" s="2" t="s">
        <v>473</v>
      </c>
      <c r="AP757" s="2" t="s">
        <v>4706</v>
      </c>
      <c r="AT757" s="2" t="s">
        <v>114</v>
      </c>
      <c r="AU757" s="2" t="s">
        <v>75</v>
      </c>
      <c r="AV757" s="2" t="s">
        <v>6305</v>
      </c>
      <c r="AW757" s="2" t="s">
        <v>6306</v>
      </c>
      <c r="AX757" s="2" t="s">
        <v>477</v>
      </c>
      <c r="AZ757" s="2" t="s">
        <v>478</v>
      </c>
    </row>
    <row r="758" spans="1:52" s="3" customFormat="1" x14ac:dyDescent="0.35">
      <c r="A758" s="2" t="s">
        <v>6307</v>
      </c>
      <c r="B758" s="4">
        <v>242046</v>
      </c>
      <c r="C758" s="2" t="s">
        <v>6308</v>
      </c>
      <c r="D758" s="2">
        <f t="shared" si="11"/>
        <v>2</v>
      </c>
      <c r="F758" s="2" t="s">
        <v>6174</v>
      </c>
      <c r="G758" s="2" t="s">
        <v>53</v>
      </c>
      <c r="H758" s="4">
        <v>5</v>
      </c>
      <c r="I758" s="4">
        <v>12</v>
      </c>
      <c r="J758" s="5">
        <v>174999.96</v>
      </c>
      <c r="K758" s="2" t="s">
        <v>80</v>
      </c>
      <c r="L758" s="5">
        <v>174999.96</v>
      </c>
      <c r="M758" s="2" t="s">
        <v>6309</v>
      </c>
      <c r="N758" s="2" t="s">
        <v>82</v>
      </c>
      <c r="O758" s="2" t="s">
        <v>3308</v>
      </c>
      <c r="P758" s="2" t="s">
        <v>3075</v>
      </c>
      <c r="Q758" s="2" t="s">
        <v>3076</v>
      </c>
      <c r="R758" s="2" t="s">
        <v>6310</v>
      </c>
      <c r="S758" s="2" t="s">
        <v>6311</v>
      </c>
      <c r="T758" s="2" t="s">
        <v>6312</v>
      </c>
      <c r="U758" s="2" t="s">
        <v>6313</v>
      </c>
      <c r="V758" s="2" t="s">
        <v>6314</v>
      </c>
      <c r="W758" s="2" t="s">
        <v>6315</v>
      </c>
      <c r="X758" s="2" t="s">
        <v>6316</v>
      </c>
      <c r="Y758" s="2" t="s">
        <v>6317</v>
      </c>
      <c r="Z758" s="2" t="s">
        <v>6318</v>
      </c>
      <c r="AA758" s="2" t="s">
        <v>54</v>
      </c>
      <c r="AB758" s="2" t="s">
        <v>6319</v>
      </c>
      <c r="AC758" s="2" t="s">
        <v>4531</v>
      </c>
      <c r="AD758" s="2" t="s">
        <v>3714</v>
      </c>
      <c r="AE758" s="2" t="s">
        <v>3425</v>
      </c>
      <c r="AF758" s="2" t="s">
        <v>97</v>
      </c>
      <c r="AG758" s="2" t="s">
        <v>3075</v>
      </c>
      <c r="AK758" s="2" t="s">
        <v>6320</v>
      </c>
      <c r="AL758" s="2" t="s">
        <v>4485</v>
      </c>
      <c r="AM758" s="2" t="s">
        <v>72</v>
      </c>
      <c r="AN758" s="2" t="s">
        <v>73</v>
      </c>
      <c r="AP758" s="2" t="s">
        <v>3088</v>
      </c>
      <c r="AS758" s="2" t="s">
        <v>6321</v>
      </c>
      <c r="AT758" s="2" t="s">
        <v>102</v>
      </c>
      <c r="AU758" s="2" t="s">
        <v>75</v>
      </c>
      <c r="AV758" s="2" t="s">
        <v>6174</v>
      </c>
      <c r="AW758" s="2" t="s">
        <v>6322</v>
      </c>
      <c r="AX758" s="2" t="s">
        <v>4670</v>
      </c>
      <c r="AZ758" s="2" t="s">
        <v>77</v>
      </c>
    </row>
    <row r="759" spans="1:52" s="3" customFormat="1" x14ac:dyDescent="0.35">
      <c r="A759" s="2" t="s">
        <v>6323</v>
      </c>
      <c r="B759" s="4">
        <v>243324</v>
      </c>
      <c r="C759" s="2" t="s">
        <v>6324</v>
      </c>
      <c r="D759" s="2">
        <f t="shared" si="11"/>
        <v>2</v>
      </c>
      <c r="F759" s="2" t="s">
        <v>6174</v>
      </c>
      <c r="G759" s="2" t="s">
        <v>53</v>
      </c>
      <c r="H759" s="4">
        <v>13</v>
      </c>
      <c r="I759" s="4">
        <v>1</v>
      </c>
      <c r="J759" s="5">
        <v>37700</v>
      </c>
      <c r="L759" s="5">
        <v>34137.35</v>
      </c>
      <c r="M759" s="2" t="s">
        <v>55</v>
      </c>
      <c r="N759" s="2" t="s">
        <v>458</v>
      </c>
      <c r="O759" s="2" t="s">
        <v>459</v>
      </c>
      <c r="P759" s="2" t="s">
        <v>6325</v>
      </c>
      <c r="Q759" s="2" t="s">
        <v>6326</v>
      </c>
      <c r="R759" s="2" t="s">
        <v>6327</v>
      </c>
      <c r="T759" s="2" t="s">
        <v>6328</v>
      </c>
      <c r="U759" s="2" t="s">
        <v>3359</v>
      </c>
      <c r="V759" s="2" t="s">
        <v>6329</v>
      </c>
      <c r="W759" s="2" t="s">
        <v>6330</v>
      </c>
      <c r="X759" s="2" t="s">
        <v>6330</v>
      </c>
      <c r="Y759" s="2" t="s">
        <v>6331</v>
      </c>
      <c r="Z759" s="2" t="s">
        <v>6332</v>
      </c>
      <c r="AA759" s="2" t="s">
        <v>6333</v>
      </c>
      <c r="AB759" s="2" t="s">
        <v>6334</v>
      </c>
      <c r="AC759" s="2" t="s">
        <v>2842</v>
      </c>
      <c r="AD759" s="2" t="s">
        <v>1402</v>
      </c>
      <c r="AE759" s="2" t="s">
        <v>1403</v>
      </c>
      <c r="AF759" s="2" t="s">
        <v>70</v>
      </c>
      <c r="AG759" s="2" t="s">
        <v>6335</v>
      </c>
      <c r="AK759" s="2" t="s">
        <v>6336</v>
      </c>
      <c r="AM759" s="2" t="s">
        <v>72</v>
      </c>
      <c r="AN759" s="2" t="s">
        <v>473</v>
      </c>
      <c r="AP759" s="2" t="s">
        <v>5757</v>
      </c>
      <c r="AU759" s="2" t="s">
        <v>75</v>
      </c>
      <c r="AV759" s="2" t="s">
        <v>6148</v>
      </c>
      <c r="AW759" s="2" t="s">
        <v>6337</v>
      </c>
      <c r="AX759" s="2" t="s">
        <v>477</v>
      </c>
      <c r="AZ759" s="2" t="s">
        <v>1256</v>
      </c>
    </row>
    <row r="760" spans="1:52" s="3" customFormat="1" x14ac:dyDescent="0.35">
      <c r="A760" s="2" t="s">
        <v>6323</v>
      </c>
      <c r="B760" s="4">
        <v>243324</v>
      </c>
      <c r="C760" s="2" t="s">
        <v>6324</v>
      </c>
      <c r="D760" s="2">
        <f t="shared" si="11"/>
        <v>2</v>
      </c>
      <c r="F760" s="2" t="s">
        <v>6174</v>
      </c>
      <c r="G760" s="2" t="s">
        <v>53</v>
      </c>
      <c r="H760" s="4">
        <v>13</v>
      </c>
      <c r="I760" s="4">
        <v>1</v>
      </c>
      <c r="J760" s="5">
        <v>37700</v>
      </c>
      <c r="L760" s="5">
        <v>34137.35</v>
      </c>
      <c r="M760" s="2" t="s">
        <v>55</v>
      </c>
      <c r="N760" s="2" t="s">
        <v>458</v>
      </c>
      <c r="O760" s="2" t="s">
        <v>459</v>
      </c>
      <c r="P760" s="2" t="s">
        <v>6325</v>
      </c>
      <c r="Q760" s="2" t="s">
        <v>6326</v>
      </c>
      <c r="R760" s="2" t="s">
        <v>6327</v>
      </c>
      <c r="T760" s="2" t="s">
        <v>6328</v>
      </c>
      <c r="U760" s="2" t="s">
        <v>3359</v>
      </c>
      <c r="V760" s="2" t="s">
        <v>6329</v>
      </c>
      <c r="W760" s="2" t="s">
        <v>6330</v>
      </c>
      <c r="X760" s="2" t="s">
        <v>6330</v>
      </c>
      <c r="Y760" s="2" t="s">
        <v>6331</v>
      </c>
      <c r="Z760" s="2" t="s">
        <v>6332</v>
      </c>
      <c r="AA760" s="2" t="s">
        <v>6333</v>
      </c>
      <c r="AB760" s="2" t="s">
        <v>6334</v>
      </c>
      <c r="AC760" s="2" t="s">
        <v>2842</v>
      </c>
      <c r="AD760" s="2" t="s">
        <v>1402</v>
      </c>
      <c r="AE760" s="2" t="s">
        <v>1403</v>
      </c>
      <c r="AF760" s="2" t="s">
        <v>70</v>
      </c>
      <c r="AG760" s="2" t="s">
        <v>6335</v>
      </c>
      <c r="AK760" s="2" t="s">
        <v>6336</v>
      </c>
      <c r="AM760" s="2" t="s">
        <v>72</v>
      </c>
      <c r="AN760" s="2" t="s">
        <v>473</v>
      </c>
      <c r="AP760" s="2" t="s">
        <v>5757</v>
      </c>
      <c r="AU760" s="2" t="s">
        <v>75</v>
      </c>
      <c r="AV760" s="2" t="s">
        <v>6148</v>
      </c>
      <c r="AW760" s="2" t="s">
        <v>6337</v>
      </c>
      <c r="AX760" s="2" t="s">
        <v>477</v>
      </c>
      <c r="AZ760" s="2" t="s">
        <v>1256</v>
      </c>
    </row>
    <row r="761" spans="1:52" s="3" customFormat="1" x14ac:dyDescent="0.35">
      <c r="A761" s="2" t="s">
        <v>6338</v>
      </c>
      <c r="B761" s="4">
        <v>243313</v>
      </c>
      <c r="C761" s="2" t="s">
        <v>6339</v>
      </c>
      <c r="D761" s="2">
        <f t="shared" si="11"/>
        <v>2</v>
      </c>
      <c r="F761" s="2" t="s">
        <v>6174</v>
      </c>
      <c r="G761" s="2" t="s">
        <v>53</v>
      </c>
      <c r="H761" s="4">
        <v>1</v>
      </c>
      <c r="I761" s="4">
        <v>1</v>
      </c>
      <c r="J761" s="5">
        <v>37500</v>
      </c>
      <c r="L761" s="5">
        <v>175968.75</v>
      </c>
      <c r="M761" s="2" t="s">
        <v>55</v>
      </c>
      <c r="N761" s="2" t="s">
        <v>458</v>
      </c>
      <c r="O761" s="2" t="s">
        <v>459</v>
      </c>
      <c r="P761" s="2" t="s">
        <v>6340</v>
      </c>
      <c r="Q761" s="2" t="s">
        <v>6341</v>
      </c>
      <c r="R761" s="2" t="s">
        <v>6342</v>
      </c>
      <c r="T761" s="2" t="s">
        <v>6343</v>
      </c>
      <c r="U761" s="2" t="s">
        <v>6344</v>
      </c>
      <c r="V761" s="2" t="s">
        <v>6345</v>
      </c>
      <c r="W761" s="2" t="s">
        <v>6346</v>
      </c>
      <c r="X761" s="2" t="s">
        <v>6347</v>
      </c>
      <c r="Y761" s="2" t="s">
        <v>6348</v>
      </c>
      <c r="Z761" s="2" t="s">
        <v>6349</v>
      </c>
      <c r="AA761" s="2" t="s">
        <v>1624</v>
      </c>
      <c r="AB761" s="2" t="s">
        <v>6350</v>
      </c>
      <c r="AC761" s="2" t="s">
        <v>3365</v>
      </c>
      <c r="AD761" s="2" t="s">
        <v>3140</v>
      </c>
      <c r="AE761" s="2" t="s">
        <v>3141</v>
      </c>
      <c r="AF761" s="2" t="s">
        <v>70</v>
      </c>
      <c r="AG761" s="2" t="s">
        <v>6351</v>
      </c>
      <c r="AK761" s="2" t="s">
        <v>6352</v>
      </c>
      <c r="AM761" s="2" t="s">
        <v>72</v>
      </c>
      <c r="AN761" s="2" t="s">
        <v>232</v>
      </c>
      <c r="AP761" s="2" t="s">
        <v>2705</v>
      </c>
      <c r="AU761" s="2" t="s">
        <v>75</v>
      </c>
      <c r="AV761" s="2" t="s">
        <v>6353</v>
      </c>
      <c r="AW761" s="2" t="s">
        <v>6354</v>
      </c>
      <c r="AX761" s="2" t="s">
        <v>477</v>
      </c>
      <c r="AZ761" s="2" t="s">
        <v>4750</v>
      </c>
    </row>
    <row r="762" spans="1:52" s="3" customFormat="1" x14ac:dyDescent="0.35">
      <c r="A762" s="2" t="s">
        <v>6338</v>
      </c>
      <c r="B762" s="4">
        <v>243313</v>
      </c>
      <c r="C762" s="2" t="s">
        <v>6339</v>
      </c>
      <c r="D762" s="2">
        <f t="shared" si="11"/>
        <v>2</v>
      </c>
      <c r="F762" s="2" t="s">
        <v>6174</v>
      </c>
      <c r="G762" s="2" t="s">
        <v>53</v>
      </c>
      <c r="H762" s="4">
        <v>1</v>
      </c>
      <c r="I762" s="4">
        <v>1</v>
      </c>
      <c r="J762" s="5">
        <v>12500</v>
      </c>
      <c r="L762" s="5">
        <v>175968.75</v>
      </c>
      <c r="M762" s="2" t="s">
        <v>55</v>
      </c>
      <c r="N762" s="2" t="s">
        <v>458</v>
      </c>
      <c r="O762" s="2" t="s">
        <v>459</v>
      </c>
      <c r="P762" s="2" t="s">
        <v>6340</v>
      </c>
      <c r="Q762" s="2" t="s">
        <v>6355</v>
      </c>
      <c r="R762" s="2" t="s">
        <v>6342</v>
      </c>
      <c r="T762" s="2" t="s">
        <v>6343</v>
      </c>
      <c r="U762" s="2" t="s">
        <v>6344</v>
      </c>
      <c r="V762" s="2" t="s">
        <v>6345</v>
      </c>
      <c r="W762" s="2" t="s">
        <v>6346</v>
      </c>
      <c r="X762" s="2" t="s">
        <v>6347</v>
      </c>
      <c r="Y762" s="2" t="s">
        <v>6348</v>
      </c>
      <c r="Z762" s="2" t="s">
        <v>6349</v>
      </c>
      <c r="AA762" s="2" t="s">
        <v>1624</v>
      </c>
      <c r="AB762" s="2" t="s">
        <v>6350</v>
      </c>
      <c r="AC762" s="2" t="s">
        <v>3365</v>
      </c>
      <c r="AD762" s="2" t="s">
        <v>3140</v>
      </c>
      <c r="AE762" s="2" t="s">
        <v>3141</v>
      </c>
      <c r="AF762" s="2" t="s">
        <v>70</v>
      </c>
      <c r="AG762" s="2" t="s">
        <v>6351</v>
      </c>
      <c r="AK762" s="2" t="s">
        <v>6352</v>
      </c>
      <c r="AM762" s="2" t="s">
        <v>72</v>
      </c>
      <c r="AN762" s="2" t="s">
        <v>232</v>
      </c>
      <c r="AP762" s="2" t="s">
        <v>2705</v>
      </c>
      <c r="AU762" s="2" t="s">
        <v>75</v>
      </c>
      <c r="AV762" s="2" t="s">
        <v>6353</v>
      </c>
      <c r="AW762" s="2" t="s">
        <v>6354</v>
      </c>
      <c r="AX762" s="2" t="s">
        <v>477</v>
      </c>
      <c r="AZ762" s="2" t="s">
        <v>4750</v>
      </c>
    </row>
    <row r="763" spans="1:52" s="3" customFormat="1" x14ac:dyDescent="0.35">
      <c r="A763" s="2" t="s">
        <v>6338</v>
      </c>
      <c r="B763" s="4">
        <v>243313</v>
      </c>
      <c r="C763" s="2" t="s">
        <v>6339</v>
      </c>
      <c r="D763" s="2">
        <f t="shared" si="11"/>
        <v>2</v>
      </c>
      <c r="F763" s="2" t="s">
        <v>6174</v>
      </c>
      <c r="G763" s="2" t="s">
        <v>53</v>
      </c>
      <c r="H763" s="4">
        <v>1</v>
      </c>
      <c r="I763" s="4">
        <v>1</v>
      </c>
      <c r="J763" s="5">
        <v>25000</v>
      </c>
      <c r="L763" s="5">
        <v>175968.75</v>
      </c>
      <c r="M763" s="2" t="s">
        <v>55</v>
      </c>
      <c r="N763" s="2" t="s">
        <v>458</v>
      </c>
      <c r="O763" s="2" t="s">
        <v>459</v>
      </c>
      <c r="P763" s="2" t="s">
        <v>6340</v>
      </c>
      <c r="Q763" s="2" t="s">
        <v>6356</v>
      </c>
      <c r="R763" s="2" t="s">
        <v>6342</v>
      </c>
      <c r="T763" s="2" t="s">
        <v>6343</v>
      </c>
      <c r="U763" s="2" t="s">
        <v>6344</v>
      </c>
      <c r="V763" s="2" t="s">
        <v>6345</v>
      </c>
      <c r="W763" s="2" t="s">
        <v>6346</v>
      </c>
      <c r="X763" s="2" t="s">
        <v>6347</v>
      </c>
      <c r="Y763" s="2" t="s">
        <v>6348</v>
      </c>
      <c r="Z763" s="2" t="s">
        <v>6349</v>
      </c>
      <c r="AA763" s="2" t="s">
        <v>1624</v>
      </c>
      <c r="AB763" s="2" t="s">
        <v>6350</v>
      </c>
      <c r="AC763" s="2" t="s">
        <v>3365</v>
      </c>
      <c r="AD763" s="2" t="s">
        <v>3140</v>
      </c>
      <c r="AE763" s="2" t="s">
        <v>3141</v>
      </c>
      <c r="AF763" s="2" t="s">
        <v>70</v>
      </c>
      <c r="AG763" s="2" t="s">
        <v>6351</v>
      </c>
      <c r="AK763" s="2" t="s">
        <v>6352</v>
      </c>
      <c r="AM763" s="2" t="s">
        <v>72</v>
      </c>
      <c r="AN763" s="2" t="s">
        <v>232</v>
      </c>
      <c r="AP763" s="2" t="s">
        <v>2705</v>
      </c>
      <c r="AU763" s="2" t="s">
        <v>75</v>
      </c>
      <c r="AV763" s="2" t="s">
        <v>6353</v>
      </c>
      <c r="AW763" s="2" t="s">
        <v>6354</v>
      </c>
      <c r="AX763" s="2" t="s">
        <v>477</v>
      </c>
      <c r="AZ763" s="2" t="s">
        <v>4750</v>
      </c>
    </row>
    <row r="764" spans="1:52" s="3" customFormat="1" x14ac:dyDescent="0.35">
      <c r="A764" s="2" t="s">
        <v>6338</v>
      </c>
      <c r="B764" s="4">
        <v>243313</v>
      </c>
      <c r="C764" s="2" t="s">
        <v>6339</v>
      </c>
      <c r="D764" s="2">
        <f t="shared" si="11"/>
        <v>2</v>
      </c>
      <c r="F764" s="2" t="s">
        <v>6174</v>
      </c>
      <c r="G764" s="2" t="s">
        <v>53</v>
      </c>
      <c r="H764" s="4">
        <v>1</v>
      </c>
      <c r="I764" s="4">
        <v>1</v>
      </c>
      <c r="J764" s="5">
        <v>25000</v>
      </c>
      <c r="L764" s="5">
        <v>175968.75</v>
      </c>
      <c r="M764" s="2" t="s">
        <v>55</v>
      </c>
      <c r="N764" s="2" t="s">
        <v>458</v>
      </c>
      <c r="O764" s="2" t="s">
        <v>459</v>
      </c>
      <c r="P764" s="2" t="s">
        <v>6340</v>
      </c>
      <c r="Q764" s="2" t="s">
        <v>6357</v>
      </c>
      <c r="R764" s="2" t="s">
        <v>6342</v>
      </c>
      <c r="T764" s="2" t="s">
        <v>6343</v>
      </c>
      <c r="U764" s="2" t="s">
        <v>6344</v>
      </c>
      <c r="V764" s="2" t="s">
        <v>6345</v>
      </c>
      <c r="W764" s="2" t="s">
        <v>6346</v>
      </c>
      <c r="X764" s="2" t="s">
        <v>6347</v>
      </c>
      <c r="Y764" s="2" t="s">
        <v>6348</v>
      </c>
      <c r="Z764" s="2" t="s">
        <v>6349</v>
      </c>
      <c r="AA764" s="2" t="s">
        <v>1624</v>
      </c>
      <c r="AB764" s="2" t="s">
        <v>6350</v>
      </c>
      <c r="AC764" s="2" t="s">
        <v>3365</v>
      </c>
      <c r="AD764" s="2" t="s">
        <v>3140</v>
      </c>
      <c r="AE764" s="2" t="s">
        <v>3141</v>
      </c>
      <c r="AF764" s="2" t="s">
        <v>70</v>
      </c>
      <c r="AG764" s="2" t="s">
        <v>6351</v>
      </c>
      <c r="AK764" s="2" t="s">
        <v>6352</v>
      </c>
      <c r="AM764" s="2" t="s">
        <v>72</v>
      </c>
      <c r="AN764" s="2" t="s">
        <v>232</v>
      </c>
      <c r="AP764" s="2" t="s">
        <v>2705</v>
      </c>
      <c r="AU764" s="2" t="s">
        <v>75</v>
      </c>
      <c r="AV764" s="2" t="s">
        <v>6353</v>
      </c>
      <c r="AW764" s="2" t="s">
        <v>6354</v>
      </c>
      <c r="AX764" s="2" t="s">
        <v>477</v>
      </c>
      <c r="AZ764" s="2" t="s">
        <v>4750</v>
      </c>
    </row>
    <row r="765" spans="1:52" s="3" customFormat="1" x14ac:dyDescent="0.35">
      <c r="A765" s="2" t="s">
        <v>6338</v>
      </c>
      <c r="B765" s="4">
        <v>243313</v>
      </c>
      <c r="C765" s="2" t="s">
        <v>6339</v>
      </c>
      <c r="D765" s="2">
        <f t="shared" si="11"/>
        <v>2</v>
      </c>
      <c r="F765" s="2" t="s">
        <v>6174</v>
      </c>
      <c r="G765" s="2" t="s">
        <v>53</v>
      </c>
      <c r="H765" s="4">
        <v>1</v>
      </c>
      <c r="I765" s="4">
        <v>1</v>
      </c>
      <c r="J765" s="5">
        <v>25000</v>
      </c>
      <c r="L765" s="5">
        <v>175968.75</v>
      </c>
      <c r="M765" s="2" t="s">
        <v>55</v>
      </c>
      <c r="N765" s="2" t="s">
        <v>458</v>
      </c>
      <c r="O765" s="2" t="s">
        <v>459</v>
      </c>
      <c r="P765" s="2" t="s">
        <v>6340</v>
      </c>
      <c r="Q765" s="2" t="s">
        <v>6358</v>
      </c>
      <c r="R765" s="2" t="s">
        <v>6342</v>
      </c>
      <c r="T765" s="2" t="s">
        <v>6343</v>
      </c>
      <c r="U765" s="2" t="s">
        <v>6344</v>
      </c>
      <c r="V765" s="2" t="s">
        <v>6345</v>
      </c>
      <c r="W765" s="2" t="s">
        <v>6346</v>
      </c>
      <c r="X765" s="2" t="s">
        <v>6347</v>
      </c>
      <c r="Y765" s="2" t="s">
        <v>6348</v>
      </c>
      <c r="Z765" s="2" t="s">
        <v>6349</v>
      </c>
      <c r="AA765" s="2" t="s">
        <v>1624</v>
      </c>
      <c r="AB765" s="2" t="s">
        <v>6350</v>
      </c>
      <c r="AC765" s="2" t="s">
        <v>3365</v>
      </c>
      <c r="AD765" s="2" t="s">
        <v>3140</v>
      </c>
      <c r="AE765" s="2" t="s">
        <v>3141</v>
      </c>
      <c r="AF765" s="2" t="s">
        <v>70</v>
      </c>
      <c r="AG765" s="2" t="s">
        <v>6351</v>
      </c>
      <c r="AK765" s="2" t="s">
        <v>6352</v>
      </c>
      <c r="AM765" s="2" t="s">
        <v>72</v>
      </c>
      <c r="AN765" s="2" t="s">
        <v>232</v>
      </c>
      <c r="AP765" s="2" t="s">
        <v>2705</v>
      </c>
      <c r="AU765" s="2" t="s">
        <v>75</v>
      </c>
      <c r="AV765" s="2" t="s">
        <v>6353</v>
      </c>
      <c r="AW765" s="2" t="s">
        <v>6354</v>
      </c>
      <c r="AX765" s="2" t="s">
        <v>477</v>
      </c>
      <c r="AZ765" s="2" t="s">
        <v>4750</v>
      </c>
    </row>
    <row r="766" spans="1:52" s="3" customFormat="1" x14ac:dyDescent="0.35">
      <c r="A766" s="2" t="s">
        <v>6338</v>
      </c>
      <c r="B766" s="4">
        <v>243313</v>
      </c>
      <c r="C766" s="2" t="s">
        <v>6339</v>
      </c>
      <c r="D766" s="2">
        <f t="shared" si="11"/>
        <v>2</v>
      </c>
      <c r="F766" s="2" t="s">
        <v>6174</v>
      </c>
      <c r="G766" s="2" t="s">
        <v>53</v>
      </c>
      <c r="H766" s="4">
        <v>1</v>
      </c>
      <c r="I766" s="4">
        <v>1</v>
      </c>
      <c r="J766" s="5">
        <v>25000</v>
      </c>
      <c r="L766" s="5">
        <v>175968.75</v>
      </c>
      <c r="M766" s="2" t="s">
        <v>55</v>
      </c>
      <c r="N766" s="2" t="s">
        <v>458</v>
      </c>
      <c r="O766" s="2" t="s">
        <v>459</v>
      </c>
      <c r="P766" s="2" t="s">
        <v>6340</v>
      </c>
      <c r="Q766" s="2" t="s">
        <v>6359</v>
      </c>
      <c r="R766" s="2" t="s">
        <v>6342</v>
      </c>
      <c r="T766" s="2" t="s">
        <v>6343</v>
      </c>
      <c r="U766" s="2" t="s">
        <v>6344</v>
      </c>
      <c r="V766" s="2" t="s">
        <v>6345</v>
      </c>
      <c r="W766" s="2" t="s">
        <v>6346</v>
      </c>
      <c r="X766" s="2" t="s">
        <v>6347</v>
      </c>
      <c r="Y766" s="2" t="s">
        <v>6348</v>
      </c>
      <c r="Z766" s="2" t="s">
        <v>6349</v>
      </c>
      <c r="AA766" s="2" t="s">
        <v>1624</v>
      </c>
      <c r="AB766" s="2" t="s">
        <v>6350</v>
      </c>
      <c r="AC766" s="2" t="s">
        <v>3365</v>
      </c>
      <c r="AD766" s="2" t="s">
        <v>3140</v>
      </c>
      <c r="AE766" s="2" t="s">
        <v>3141</v>
      </c>
      <c r="AF766" s="2" t="s">
        <v>70</v>
      </c>
      <c r="AG766" s="2" t="s">
        <v>6351</v>
      </c>
      <c r="AK766" s="2" t="s">
        <v>6352</v>
      </c>
      <c r="AM766" s="2" t="s">
        <v>72</v>
      </c>
      <c r="AN766" s="2" t="s">
        <v>232</v>
      </c>
      <c r="AP766" s="2" t="s">
        <v>2705</v>
      </c>
      <c r="AU766" s="2" t="s">
        <v>75</v>
      </c>
      <c r="AV766" s="2" t="s">
        <v>6353</v>
      </c>
      <c r="AW766" s="2" t="s">
        <v>6354</v>
      </c>
      <c r="AX766" s="2" t="s">
        <v>477</v>
      </c>
      <c r="AZ766" s="2" t="s">
        <v>4750</v>
      </c>
    </row>
    <row r="767" spans="1:52" s="3" customFormat="1" x14ac:dyDescent="0.35">
      <c r="A767" s="2" t="s">
        <v>6338</v>
      </c>
      <c r="B767" s="4">
        <v>243313</v>
      </c>
      <c r="C767" s="2" t="s">
        <v>6339</v>
      </c>
      <c r="D767" s="2">
        <f t="shared" si="11"/>
        <v>2</v>
      </c>
      <c r="F767" s="2" t="s">
        <v>6174</v>
      </c>
      <c r="G767" s="2" t="s">
        <v>53</v>
      </c>
      <c r="H767" s="4">
        <v>1</v>
      </c>
      <c r="I767" s="4">
        <v>1</v>
      </c>
      <c r="J767" s="5">
        <v>37500</v>
      </c>
      <c r="L767" s="5">
        <v>175968.75</v>
      </c>
      <c r="M767" s="2" t="s">
        <v>55</v>
      </c>
      <c r="N767" s="2" t="s">
        <v>458</v>
      </c>
      <c r="O767" s="2" t="s">
        <v>459</v>
      </c>
      <c r="P767" s="2" t="s">
        <v>6340</v>
      </c>
      <c r="Q767" s="2" t="s">
        <v>6360</v>
      </c>
      <c r="R767" s="2" t="s">
        <v>6342</v>
      </c>
      <c r="T767" s="2" t="s">
        <v>6343</v>
      </c>
      <c r="U767" s="2" t="s">
        <v>6344</v>
      </c>
      <c r="V767" s="2" t="s">
        <v>6345</v>
      </c>
      <c r="W767" s="2" t="s">
        <v>6346</v>
      </c>
      <c r="X767" s="2" t="s">
        <v>6347</v>
      </c>
      <c r="Y767" s="2" t="s">
        <v>6348</v>
      </c>
      <c r="Z767" s="2" t="s">
        <v>6349</v>
      </c>
      <c r="AA767" s="2" t="s">
        <v>1624</v>
      </c>
      <c r="AB767" s="2" t="s">
        <v>6350</v>
      </c>
      <c r="AC767" s="2" t="s">
        <v>3365</v>
      </c>
      <c r="AD767" s="2" t="s">
        <v>3140</v>
      </c>
      <c r="AE767" s="2" t="s">
        <v>3141</v>
      </c>
      <c r="AF767" s="2" t="s">
        <v>70</v>
      </c>
      <c r="AG767" s="2" t="s">
        <v>6351</v>
      </c>
      <c r="AK767" s="2" t="s">
        <v>6352</v>
      </c>
      <c r="AM767" s="2" t="s">
        <v>72</v>
      </c>
      <c r="AN767" s="2" t="s">
        <v>232</v>
      </c>
      <c r="AP767" s="2" t="s">
        <v>2705</v>
      </c>
      <c r="AU767" s="2" t="s">
        <v>75</v>
      </c>
      <c r="AV767" s="2" t="s">
        <v>6353</v>
      </c>
      <c r="AW767" s="2" t="s">
        <v>6354</v>
      </c>
      <c r="AX767" s="2" t="s">
        <v>477</v>
      </c>
      <c r="AZ767" s="2" t="s">
        <v>4750</v>
      </c>
    </row>
    <row r="768" spans="1:52" s="3" customFormat="1" x14ac:dyDescent="0.35">
      <c r="A768" s="2" t="s">
        <v>6363</v>
      </c>
      <c r="B768" s="4">
        <v>246462</v>
      </c>
      <c r="C768" s="2" t="s">
        <v>6361</v>
      </c>
      <c r="D768" s="2">
        <f t="shared" si="11"/>
        <v>2</v>
      </c>
      <c r="F768" s="2" t="s">
        <v>4256</v>
      </c>
      <c r="G768" s="2" t="s">
        <v>53</v>
      </c>
      <c r="H768" s="4">
        <v>1</v>
      </c>
      <c r="I768" s="4">
        <v>1</v>
      </c>
      <c r="J768" s="5">
        <v>400000</v>
      </c>
      <c r="L768" s="5">
        <v>375400</v>
      </c>
      <c r="M768" s="2" t="s">
        <v>55</v>
      </c>
      <c r="N768" s="2" t="s">
        <v>458</v>
      </c>
      <c r="O768" s="2" t="s">
        <v>459</v>
      </c>
      <c r="P768" s="2" t="s">
        <v>6362</v>
      </c>
      <c r="Q768" s="2" t="s">
        <v>6364</v>
      </c>
      <c r="R768" s="2" t="s">
        <v>6009</v>
      </c>
      <c r="T768" s="2" t="s">
        <v>6141</v>
      </c>
      <c r="U768" s="2" t="s">
        <v>6142</v>
      </c>
      <c r="V768" s="2" t="s">
        <v>6012</v>
      </c>
      <c r="W768" s="2" t="s">
        <v>6013</v>
      </c>
      <c r="X768" s="2" t="s">
        <v>6143</v>
      </c>
      <c r="Y768" s="2" t="s">
        <v>6144</v>
      </c>
      <c r="Z768" s="2" t="s">
        <v>6145</v>
      </c>
      <c r="AA768" s="2" t="s">
        <v>6146</v>
      </c>
      <c r="AB768" s="2" t="s">
        <v>6147</v>
      </c>
      <c r="AC768" s="2" t="s">
        <v>6145</v>
      </c>
      <c r="AD768" s="2" t="s">
        <v>2556</v>
      </c>
      <c r="AE768" s="2" t="s">
        <v>69</v>
      </c>
      <c r="AF768" s="2" t="s">
        <v>70</v>
      </c>
      <c r="AG768" s="2" t="s">
        <v>6365</v>
      </c>
      <c r="AK768" s="2" t="s">
        <v>6366</v>
      </c>
      <c r="AM768" s="2" t="s">
        <v>72</v>
      </c>
      <c r="AN768" s="2" t="s">
        <v>283</v>
      </c>
      <c r="AP768" s="2" t="s">
        <v>52</v>
      </c>
      <c r="AU768" s="2" t="s">
        <v>75</v>
      </c>
      <c r="AV768" s="2" t="s">
        <v>6148</v>
      </c>
      <c r="AW768" s="2" t="s">
        <v>6149</v>
      </c>
      <c r="AX768" s="2" t="s">
        <v>477</v>
      </c>
      <c r="AZ768" s="2" t="s">
        <v>478</v>
      </c>
    </row>
    <row r="769" spans="1:52" s="3" customFormat="1" x14ac:dyDescent="0.35">
      <c r="A769" s="2" t="s">
        <v>6367</v>
      </c>
      <c r="B769" s="4">
        <v>243301</v>
      </c>
      <c r="C769" s="2" t="s">
        <v>6368</v>
      </c>
      <c r="D769" s="2">
        <f t="shared" si="11"/>
        <v>2</v>
      </c>
      <c r="F769" s="2" t="s">
        <v>6148</v>
      </c>
      <c r="G769" s="2" t="s">
        <v>53</v>
      </c>
      <c r="H769" s="4">
        <v>3</v>
      </c>
      <c r="I769" s="4">
        <v>1</v>
      </c>
      <c r="J769" s="5">
        <v>2397.54</v>
      </c>
      <c r="K769" s="2" t="s">
        <v>80</v>
      </c>
      <c r="L769" s="5">
        <v>2397.54</v>
      </c>
      <c r="M769" s="2" t="s">
        <v>6369</v>
      </c>
      <c r="N769" s="2" t="s">
        <v>1658</v>
      </c>
      <c r="O769" s="2" t="s">
        <v>484</v>
      </c>
      <c r="P769" s="2" t="s">
        <v>4633</v>
      </c>
      <c r="Q769" s="2" t="s">
        <v>4634</v>
      </c>
      <c r="R769" s="2" t="s">
        <v>6370</v>
      </c>
      <c r="S769" s="2" t="s">
        <v>6371</v>
      </c>
      <c r="V769" s="2" t="s">
        <v>6372</v>
      </c>
      <c r="W769" s="2" t="s">
        <v>6373</v>
      </c>
      <c r="Y769" s="2" t="s">
        <v>6374</v>
      </c>
      <c r="Z769" s="2" t="s">
        <v>6375</v>
      </c>
      <c r="AA769" s="2" t="s">
        <v>6376</v>
      </c>
      <c r="AB769" s="2" t="s">
        <v>6377</v>
      </c>
      <c r="AC769" s="2" t="s">
        <v>6378</v>
      </c>
      <c r="AD769" s="2" t="s">
        <v>3652</v>
      </c>
      <c r="AE769" s="2" t="s">
        <v>69</v>
      </c>
      <c r="AF769" s="2" t="s">
        <v>70</v>
      </c>
      <c r="AK769" s="2" t="s">
        <v>6379</v>
      </c>
      <c r="AL769" s="2" t="s">
        <v>6380</v>
      </c>
      <c r="AM769" s="2" t="s">
        <v>72</v>
      </c>
      <c r="AN769" s="2" t="s">
        <v>403</v>
      </c>
      <c r="AP769" s="2" t="s">
        <v>4546</v>
      </c>
      <c r="AU769" s="2" t="s">
        <v>75</v>
      </c>
      <c r="AV769" s="2" t="s">
        <v>6148</v>
      </c>
      <c r="AW769" s="2" t="s">
        <v>6381</v>
      </c>
      <c r="AZ769" s="2" t="s">
        <v>77</v>
      </c>
    </row>
    <row r="770" spans="1:52" s="3" customFormat="1" x14ac:dyDescent="0.35">
      <c r="A770" s="2" t="s">
        <v>6382</v>
      </c>
      <c r="B770" s="4">
        <v>242042</v>
      </c>
      <c r="C770" s="2" t="s">
        <v>6383</v>
      </c>
      <c r="D770" s="2">
        <f t="shared" si="11"/>
        <v>2</v>
      </c>
      <c r="F770" s="2" t="s">
        <v>6384</v>
      </c>
      <c r="G770" s="2" t="s">
        <v>53</v>
      </c>
      <c r="H770" s="4">
        <v>1</v>
      </c>
      <c r="I770" s="4">
        <v>4</v>
      </c>
      <c r="J770" s="5">
        <v>34999.99</v>
      </c>
      <c r="K770" s="2" t="s">
        <v>80</v>
      </c>
      <c r="L770" s="5">
        <v>34999.99</v>
      </c>
      <c r="M770" s="2" t="s">
        <v>6385</v>
      </c>
      <c r="N770" s="2" t="s">
        <v>82</v>
      </c>
      <c r="O770" s="2" t="s">
        <v>484</v>
      </c>
      <c r="P770" s="2" t="s">
        <v>3075</v>
      </c>
      <c r="Q770" s="2" t="s">
        <v>3076</v>
      </c>
      <c r="R770" s="2" t="s">
        <v>4133</v>
      </c>
      <c r="S770" s="2" t="s">
        <v>6386</v>
      </c>
      <c r="T770" s="2" t="s">
        <v>6387</v>
      </c>
      <c r="U770" s="2" t="s">
        <v>6388</v>
      </c>
      <c r="V770" s="2" t="s">
        <v>4135</v>
      </c>
      <c r="W770" s="2" t="s">
        <v>6389</v>
      </c>
      <c r="X770" s="2" t="s">
        <v>6389</v>
      </c>
      <c r="Y770" s="2" t="s">
        <v>6390</v>
      </c>
      <c r="Z770" s="2" t="s">
        <v>6391</v>
      </c>
      <c r="AA770" s="2" t="s">
        <v>6392</v>
      </c>
      <c r="AC770" s="2" t="s">
        <v>6393</v>
      </c>
      <c r="AD770" s="2" t="s">
        <v>5484</v>
      </c>
      <c r="AE770" s="2" t="s">
        <v>69</v>
      </c>
      <c r="AF770" s="2" t="s">
        <v>97</v>
      </c>
      <c r="AG770" s="2" t="s">
        <v>3075</v>
      </c>
      <c r="AK770" s="2" t="s">
        <v>6394</v>
      </c>
      <c r="AL770" s="2" t="s">
        <v>4485</v>
      </c>
      <c r="AM770" s="2" t="s">
        <v>72</v>
      </c>
      <c r="AN770" s="2" t="s">
        <v>73</v>
      </c>
      <c r="AP770" s="2" t="s">
        <v>3088</v>
      </c>
      <c r="AS770" s="2" t="s">
        <v>6395</v>
      </c>
      <c r="AT770" s="2" t="s">
        <v>102</v>
      </c>
      <c r="AU770" s="2" t="s">
        <v>75</v>
      </c>
      <c r="AV770" s="2" t="s">
        <v>6396</v>
      </c>
      <c r="AW770" s="2" t="s">
        <v>6397</v>
      </c>
      <c r="AX770" s="2" t="s">
        <v>4670</v>
      </c>
      <c r="AZ770" s="2" t="s">
        <v>77</v>
      </c>
    </row>
    <row r="771" spans="1:52" s="3" customFormat="1" x14ac:dyDescent="0.35">
      <c r="A771" s="2" t="s">
        <v>6398</v>
      </c>
      <c r="B771" s="4">
        <v>243230</v>
      </c>
      <c r="C771" s="2" t="s">
        <v>6399</v>
      </c>
      <c r="D771" s="2">
        <f t="shared" ref="D771:D834" si="12">MONTH(C771)</f>
        <v>2</v>
      </c>
      <c r="F771" s="2" t="s">
        <v>6384</v>
      </c>
      <c r="G771" s="2" t="s">
        <v>53</v>
      </c>
      <c r="H771" s="4">
        <v>2</v>
      </c>
      <c r="I771" s="4">
        <v>1</v>
      </c>
      <c r="J771" s="5">
        <v>1918.8</v>
      </c>
      <c r="K771" s="2" t="s">
        <v>80</v>
      </c>
      <c r="L771" s="5">
        <v>1800.79</v>
      </c>
      <c r="M771" s="2" t="s">
        <v>6400</v>
      </c>
      <c r="N771" s="2" t="s">
        <v>1658</v>
      </c>
      <c r="O771" s="2" t="s">
        <v>3308</v>
      </c>
      <c r="P771" s="2" t="s">
        <v>4633</v>
      </c>
      <c r="Q771" s="2" t="s">
        <v>4634</v>
      </c>
      <c r="R771" s="2" t="s">
        <v>6401</v>
      </c>
      <c r="S771" s="2" t="s">
        <v>6402</v>
      </c>
      <c r="T771" s="2" t="s">
        <v>3763</v>
      </c>
      <c r="U771" s="2" t="s">
        <v>3764</v>
      </c>
      <c r="V771" s="2" t="s">
        <v>3765</v>
      </c>
      <c r="W771" s="2" t="s">
        <v>3766</v>
      </c>
      <c r="X771" s="2" t="s">
        <v>3766</v>
      </c>
      <c r="Y771" s="2" t="s">
        <v>3768</v>
      </c>
      <c r="Z771" s="2" t="s">
        <v>3769</v>
      </c>
      <c r="AA771" s="2" t="s">
        <v>3770</v>
      </c>
      <c r="AB771" s="2" t="s">
        <v>3351</v>
      </c>
      <c r="AC771" s="2" t="s">
        <v>3771</v>
      </c>
      <c r="AD771" s="2" t="s">
        <v>3756</v>
      </c>
      <c r="AE771" s="2" t="s">
        <v>2980</v>
      </c>
      <c r="AF771" s="2" t="s">
        <v>70</v>
      </c>
      <c r="AK771" s="2" t="s">
        <v>6403</v>
      </c>
      <c r="AL771" s="2" t="s">
        <v>6404</v>
      </c>
      <c r="AM771" s="2" t="s">
        <v>72</v>
      </c>
      <c r="AN771" s="2" t="s">
        <v>403</v>
      </c>
      <c r="AP771" s="2" t="s">
        <v>4546</v>
      </c>
      <c r="AU771" s="2" t="s">
        <v>75</v>
      </c>
      <c r="AV771" s="2" t="s">
        <v>3774</v>
      </c>
      <c r="AW771" s="2" t="s">
        <v>3775</v>
      </c>
      <c r="AZ771" s="2" t="s">
        <v>77</v>
      </c>
    </row>
    <row r="772" spans="1:52" s="3" customFormat="1" x14ac:dyDescent="0.35">
      <c r="A772" s="2" t="s">
        <v>6405</v>
      </c>
      <c r="B772" s="4">
        <v>243226</v>
      </c>
      <c r="C772" s="2" t="s">
        <v>6406</v>
      </c>
      <c r="D772" s="2">
        <f t="shared" si="12"/>
        <v>2</v>
      </c>
      <c r="G772" s="2" t="s">
        <v>53</v>
      </c>
      <c r="H772" s="4">
        <v>2</v>
      </c>
      <c r="I772" s="4">
        <v>1</v>
      </c>
      <c r="J772" s="4">
        <v>0</v>
      </c>
      <c r="L772" s="4">
        <v>0</v>
      </c>
      <c r="M772" s="2" t="s">
        <v>55</v>
      </c>
      <c r="N772" s="2" t="s">
        <v>56</v>
      </c>
      <c r="O772" s="2" t="s">
        <v>57</v>
      </c>
      <c r="P772" s="2" t="s">
        <v>6407</v>
      </c>
      <c r="Q772" s="2" t="s">
        <v>6408</v>
      </c>
      <c r="R772" s="2" t="s">
        <v>6409</v>
      </c>
      <c r="S772" s="2" t="s">
        <v>6410</v>
      </c>
      <c r="V772" s="2" t="s">
        <v>6411</v>
      </c>
      <c r="W772" s="2" t="s">
        <v>6412</v>
      </c>
      <c r="Y772" s="2" t="s">
        <v>64</v>
      </c>
      <c r="Z772" s="2" t="s">
        <v>65</v>
      </c>
      <c r="AA772" s="2" t="s">
        <v>66</v>
      </c>
      <c r="AC772" s="2" t="s">
        <v>67</v>
      </c>
      <c r="AD772" s="2" t="s">
        <v>68</v>
      </c>
      <c r="AE772" s="2" t="s">
        <v>69</v>
      </c>
      <c r="AF772" s="2" t="s">
        <v>70</v>
      </c>
      <c r="AG772" s="2" t="s">
        <v>6413</v>
      </c>
      <c r="AK772" s="2" t="s">
        <v>6414</v>
      </c>
      <c r="AM772" s="2" t="s">
        <v>72</v>
      </c>
      <c r="AN772" s="2" t="s">
        <v>595</v>
      </c>
      <c r="AP772" s="2" t="s">
        <v>6001</v>
      </c>
      <c r="AU772" s="2" t="s">
        <v>75</v>
      </c>
      <c r="AV772" s="2" t="s">
        <v>6415</v>
      </c>
      <c r="AW772" s="2" t="s">
        <v>6416</v>
      </c>
      <c r="AZ772" s="2" t="s">
        <v>116</v>
      </c>
    </row>
    <row r="773" spans="1:52" s="3" customFormat="1" x14ac:dyDescent="0.35">
      <c r="A773" s="2" t="s">
        <v>6417</v>
      </c>
      <c r="B773" s="4">
        <v>243225</v>
      </c>
      <c r="C773" s="2" t="s">
        <v>6418</v>
      </c>
      <c r="D773" s="2">
        <f t="shared" si="12"/>
        <v>2</v>
      </c>
      <c r="G773" s="2" t="s">
        <v>53</v>
      </c>
      <c r="H773" s="4">
        <v>1</v>
      </c>
      <c r="I773" s="4">
        <v>1</v>
      </c>
      <c r="J773" s="4">
        <v>0</v>
      </c>
      <c r="L773" s="4">
        <v>0</v>
      </c>
      <c r="M773" s="2" t="s">
        <v>55</v>
      </c>
      <c r="N773" s="2" t="s">
        <v>56</v>
      </c>
      <c r="O773" s="2" t="s">
        <v>57</v>
      </c>
      <c r="P773" s="2" t="s">
        <v>4633</v>
      </c>
      <c r="Q773" s="2" t="s">
        <v>4634</v>
      </c>
      <c r="R773" s="2" t="s">
        <v>348</v>
      </c>
      <c r="S773" s="2" t="s">
        <v>349</v>
      </c>
      <c r="V773" s="2" t="s">
        <v>350</v>
      </c>
      <c r="W773" s="2" t="s">
        <v>6419</v>
      </c>
      <c r="Y773" s="2" t="s">
        <v>64</v>
      </c>
      <c r="Z773" s="2" t="s">
        <v>65</v>
      </c>
      <c r="AA773" s="2" t="s">
        <v>66</v>
      </c>
      <c r="AC773" s="2" t="s">
        <v>67</v>
      </c>
      <c r="AD773" s="2" t="s">
        <v>68</v>
      </c>
      <c r="AE773" s="2" t="s">
        <v>69</v>
      </c>
      <c r="AF773" s="2" t="s">
        <v>70</v>
      </c>
      <c r="AG773" s="2" t="s">
        <v>4633</v>
      </c>
      <c r="AK773" s="2" t="s">
        <v>6420</v>
      </c>
      <c r="AM773" s="2" t="s">
        <v>72</v>
      </c>
      <c r="AN773" s="2" t="s">
        <v>344</v>
      </c>
      <c r="AP773" s="2" t="s">
        <v>4546</v>
      </c>
      <c r="AU773" s="2" t="s">
        <v>75</v>
      </c>
      <c r="AV773" s="2" t="s">
        <v>353</v>
      </c>
      <c r="AW773" s="2" t="s">
        <v>354</v>
      </c>
      <c r="AZ773" s="2" t="s">
        <v>116</v>
      </c>
    </row>
    <row r="774" spans="1:52" s="3" customFormat="1" x14ac:dyDescent="0.35">
      <c r="A774" s="2" t="s">
        <v>6421</v>
      </c>
      <c r="B774" s="4">
        <v>243205</v>
      </c>
      <c r="C774" s="2" t="s">
        <v>6422</v>
      </c>
      <c r="D774" s="2">
        <f t="shared" si="12"/>
        <v>2</v>
      </c>
      <c r="F774" s="2" t="s">
        <v>6148</v>
      </c>
      <c r="G774" s="2" t="s">
        <v>53</v>
      </c>
      <c r="H774" s="4">
        <v>4</v>
      </c>
      <c r="I774" s="4">
        <v>1</v>
      </c>
      <c r="J774" s="5">
        <v>3230.01</v>
      </c>
      <c r="K774" s="2" t="s">
        <v>1252</v>
      </c>
      <c r="L774" s="5">
        <v>3031.36</v>
      </c>
      <c r="M774" s="2" t="s">
        <v>55</v>
      </c>
      <c r="N774" s="2" t="s">
        <v>1253</v>
      </c>
      <c r="O774" s="2" t="s">
        <v>1254</v>
      </c>
      <c r="P774" s="2" t="s">
        <v>4633</v>
      </c>
      <c r="Q774" s="2" t="s">
        <v>4634</v>
      </c>
      <c r="R774" s="2" t="s">
        <v>1919</v>
      </c>
      <c r="T774" s="2" t="s">
        <v>1920</v>
      </c>
      <c r="U774" s="2" t="s">
        <v>1921</v>
      </c>
      <c r="V774" s="2" t="s">
        <v>1922</v>
      </c>
      <c r="W774" s="2" t="s">
        <v>2467</v>
      </c>
      <c r="X774" s="2" t="s">
        <v>2468</v>
      </c>
      <c r="Y774" s="2" t="s">
        <v>1925</v>
      </c>
      <c r="Z774" s="2" t="s">
        <v>1926</v>
      </c>
      <c r="AA774" s="2" t="s">
        <v>1927</v>
      </c>
      <c r="AB774" s="2" t="s">
        <v>1928</v>
      </c>
      <c r="AC774" s="2" t="s">
        <v>1929</v>
      </c>
      <c r="AD774" s="2" t="s">
        <v>68</v>
      </c>
      <c r="AE774" s="2" t="s">
        <v>69</v>
      </c>
      <c r="AF774" s="2" t="s">
        <v>70</v>
      </c>
      <c r="AG774" s="2" t="s">
        <v>4633</v>
      </c>
      <c r="AK774" s="2" t="s">
        <v>6423</v>
      </c>
      <c r="AM774" s="2" t="s">
        <v>72</v>
      </c>
      <c r="AN774" s="2" t="s">
        <v>403</v>
      </c>
      <c r="AP774" s="2" t="s">
        <v>4546</v>
      </c>
      <c r="AU774" s="2" t="s">
        <v>75</v>
      </c>
      <c r="AV774" s="2" t="s">
        <v>1931</v>
      </c>
      <c r="AW774" s="2" t="s">
        <v>1932</v>
      </c>
      <c r="AX774" s="2" t="s">
        <v>77</v>
      </c>
      <c r="AZ774" s="2" t="s">
        <v>77</v>
      </c>
    </row>
    <row r="775" spans="1:52" s="3" customFormat="1" x14ac:dyDescent="0.35">
      <c r="A775" s="2" t="s">
        <v>6424</v>
      </c>
      <c r="B775" s="4">
        <v>243201</v>
      </c>
      <c r="C775" s="2" t="s">
        <v>6425</v>
      </c>
      <c r="D775" s="2">
        <f t="shared" si="12"/>
        <v>2</v>
      </c>
      <c r="F775" s="2" t="s">
        <v>6384</v>
      </c>
      <c r="G775" s="2" t="s">
        <v>53</v>
      </c>
      <c r="H775" s="4">
        <v>1</v>
      </c>
      <c r="I775" s="4">
        <v>6</v>
      </c>
      <c r="J775" s="5">
        <v>20000</v>
      </c>
      <c r="K775" s="2" t="s">
        <v>80</v>
      </c>
      <c r="L775" s="5">
        <v>18770</v>
      </c>
      <c r="M775" s="2" t="s">
        <v>6426</v>
      </c>
      <c r="N775" s="2" t="s">
        <v>82</v>
      </c>
      <c r="O775" s="2" t="s">
        <v>484</v>
      </c>
      <c r="P775" s="2" t="s">
        <v>6254</v>
      </c>
      <c r="Q775" s="2" t="s">
        <v>6255</v>
      </c>
      <c r="R775" s="2" t="s">
        <v>6427</v>
      </c>
      <c r="S775" s="2" t="s">
        <v>6428</v>
      </c>
      <c r="T775" s="2" t="s">
        <v>6429</v>
      </c>
      <c r="U775" s="2" t="s">
        <v>6430</v>
      </c>
      <c r="V775" s="2" t="s">
        <v>6431</v>
      </c>
      <c r="W775" s="2" t="s">
        <v>6432</v>
      </c>
      <c r="Y775" s="2" t="s">
        <v>6433</v>
      </c>
      <c r="Z775" s="2" t="s">
        <v>6434</v>
      </c>
      <c r="AA775" s="2" t="s">
        <v>54</v>
      </c>
      <c r="AB775" s="2" t="s">
        <v>6435</v>
      </c>
      <c r="AC775" s="2" t="s">
        <v>6436</v>
      </c>
      <c r="AD775" s="2" t="s">
        <v>6437</v>
      </c>
      <c r="AE775" s="2" t="s">
        <v>96</v>
      </c>
      <c r="AF775" s="2" t="s">
        <v>70</v>
      </c>
      <c r="AK775" s="2" t="s">
        <v>6438</v>
      </c>
      <c r="AL775" s="2" t="s">
        <v>6439</v>
      </c>
      <c r="AM775" s="2" t="s">
        <v>72</v>
      </c>
      <c r="AN775" s="2" t="s">
        <v>473</v>
      </c>
      <c r="AP775" s="2" t="s">
        <v>4177</v>
      </c>
      <c r="AU775" s="2" t="s">
        <v>75</v>
      </c>
      <c r="AV775" s="2" t="s">
        <v>6440</v>
      </c>
      <c r="AW775" s="2" t="s">
        <v>6441</v>
      </c>
      <c r="AZ775" s="2" t="s">
        <v>77</v>
      </c>
    </row>
    <row r="776" spans="1:52" s="3" customFormat="1" x14ac:dyDescent="0.35">
      <c r="A776" s="2" t="s">
        <v>6442</v>
      </c>
      <c r="B776" s="4">
        <v>243188</v>
      </c>
      <c r="C776" s="2" t="s">
        <v>6443</v>
      </c>
      <c r="D776" s="2">
        <f t="shared" si="12"/>
        <v>2</v>
      </c>
      <c r="F776" s="2" t="s">
        <v>6384</v>
      </c>
      <c r="G776" s="2" t="s">
        <v>53</v>
      </c>
      <c r="H776" s="4">
        <v>1</v>
      </c>
      <c r="I776" s="4">
        <v>0</v>
      </c>
      <c r="J776" s="4">
        <v>0</v>
      </c>
      <c r="L776" s="4">
        <v>0</v>
      </c>
      <c r="N776" s="2" t="s">
        <v>56</v>
      </c>
      <c r="O776" s="2" t="s">
        <v>57</v>
      </c>
      <c r="P776" s="2" t="s">
        <v>4619</v>
      </c>
      <c r="Q776" s="2" t="s">
        <v>4620</v>
      </c>
      <c r="R776" s="2" t="s">
        <v>6444</v>
      </c>
      <c r="S776" s="2" t="s">
        <v>6445</v>
      </c>
      <c r="V776" s="2" t="s">
        <v>6446</v>
      </c>
      <c r="W776" s="2" t="s">
        <v>6447</v>
      </c>
      <c r="Y776" s="2" t="s">
        <v>6448</v>
      </c>
      <c r="Z776" s="2" t="s">
        <v>6449</v>
      </c>
      <c r="AA776" s="2" t="s">
        <v>6450</v>
      </c>
      <c r="AC776" s="2" t="s">
        <v>6451</v>
      </c>
      <c r="AD776" s="2" t="s">
        <v>3756</v>
      </c>
      <c r="AE776" s="2" t="s">
        <v>2980</v>
      </c>
      <c r="AF776" s="2" t="s">
        <v>70</v>
      </c>
      <c r="AK776" s="2" t="s">
        <v>6452</v>
      </c>
      <c r="AL776" s="2" t="s">
        <v>4629</v>
      </c>
      <c r="AM776" s="2" t="s">
        <v>72</v>
      </c>
      <c r="AN776" s="2" t="s">
        <v>73</v>
      </c>
      <c r="AP776" s="2" t="s">
        <v>3341</v>
      </c>
      <c r="AT776" s="2" t="s">
        <v>114</v>
      </c>
      <c r="AU776" s="2" t="s">
        <v>75</v>
      </c>
      <c r="AW776" s="2" t="s">
        <v>6453</v>
      </c>
      <c r="AZ776" s="2" t="s">
        <v>116</v>
      </c>
    </row>
    <row r="777" spans="1:52" s="3" customFormat="1" x14ac:dyDescent="0.35">
      <c r="A777" s="2" t="s">
        <v>6454</v>
      </c>
      <c r="B777" s="4">
        <v>243187</v>
      </c>
      <c r="C777" s="2" t="s">
        <v>6455</v>
      </c>
      <c r="D777" s="2">
        <f t="shared" si="12"/>
        <v>2</v>
      </c>
      <c r="F777" s="2" t="s">
        <v>6384</v>
      </c>
      <c r="G777" s="2" t="s">
        <v>53</v>
      </c>
      <c r="H777" s="4">
        <v>1</v>
      </c>
      <c r="I777" s="4">
        <v>0</v>
      </c>
      <c r="J777" s="4">
        <v>0</v>
      </c>
      <c r="L777" s="4">
        <v>0</v>
      </c>
      <c r="N777" s="2" t="s">
        <v>56</v>
      </c>
      <c r="O777" s="2" t="s">
        <v>57</v>
      </c>
      <c r="P777" s="2" t="s">
        <v>4619</v>
      </c>
      <c r="Q777" s="2" t="s">
        <v>4620</v>
      </c>
      <c r="R777" s="2" t="s">
        <v>6444</v>
      </c>
      <c r="S777" s="2" t="s">
        <v>6445</v>
      </c>
      <c r="V777" s="2" t="s">
        <v>6446</v>
      </c>
      <c r="W777" s="2" t="s">
        <v>6447</v>
      </c>
      <c r="Y777" s="2" t="s">
        <v>6448</v>
      </c>
      <c r="Z777" s="2" t="s">
        <v>6449</v>
      </c>
      <c r="AA777" s="2" t="s">
        <v>6450</v>
      </c>
      <c r="AC777" s="2" t="s">
        <v>6451</v>
      </c>
      <c r="AD777" s="2" t="s">
        <v>3756</v>
      </c>
      <c r="AE777" s="2" t="s">
        <v>2980</v>
      </c>
      <c r="AF777" s="2" t="s">
        <v>70</v>
      </c>
      <c r="AK777" s="2" t="s">
        <v>6456</v>
      </c>
      <c r="AL777" s="2" t="s">
        <v>4629</v>
      </c>
      <c r="AM777" s="2" t="s">
        <v>72</v>
      </c>
      <c r="AN777" s="2" t="s">
        <v>73</v>
      </c>
      <c r="AP777" s="2" t="s">
        <v>3341</v>
      </c>
      <c r="AT777" s="2" t="s">
        <v>114</v>
      </c>
      <c r="AU777" s="2" t="s">
        <v>75</v>
      </c>
      <c r="AW777" s="2" t="s">
        <v>6453</v>
      </c>
      <c r="AZ777" s="2" t="s">
        <v>116</v>
      </c>
    </row>
    <row r="778" spans="1:52" s="3" customFormat="1" x14ac:dyDescent="0.35">
      <c r="A778" s="2" t="s">
        <v>6457</v>
      </c>
      <c r="B778" s="4">
        <v>243159</v>
      </c>
      <c r="C778" s="2" t="s">
        <v>6458</v>
      </c>
      <c r="D778" s="2">
        <f t="shared" si="12"/>
        <v>2</v>
      </c>
      <c r="F778" s="2" t="s">
        <v>6459</v>
      </c>
      <c r="G778" s="2" t="s">
        <v>53</v>
      </c>
      <c r="H778" s="4">
        <v>1</v>
      </c>
      <c r="I778" s="4">
        <v>0</v>
      </c>
      <c r="J778" s="4">
        <v>0</v>
      </c>
      <c r="L778" s="4">
        <v>0</v>
      </c>
      <c r="N778" s="2" t="s">
        <v>56</v>
      </c>
      <c r="O778" s="2" t="s">
        <v>57</v>
      </c>
      <c r="P778" s="2" t="s">
        <v>4619</v>
      </c>
      <c r="Q778" s="2" t="s">
        <v>4620</v>
      </c>
      <c r="R778" s="2" t="s">
        <v>6460</v>
      </c>
      <c r="S778" s="2" t="s">
        <v>6461</v>
      </c>
      <c r="V778" s="2" t="s">
        <v>6462</v>
      </c>
      <c r="W778" s="2" t="s">
        <v>6463</v>
      </c>
      <c r="Y778" s="2" t="s">
        <v>6464</v>
      </c>
      <c r="Z778" s="2" t="s">
        <v>6465</v>
      </c>
      <c r="AA778" s="2" t="s">
        <v>6466</v>
      </c>
      <c r="AC778" s="2" t="s">
        <v>6467</v>
      </c>
      <c r="AD778" s="2" t="s">
        <v>3756</v>
      </c>
      <c r="AE778" s="2" t="s">
        <v>2980</v>
      </c>
      <c r="AF778" s="2" t="s">
        <v>70</v>
      </c>
      <c r="AK778" s="2" t="s">
        <v>6468</v>
      </c>
      <c r="AL778" s="2" t="s">
        <v>4629</v>
      </c>
      <c r="AM778" s="2" t="s">
        <v>72</v>
      </c>
      <c r="AN778" s="2" t="s">
        <v>73</v>
      </c>
      <c r="AP778" s="2" t="s">
        <v>3341</v>
      </c>
      <c r="AT778" s="2" t="s">
        <v>114</v>
      </c>
      <c r="AU778" s="2" t="s">
        <v>75</v>
      </c>
      <c r="AW778" s="2" t="s">
        <v>6469</v>
      </c>
      <c r="AZ778" s="2" t="s">
        <v>116</v>
      </c>
    </row>
    <row r="779" spans="1:52" s="3" customFormat="1" x14ac:dyDescent="0.35">
      <c r="A779" s="2" t="s">
        <v>6470</v>
      </c>
      <c r="B779" s="4">
        <v>243136</v>
      </c>
      <c r="C779" s="2" t="s">
        <v>6471</v>
      </c>
      <c r="D779" s="2">
        <f t="shared" si="12"/>
        <v>2</v>
      </c>
      <c r="F779" s="2" t="s">
        <v>6472</v>
      </c>
      <c r="G779" s="2" t="s">
        <v>53</v>
      </c>
      <c r="H779" s="4">
        <v>2</v>
      </c>
      <c r="I779" s="4">
        <v>1</v>
      </c>
      <c r="J779" s="4">
        <v>0</v>
      </c>
      <c r="L779" s="4">
        <v>0</v>
      </c>
      <c r="M779" s="2" t="s">
        <v>55</v>
      </c>
      <c r="N779" s="2" t="s">
        <v>56</v>
      </c>
      <c r="O779" s="2" t="s">
        <v>57</v>
      </c>
      <c r="P779" s="2" t="s">
        <v>6473</v>
      </c>
      <c r="Q779" s="2" t="s">
        <v>6474</v>
      </c>
      <c r="R779" s="2" t="s">
        <v>6126</v>
      </c>
      <c r="S779" s="2" t="s">
        <v>2606</v>
      </c>
      <c r="T779" s="2" t="s">
        <v>6127</v>
      </c>
      <c r="U779" s="2" t="s">
        <v>6128</v>
      </c>
      <c r="V779" s="2" t="s">
        <v>2607</v>
      </c>
      <c r="W779" s="2" t="s">
        <v>6129</v>
      </c>
      <c r="X779" s="2" t="s">
        <v>6129</v>
      </c>
      <c r="Y779" s="2" t="s">
        <v>6130</v>
      </c>
      <c r="Z779" s="2" t="s">
        <v>6131</v>
      </c>
      <c r="AA779" s="2" t="s">
        <v>6132</v>
      </c>
      <c r="AC779" s="2" t="s">
        <v>6133</v>
      </c>
      <c r="AD779" s="2" t="s">
        <v>2679</v>
      </c>
      <c r="AE779" s="2" t="s">
        <v>1362</v>
      </c>
      <c r="AF779" s="2" t="s">
        <v>70</v>
      </c>
      <c r="AG779" s="2" t="s">
        <v>6134</v>
      </c>
      <c r="AK779" s="2" t="s">
        <v>6475</v>
      </c>
      <c r="AM779" s="2" t="s">
        <v>72</v>
      </c>
      <c r="AN779" s="2" t="s">
        <v>1046</v>
      </c>
      <c r="AP779" s="2" t="s">
        <v>6384</v>
      </c>
      <c r="AU779" s="2" t="s">
        <v>75</v>
      </c>
      <c r="AV779" s="2" t="s">
        <v>6136</v>
      </c>
      <c r="AW779" s="2" t="s">
        <v>6137</v>
      </c>
      <c r="AZ779" s="2" t="s">
        <v>116</v>
      </c>
    </row>
    <row r="780" spans="1:52" s="3" customFormat="1" x14ac:dyDescent="0.35">
      <c r="A780" s="2" t="s">
        <v>6476</v>
      </c>
      <c r="B780" s="4">
        <v>243130</v>
      </c>
      <c r="C780" s="2" t="s">
        <v>6477</v>
      </c>
      <c r="D780" s="2">
        <f t="shared" si="12"/>
        <v>2</v>
      </c>
      <c r="F780" s="2" t="s">
        <v>6472</v>
      </c>
      <c r="G780" s="2" t="s">
        <v>53</v>
      </c>
      <c r="H780" s="4">
        <v>1</v>
      </c>
      <c r="I780" s="4">
        <v>1</v>
      </c>
      <c r="J780" s="4">
        <v>0</v>
      </c>
      <c r="L780" s="4">
        <v>0</v>
      </c>
      <c r="M780" s="2" t="s">
        <v>55</v>
      </c>
      <c r="N780" s="2" t="s">
        <v>56</v>
      </c>
      <c r="O780" s="2" t="s">
        <v>57</v>
      </c>
      <c r="P780" s="2" t="s">
        <v>6473</v>
      </c>
      <c r="Q780" s="2" t="s">
        <v>6474</v>
      </c>
      <c r="R780" s="2" t="s">
        <v>6478</v>
      </c>
      <c r="S780" s="2" t="s">
        <v>6479</v>
      </c>
      <c r="V780" s="2" t="s">
        <v>6055</v>
      </c>
      <c r="W780" s="2" t="s">
        <v>6480</v>
      </c>
      <c r="Y780" s="2" t="s">
        <v>64</v>
      </c>
      <c r="Z780" s="2" t="s">
        <v>65</v>
      </c>
      <c r="AA780" s="2" t="s">
        <v>66</v>
      </c>
      <c r="AC780" s="2" t="s">
        <v>67</v>
      </c>
      <c r="AD780" s="2" t="s">
        <v>68</v>
      </c>
      <c r="AE780" s="2" t="s">
        <v>69</v>
      </c>
      <c r="AF780" s="2" t="s">
        <v>70</v>
      </c>
      <c r="AG780" s="2" t="s">
        <v>6473</v>
      </c>
      <c r="AK780" s="2" t="s">
        <v>6481</v>
      </c>
      <c r="AM780" s="2" t="s">
        <v>72</v>
      </c>
      <c r="AN780" s="2" t="s">
        <v>283</v>
      </c>
      <c r="AP780" s="2" t="s">
        <v>6384</v>
      </c>
      <c r="AU780" s="2" t="s">
        <v>75</v>
      </c>
      <c r="AW780" s="2" t="s">
        <v>6482</v>
      </c>
      <c r="AZ780" s="2" t="s">
        <v>116</v>
      </c>
    </row>
    <row r="781" spans="1:52" s="3" customFormat="1" x14ac:dyDescent="0.35">
      <c r="A781" s="2" t="s">
        <v>6483</v>
      </c>
      <c r="B781" s="4">
        <v>243129</v>
      </c>
      <c r="C781" s="2" t="s">
        <v>6484</v>
      </c>
      <c r="D781" s="2">
        <f t="shared" si="12"/>
        <v>2</v>
      </c>
      <c r="F781" s="2" t="s">
        <v>6384</v>
      </c>
      <c r="G781" s="2" t="s">
        <v>53</v>
      </c>
      <c r="H781" s="4">
        <v>2</v>
      </c>
      <c r="I781" s="4">
        <v>1</v>
      </c>
      <c r="J781" s="5">
        <v>2564.94</v>
      </c>
      <c r="K781" s="2" t="s">
        <v>1252</v>
      </c>
      <c r="L781" s="5">
        <v>2407.1999999999998</v>
      </c>
      <c r="M781" s="2" t="s">
        <v>55</v>
      </c>
      <c r="N781" s="2" t="s">
        <v>1253</v>
      </c>
      <c r="O781" s="2" t="s">
        <v>1254</v>
      </c>
      <c r="P781" s="2" t="s">
        <v>6234</v>
      </c>
      <c r="Q781" s="2" t="s">
        <v>6235</v>
      </c>
      <c r="R781" s="2" t="s">
        <v>6485</v>
      </c>
      <c r="T781" s="2" t="s">
        <v>6486</v>
      </c>
      <c r="U781" s="2" t="s">
        <v>6487</v>
      </c>
      <c r="V781" s="2" t="s">
        <v>6488</v>
      </c>
      <c r="W781" s="2" t="s">
        <v>6489</v>
      </c>
      <c r="X781" s="2" t="s">
        <v>6490</v>
      </c>
      <c r="Y781" s="2" t="s">
        <v>3209</v>
      </c>
      <c r="Z781" s="2" t="s">
        <v>3210</v>
      </c>
      <c r="AA781" s="2" t="s">
        <v>3211</v>
      </c>
      <c r="AB781" s="2" t="s">
        <v>6491</v>
      </c>
      <c r="AC781" s="2" t="s">
        <v>3213</v>
      </c>
      <c r="AD781" s="2" t="s">
        <v>68</v>
      </c>
      <c r="AE781" s="2" t="s">
        <v>69</v>
      </c>
      <c r="AF781" s="2" t="s">
        <v>70</v>
      </c>
      <c r="AG781" s="2" t="s">
        <v>6234</v>
      </c>
      <c r="AK781" s="2" t="s">
        <v>6492</v>
      </c>
      <c r="AM781" s="2" t="s">
        <v>72</v>
      </c>
      <c r="AN781" s="2" t="s">
        <v>595</v>
      </c>
      <c r="AP781" s="2" t="s">
        <v>4546</v>
      </c>
      <c r="AU781" s="2" t="s">
        <v>75</v>
      </c>
      <c r="AV781" s="2" t="s">
        <v>6493</v>
      </c>
      <c r="AW781" s="2" t="s">
        <v>6494</v>
      </c>
      <c r="AX781" s="2" t="s">
        <v>477</v>
      </c>
      <c r="AZ781" s="2" t="s">
        <v>1256</v>
      </c>
    </row>
    <row r="782" spans="1:52" s="3" customFormat="1" x14ac:dyDescent="0.35">
      <c r="A782" s="2" t="s">
        <v>6495</v>
      </c>
      <c r="B782" s="4">
        <v>243128</v>
      </c>
      <c r="C782" s="2" t="s">
        <v>6496</v>
      </c>
      <c r="D782" s="2">
        <f t="shared" si="12"/>
        <v>2</v>
      </c>
      <c r="F782" s="2" t="s">
        <v>6384</v>
      </c>
      <c r="G782" s="2" t="s">
        <v>53</v>
      </c>
      <c r="H782" s="4">
        <v>5</v>
      </c>
      <c r="I782" s="4">
        <v>1</v>
      </c>
      <c r="J782" s="5">
        <v>5175.1499999999996</v>
      </c>
      <c r="K782" s="2" t="s">
        <v>1252</v>
      </c>
      <c r="L782" s="5">
        <v>4856.88</v>
      </c>
      <c r="M782" s="2" t="s">
        <v>55</v>
      </c>
      <c r="N782" s="2" t="s">
        <v>1253</v>
      </c>
      <c r="O782" s="2" t="s">
        <v>1254</v>
      </c>
      <c r="P782" s="2" t="s">
        <v>4633</v>
      </c>
      <c r="Q782" s="2" t="s">
        <v>4634</v>
      </c>
      <c r="R782" s="2" t="s">
        <v>6485</v>
      </c>
      <c r="T782" s="2" t="s">
        <v>6486</v>
      </c>
      <c r="U782" s="2" t="s">
        <v>6487</v>
      </c>
      <c r="V782" s="2" t="s">
        <v>6488</v>
      </c>
      <c r="W782" s="2" t="s">
        <v>6489</v>
      </c>
      <c r="X782" s="2" t="s">
        <v>6490</v>
      </c>
      <c r="Y782" s="2" t="s">
        <v>3209</v>
      </c>
      <c r="Z782" s="2" t="s">
        <v>3210</v>
      </c>
      <c r="AA782" s="2" t="s">
        <v>3211</v>
      </c>
      <c r="AB782" s="2" t="s">
        <v>6491</v>
      </c>
      <c r="AC782" s="2" t="s">
        <v>3213</v>
      </c>
      <c r="AD782" s="2" t="s">
        <v>68</v>
      </c>
      <c r="AE782" s="2" t="s">
        <v>69</v>
      </c>
      <c r="AF782" s="2" t="s">
        <v>70</v>
      </c>
      <c r="AG782" s="2" t="s">
        <v>4633</v>
      </c>
      <c r="AK782" s="2" t="s">
        <v>6497</v>
      </c>
      <c r="AM782" s="2" t="s">
        <v>72</v>
      </c>
      <c r="AN782" s="2" t="s">
        <v>595</v>
      </c>
      <c r="AP782" s="2" t="s">
        <v>4546</v>
      </c>
      <c r="AU782" s="2" t="s">
        <v>75</v>
      </c>
      <c r="AV782" s="2" t="s">
        <v>6493</v>
      </c>
      <c r="AW782" s="2" t="s">
        <v>6494</v>
      </c>
      <c r="AX782" s="2" t="s">
        <v>477</v>
      </c>
      <c r="AZ782" s="2" t="s">
        <v>1256</v>
      </c>
    </row>
    <row r="783" spans="1:52" s="3" customFormat="1" x14ac:dyDescent="0.35">
      <c r="A783" s="2" t="s">
        <v>6498</v>
      </c>
      <c r="B783" s="4">
        <v>243126</v>
      </c>
      <c r="C783" s="2" t="s">
        <v>6499</v>
      </c>
      <c r="D783" s="2">
        <f t="shared" si="12"/>
        <v>2</v>
      </c>
      <c r="G783" s="2" t="s">
        <v>53</v>
      </c>
      <c r="H783" s="4">
        <v>1</v>
      </c>
      <c r="I783" s="4">
        <v>1</v>
      </c>
      <c r="J783" s="4">
        <v>0</v>
      </c>
      <c r="L783" s="4">
        <v>0</v>
      </c>
      <c r="M783" s="2" t="s">
        <v>55</v>
      </c>
      <c r="N783" s="2" t="s">
        <v>56</v>
      </c>
      <c r="O783" s="2" t="s">
        <v>57</v>
      </c>
      <c r="P783" s="2" t="s">
        <v>5638</v>
      </c>
      <c r="Q783" s="2" t="s">
        <v>5639</v>
      </c>
      <c r="R783" s="2" t="s">
        <v>6500</v>
      </c>
      <c r="S783" s="2" t="s">
        <v>6501</v>
      </c>
      <c r="V783" s="2" t="s">
        <v>6502</v>
      </c>
      <c r="W783" s="2" t="s">
        <v>6503</v>
      </c>
      <c r="Y783" s="2" t="s">
        <v>64</v>
      </c>
      <c r="Z783" s="2" t="s">
        <v>65</v>
      </c>
      <c r="AA783" s="2" t="s">
        <v>66</v>
      </c>
      <c r="AC783" s="2" t="s">
        <v>67</v>
      </c>
      <c r="AD783" s="2" t="s">
        <v>68</v>
      </c>
      <c r="AE783" s="2" t="s">
        <v>69</v>
      </c>
      <c r="AF783" s="2" t="s">
        <v>70</v>
      </c>
      <c r="AG783" s="2" t="s">
        <v>6504</v>
      </c>
      <c r="AK783" s="2" t="s">
        <v>6505</v>
      </c>
      <c r="AM783" s="2" t="s">
        <v>72</v>
      </c>
      <c r="AN783" s="2" t="s">
        <v>249</v>
      </c>
      <c r="AP783" s="2" t="s">
        <v>4449</v>
      </c>
      <c r="AU783" s="2" t="s">
        <v>75</v>
      </c>
      <c r="AW783" s="2" t="s">
        <v>6506</v>
      </c>
      <c r="AZ783" s="2" t="s">
        <v>116</v>
      </c>
    </row>
    <row r="784" spans="1:52" s="3" customFormat="1" x14ac:dyDescent="0.35">
      <c r="A784" s="2" t="s">
        <v>6507</v>
      </c>
      <c r="B784" s="4">
        <v>243125</v>
      </c>
      <c r="C784" s="2" t="s">
        <v>6508</v>
      </c>
      <c r="D784" s="2">
        <f t="shared" si="12"/>
        <v>2</v>
      </c>
      <c r="F784" s="2" t="s">
        <v>6472</v>
      </c>
      <c r="G784" s="2" t="s">
        <v>53</v>
      </c>
      <c r="H784" s="4">
        <v>1</v>
      </c>
      <c r="I784" s="4">
        <v>1</v>
      </c>
      <c r="J784" s="4">
        <v>0</v>
      </c>
      <c r="L784" s="4">
        <v>0</v>
      </c>
      <c r="M784" s="2" t="s">
        <v>55</v>
      </c>
      <c r="N784" s="2" t="s">
        <v>56</v>
      </c>
      <c r="O784" s="2" t="s">
        <v>57</v>
      </c>
      <c r="P784" s="2" t="s">
        <v>4877</v>
      </c>
      <c r="Q784" s="2" t="s">
        <v>4878</v>
      </c>
      <c r="R784" s="2" t="s">
        <v>6509</v>
      </c>
      <c r="S784" s="2" t="s">
        <v>6510</v>
      </c>
      <c r="V784" s="2" t="s">
        <v>6511</v>
      </c>
      <c r="W784" s="2" t="s">
        <v>6512</v>
      </c>
      <c r="Y784" s="2" t="s">
        <v>64</v>
      </c>
      <c r="Z784" s="2" t="s">
        <v>65</v>
      </c>
      <c r="AA784" s="2" t="s">
        <v>66</v>
      </c>
      <c r="AC784" s="2" t="s">
        <v>67</v>
      </c>
      <c r="AD784" s="2" t="s">
        <v>68</v>
      </c>
      <c r="AE784" s="2" t="s">
        <v>69</v>
      </c>
      <c r="AF784" s="2" t="s">
        <v>70</v>
      </c>
      <c r="AG784" s="2" t="s">
        <v>4877</v>
      </c>
      <c r="AK784" s="2" t="s">
        <v>6513</v>
      </c>
      <c r="AM784" s="2" t="s">
        <v>72</v>
      </c>
      <c r="AN784" s="2" t="s">
        <v>249</v>
      </c>
      <c r="AP784" s="2" t="s">
        <v>3758</v>
      </c>
      <c r="AU784" s="2" t="s">
        <v>75</v>
      </c>
      <c r="AV784" s="2" t="s">
        <v>6514</v>
      </c>
      <c r="AW784" s="2" t="s">
        <v>6515</v>
      </c>
      <c r="AZ784" s="2" t="s">
        <v>116</v>
      </c>
    </row>
    <row r="785" spans="1:52" s="3" customFormat="1" x14ac:dyDescent="0.35">
      <c r="A785" s="2" t="s">
        <v>6516</v>
      </c>
      <c r="B785" s="4">
        <v>243122</v>
      </c>
      <c r="C785" s="2" t="s">
        <v>6517</v>
      </c>
      <c r="D785" s="2">
        <f t="shared" si="12"/>
        <v>2</v>
      </c>
      <c r="F785" s="2" t="s">
        <v>6472</v>
      </c>
      <c r="G785" s="2" t="s">
        <v>53</v>
      </c>
      <c r="H785" s="4">
        <v>1</v>
      </c>
      <c r="I785" s="4">
        <v>1</v>
      </c>
      <c r="J785" s="4">
        <v>0</v>
      </c>
      <c r="L785" s="4">
        <v>0</v>
      </c>
      <c r="M785" s="2" t="s">
        <v>55</v>
      </c>
      <c r="N785" s="2" t="s">
        <v>56</v>
      </c>
      <c r="O785" s="2" t="s">
        <v>57</v>
      </c>
      <c r="P785" s="2" t="s">
        <v>6473</v>
      </c>
      <c r="Q785" s="2" t="s">
        <v>6474</v>
      </c>
      <c r="R785" s="2" t="s">
        <v>6518</v>
      </c>
      <c r="S785" s="2" t="s">
        <v>6519</v>
      </c>
      <c r="V785" s="2" t="s">
        <v>6520</v>
      </c>
      <c r="W785" s="2" t="s">
        <v>6521</v>
      </c>
      <c r="Y785" s="2" t="s">
        <v>64</v>
      </c>
      <c r="Z785" s="2" t="s">
        <v>65</v>
      </c>
      <c r="AA785" s="2" t="s">
        <v>66</v>
      </c>
      <c r="AC785" s="2" t="s">
        <v>67</v>
      </c>
      <c r="AD785" s="2" t="s">
        <v>68</v>
      </c>
      <c r="AE785" s="2" t="s">
        <v>69</v>
      </c>
      <c r="AF785" s="2" t="s">
        <v>70</v>
      </c>
      <c r="AG785" s="2" t="s">
        <v>6473</v>
      </c>
      <c r="AK785" s="2" t="s">
        <v>6522</v>
      </c>
      <c r="AM785" s="2" t="s">
        <v>72</v>
      </c>
      <c r="AN785" s="2" t="s">
        <v>473</v>
      </c>
      <c r="AP785" s="2" t="s">
        <v>6384</v>
      </c>
      <c r="AU785" s="2" t="s">
        <v>75</v>
      </c>
      <c r="AV785" s="2" t="s">
        <v>6523</v>
      </c>
      <c r="AW785" s="2" t="s">
        <v>6524</v>
      </c>
      <c r="AZ785" s="2" t="s">
        <v>116</v>
      </c>
    </row>
    <row r="786" spans="1:52" s="3" customFormat="1" x14ac:dyDescent="0.35">
      <c r="A786" s="2" t="s">
        <v>6525</v>
      </c>
      <c r="B786" s="4">
        <v>243115</v>
      </c>
      <c r="C786" s="2" t="s">
        <v>6526</v>
      </c>
      <c r="D786" s="2">
        <f t="shared" si="12"/>
        <v>2</v>
      </c>
      <c r="F786" s="2" t="s">
        <v>6472</v>
      </c>
      <c r="G786" s="2" t="s">
        <v>53</v>
      </c>
      <c r="H786" s="4">
        <v>1</v>
      </c>
      <c r="I786" s="4">
        <v>12</v>
      </c>
      <c r="J786" s="5">
        <v>70000</v>
      </c>
      <c r="K786" s="2" t="s">
        <v>80</v>
      </c>
      <c r="L786" s="5">
        <v>65695</v>
      </c>
      <c r="M786" s="2" t="s">
        <v>6527</v>
      </c>
      <c r="N786" s="2" t="s">
        <v>82</v>
      </c>
      <c r="O786" s="2" t="s">
        <v>83</v>
      </c>
      <c r="P786" s="2" t="s">
        <v>6254</v>
      </c>
      <c r="Q786" s="2" t="s">
        <v>6255</v>
      </c>
      <c r="R786" s="2" t="s">
        <v>6528</v>
      </c>
      <c r="S786" s="2" t="s">
        <v>6529</v>
      </c>
      <c r="T786" s="2" t="s">
        <v>6530</v>
      </c>
      <c r="U786" s="2" t="s">
        <v>6531</v>
      </c>
      <c r="V786" s="2" t="s">
        <v>6532</v>
      </c>
      <c r="W786" s="2" t="s">
        <v>6533</v>
      </c>
      <c r="Y786" s="2" t="s">
        <v>6534</v>
      </c>
      <c r="Z786" s="2" t="s">
        <v>6535</v>
      </c>
      <c r="AA786" s="2" t="s">
        <v>482</v>
      </c>
      <c r="AB786" s="2" t="s">
        <v>6536</v>
      </c>
      <c r="AC786" s="2" t="s">
        <v>6537</v>
      </c>
      <c r="AD786" s="2" t="s">
        <v>6538</v>
      </c>
      <c r="AE786" s="2" t="s">
        <v>1403</v>
      </c>
      <c r="AF786" s="2" t="s">
        <v>70</v>
      </c>
      <c r="AK786" s="2" t="s">
        <v>6539</v>
      </c>
      <c r="AL786" s="2" t="s">
        <v>6269</v>
      </c>
      <c r="AM786" s="2" t="s">
        <v>72</v>
      </c>
      <c r="AN786" s="2" t="s">
        <v>473</v>
      </c>
      <c r="AP786" s="2" t="s">
        <v>4177</v>
      </c>
      <c r="AU786" s="2" t="s">
        <v>75</v>
      </c>
      <c r="AV786" s="2" t="s">
        <v>6540</v>
      </c>
      <c r="AW786" s="2" t="s">
        <v>6541</v>
      </c>
      <c r="AZ786" s="2" t="s">
        <v>77</v>
      </c>
    </row>
    <row r="787" spans="1:52" s="3" customFormat="1" x14ac:dyDescent="0.35">
      <c r="A787" s="2" t="s">
        <v>6542</v>
      </c>
      <c r="B787" s="4">
        <v>243111</v>
      </c>
      <c r="C787" s="2" t="s">
        <v>6543</v>
      </c>
      <c r="D787" s="2">
        <f t="shared" si="12"/>
        <v>2</v>
      </c>
      <c r="F787" s="2" t="s">
        <v>6472</v>
      </c>
      <c r="G787" s="2" t="s">
        <v>53</v>
      </c>
      <c r="H787" s="4">
        <v>1</v>
      </c>
      <c r="I787" s="4">
        <v>12</v>
      </c>
      <c r="J787" s="5">
        <v>70000</v>
      </c>
      <c r="K787" s="2" t="s">
        <v>80</v>
      </c>
      <c r="L787" s="5">
        <v>70000</v>
      </c>
      <c r="M787" s="2" t="s">
        <v>6544</v>
      </c>
      <c r="N787" s="2" t="s">
        <v>82</v>
      </c>
      <c r="O787" s="2" t="s">
        <v>83</v>
      </c>
      <c r="P787" s="2" t="s">
        <v>6254</v>
      </c>
      <c r="Q787" s="2" t="s">
        <v>6255</v>
      </c>
      <c r="R787" s="2" t="s">
        <v>6545</v>
      </c>
      <c r="S787" s="2" t="s">
        <v>6546</v>
      </c>
      <c r="V787" s="2" t="s">
        <v>6547</v>
      </c>
      <c r="W787" s="2" t="s">
        <v>6548</v>
      </c>
      <c r="Y787" s="2" t="s">
        <v>6549</v>
      </c>
      <c r="Z787" s="2" t="s">
        <v>6550</v>
      </c>
      <c r="AA787" s="2" t="s">
        <v>6551</v>
      </c>
      <c r="AB787" s="2" t="s">
        <v>6552</v>
      </c>
      <c r="AC787" s="2" t="s">
        <v>6553</v>
      </c>
      <c r="AD787" s="2" t="s">
        <v>6554</v>
      </c>
      <c r="AE787" s="2" t="s">
        <v>2887</v>
      </c>
      <c r="AF787" s="2" t="s">
        <v>70</v>
      </c>
      <c r="AK787" s="2" t="s">
        <v>6555</v>
      </c>
      <c r="AL787" s="2" t="s">
        <v>6269</v>
      </c>
      <c r="AM787" s="2" t="s">
        <v>72</v>
      </c>
      <c r="AN787" s="2" t="s">
        <v>473</v>
      </c>
      <c r="AP787" s="2" t="s">
        <v>4177</v>
      </c>
      <c r="AU787" s="2" t="s">
        <v>75</v>
      </c>
      <c r="AV787" s="2" t="s">
        <v>6472</v>
      </c>
      <c r="AW787" s="2" t="s">
        <v>6556</v>
      </c>
      <c r="AZ787" s="2" t="s">
        <v>77</v>
      </c>
    </row>
    <row r="788" spans="1:52" s="3" customFormat="1" x14ac:dyDescent="0.35">
      <c r="A788" s="2" t="s">
        <v>6557</v>
      </c>
      <c r="B788" s="4">
        <v>243110</v>
      </c>
      <c r="C788" s="2" t="s">
        <v>6558</v>
      </c>
      <c r="D788" s="2">
        <f t="shared" si="12"/>
        <v>2</v>
      </c>
      <c r="F788" s="2" t="s">
        <v>6472</v>
      </c>
      <c r="G788" s="2" t="s">
        <v>53</v>
      </c>
      <c r="H788" s="4">
        <v>1</v>
      </c>
      <c r="I788" s="4">
        <v>1</v>
      </c>
      <c r="J788" s="4">
        <v>0</v>
      </c>
      <c r="L788" s="4">
        <v>0</v>
      </c>
      <c r="M788" s="2" t="s">
        <v>55</v>
      </c>
      <c r="N788" s="2" t="s">
        <v>56</v>
      </c>
      <c r="O788" s="2" t="s">
        <v>57</v>
      </c>
      <c r="P788" s="2" t="s">
        <v>6473</v>
      </c>
      <c r="Q788" s="2" t="s">
        <v>6474</v>
      </c>
      <c r="R788" s="2" t="s">
        <v>5598</v>
      </c>
      <c r="T788" s="2" t="s">
        <v>2833</v>
      </c>
      <c r="U788" s="2" t="s">
        <v>2834</v>
      </c>
      <c r="V788" s="2" t="s">
        <v>5599</v>
      </c>
      <c r="W788" s="2" t="s">
        <v>5600</v>
      </c>
      <c r="X788" s="2" t="s">
        <v>2837</v>
      </c>
      <c r="Y788" s="2" t="s">
        <v>2838</v>
      </c>
      <c r="Z788" s="2" t="s">
        <v>2839</v>
      </c>
      <c r="AA788" s="2" t="s">
        <v>2840</v>
      </c>
      <c r="AB788" s="2" t="s">
        <v>2841</v>
      </c>
      <c r="AC788" s="2" t="s">
        <v>2842</v>
      </c>
      <c r="AD788" s="2" t="s">
        <v>1402</v>
      </c>
      <c r="AE788" s="2" t="s">
        <v>1403</v>
      </c>
      <c r="AF788" s="2" t="s">
        <v>70</v>
      </c>
      <c r="AG788" s="2" t="s">
        <v>6559</v>
      </c>
      <c r="AK788" s="2" t="s">
        <v>6560</v>
      </c>
      <c r="AM788" s="2" t="s">
        <v>72</v>
      </c>
      <c r="AN788" s="2" t="s">
        <v>1046</v>
      </c>
      <c r="AP788" s="2" t="s">
        <v>6384</v>
      </c>
      <c r="AU788" s="2" t="s">
        <v>75</v>
      </c>
      <c r="AV788" s="2" t="s">
        <v>2844</v>
      </c>
      <c r="AW788" s="2" t="s">
        <v>2845</v>
      </c>
      <c r="AZ788" s="2" t="s">
        <v>116</v>
      </c>
    </row>
    <row r="789" spans="1:52" s="3" customFormat="1" x14ac:dyDescent="0.35">
      <c r="A789" s="2" t="s">
        <v>6561</v>
      </c>
      <c r="B789" s="4">
        <v>243109</v>
      </c>
      <c r="C789" s="2" t="s">
        <v>6562</v>
      </c>
      <c r="D789" s="2">
        <f t="shared" si="12"/>
        <v>2</v>
      </c>
      <c r="F789" s="2" t="s">
        <v>6472</v>
      </c>
      <c r="G789" s="2" t="s">
        <v>53</v>
      </c>
      <c r="H789" s="4">
        <v>2</v>
      </c>
      <c r="I789" s="4">
        <v>12</v>
      </c>
      <c r="J789" s="5">
        <v>140000</v>
      </c>
      <c r="K789" s="2" t="s">
        <v>80</v>
      </c>
      <c r="L789" s="5">
        <v>140000</v>
      </c>
      <c r="M789" s="2" t="s">
        <v>6563</v>
      </c>
      <c r="N789" s="2" t="s">
        <v>82</v>
      </c>
      <c r="O789" s="2" t="s">
        <v>83</v>
      </c>
      <c r="P789" s="2" t="s">
        <v>6254</v>
      </c>
      <c r="Q789" s="2" t="s">
        <v>6255</v>
      </c>
      <c r="R789" s="2" t="s">
        <v>6545</v>
      </c>
      <c r="S789" s="2" t="s">
        <v>6546</v>
      </c>
      <c r="V789" s="2" t="s">
        <v>6547</v>
      </c>
      <c r="W789" s="2" t="s">
        <v>6548</v>
      </c>
      <c r="Y789" s="2" t="s">
        <v>6549</v>
      </c>
      <c r="Z789" s="2" t="s">
        <v>6550</v>
      </c>
      <c r="AA789" s="2" t="s">
        <v>6551</v>
      </c>
      <c r="AB789" s="2" t="s">
        <v>6552</v>
      </c>
      <c r="AC789" s="2" t="s">
        <v>6553</v>
      </c>
      <c r="AD789" s="2" t="s">
        <v>6554</v>
      </c>
      <c r="AE789" s="2" t="s">
        <v>2887</v>
      </c>
      <c r="AF789" s="2" t="s">
        <v>70</v>
      </c>
      <c r="AK789" s="2" t="s">
        <v>6564</v>
      </c>
      <c r="AL789" s="2" t="s">
        <v>6269</v>
      </c>
      <c r="AM789" s="2" t="s">
        <v>72</v>
      </c>
      <c r="AN789" s="2" t="s">
        <v>473</v>
      </c>
      <c r="AP789" s="2" t="s">
        <v>4177</v>
      </c>
      <c r="AU789" s="2" t="s">
        <v>75</v>
      </c>
      <c r="AV789" s="2" t="s">
        <v>6472</v>
      </c>
      <c r="AW789" s="2" t="s">
        <v>6556</v>
      </c>
      <c r="AZ789" s="2" t="s">
        <v>77</v>
      </c>
    </row>
    <row r="790" spans="1:52" s="3" customFormat="1" x14ac:dyDescent="0.35">
      <c r="A790" s="2" t="s">
        <v>6565</v>
      </c>
      <c r="B790" s="4">
        <v>243089</v>
      </c>
      <c r="C790" s="2" t="s">
        <v>6566</v>
      </c>
      <c r="D790" s="2">
        <f t="shared" si="12"/>
        <v>2</v>
      </c>
      <c r="F790" s="2" t="s">
        <v>6472</v>
      </c>
      <c r="G790" s="2" t="s">
        <v>53</v>
      </c>
      <c r="H790" s="4">
        <v>2</v>
      </c>
      <c r="I790" s="4">
        <v>1</v>
      </c>
      <c r="J790" s="5">
        <v>140000</v>
      </c>
      <c r="K790" s="2" t="s">
        <v>1252</v>
      </c>
      <c r="L790" s="5">
        <v>131390</v>
      </c>
      <c r="M790" s="2" t="s">
        <v>55</v>
      </c>
      <c r="N790" s="2" t="s">
        <v>1253</v>
      </c>
      <c r="O790" s="2" t="s">
        <v>1254</v>
      </c>
      <c r="P790" s="2" t="s">
        <v>6254</v>
      </c>
      <c r="Q790" s="2" t="s">
        <v>6255</v>
      </c>
      <c r="R790" s="2" t="s">
        <v>6567</v>
      </c>
      <c r="T790" s="2" t="s">
        <v>6568</v>
      </c>
      <c r="U790" s="2" t="s">
        <v>6569</v>
      </c>
      <c r="V790" s="2" t="s">
        <v>6570</v>
      </c>
      <c r="W790" s="2" t="s">
        <v>6571</v>
      </c>
      <c r="X790" s="2" t="s">
        <v>6572</v>
      </c>
      <c r="Y790" s="2" t="s">
        <v>6573</v>
      </c>
      <c r="Z790" s="2" t="s">
        <v>6574</v>
      </c>
      <c r="AA790" s="2" t="s">
        <v>6575</v>
      </c>
      <c r="AC790" s="2" t="s">
        <v>6576</v>
      </c>
      <c r="AD790" s="2" t="s">
        <v>6577</v>
      </c>
      <c r="AE790" s="2" t="s">
        <v>1362</v>
      </c>
      <c r="AF790" s="2" t="s">
        <v>70</v>
      </c>
      <c r="AG790" s="2" t="s">
        <v>6578</v>
      </c>
      <c r="AK790" s="2" t="s">
        <v>6579</v>
      </c>
      <c r="AM790" s="2" t="s">
        <v>72</v>
      </c>
      <c r="AN790" s="2" t="s">
        <v>473</v>
      </c>
      <c r="AP790" s="2" t="s">
        <v>4177</v>
      </c>
      <c r="AU790" s="2" t="s">
        <v>75</v>
      </c>
      <c r="AV790" s="2" t="s">
        <v>6472</v>
      </c>
      <c r="AW790" s="2" t="s">
        <v>6580</v>
      </c>
      <c r="AX790" s="2" t="s">
        <v>477</v>
      </c>
      <c r="AZ790" s="2" t="s">
        <v>4750</v>
      </c>
    </row>
    <row r="791" spans="1:52" s="3" customFormat="1" x14ac:dyDescent="0.35">
      <c r="A791" s="2" t="s">
        <v>6581</v>
      </c>
      <c r="B791" s="4">
        <v>243081</v>
      </c>
      <c r="C791" s="2" t="s">
        <v>6582</v>
      </c>
      <c r="D791" s="2">
        <f t="shared" si="12"/>
        <v>2</v>
      </c>
      <c r="G791" s="2" t="s">
        <v>53</v>
      </c>
      <c r="H791" s="4">
        <v>1</v>
      </c>
      <c r="I791" s="4">
        <v>1</v>
      </c>
      <c r="J791" s="4">
        <v>0</v>
      </c>
      <c r="L791" s="4">
        <v>0</v>
      </c>
      <c r="M791" s="2" t="s">
        <v>55</v>
      </c>
      <c r="N791" s="2" t="s">
        <v>56</v>
      </c>
      <c r="O791" s="2" t="s">
        <v>57</v>
      </c>
      <c r="P791" s="2" t="s">
        <v>4887</v>
      </c>
      <c r="Q791" s="2" t="s">
        <v>4888</v>
      </c>
      <c r="R791" s="2" t="s">
        <v>6583</v>
      </c>
      <c r="S791" s="2" t="s">
        <v>6584</v>
      </c>
      <c r="V791" s="2" t="s">
        <v>6585</v>
      </c>
      <c r="W791" s="2" t="s">
        <v>6586</v>
      </c>
      <c r="Y791" s="2" t="s">
        <v>6587</v>
      </c>
      <c r="Z791" s="2" t="s">
        <v>65</v>
      </c>
      <c r="AA791" s="2" t="s">
        <v>5478</v>
      </c>
      <c r="AC791" s="2" t="s">
        <v>6588</v>
      </c>
      <c r="AD791" s="2" t="s">
        <v>68</v>
      </c>
      <c r="AE791" s="2" t="s">
        <v>69</v>
      </c>
      <c r="AF791" s="2" t="s">
        <v>70</v>
      </c>
      <c r="AG791" s="2" t="s">
        <v>6583</v>
      </c>
      <c r="AK791" s="2" t="s">
        <v>6589</v>
      </c>
      <c r="AM791" s="2" t="s">
        <v>72</v>
      </c>
      <c r="AN791" s="2" t="s">
        <v>1046</v>
      </c>
      <c r="AP791" s="2" t="s">
        <v>4546</v>
      </c>
      <c r="AU791" s="2" t="s">
        <v>75</v>
      </c>
      <c r="AV791" s="2" t="s">
        <v>6590</v>
      </c>
      <c r="AW791" s="2" t="s">
        <v>6591</v>
      </c>
      <c r="AZ791" s="2" t="s">
        <v>116</v>
      </c>
    </row>
    <row r="792" spans="1:52" s="3" customFormat="1" x14ac:dyDescent="0.35">
      <c r="A792" s="2" t="s">
        <v>6592</v>
      </c>
      <c r="B792" s="4">
        <v>243075</v>
      </c>
      <c r="C792" s="2" t="s">
        <v>6593</v>
      </c>
      <c r="D792" s="2">
        <f t="shared" si="12"/>
        <v>2</v>
      </c>
      <c r="G792" s="2" t="s">
        <v>53</v>
      </c>
      <c r="H792" s="4">
        <v>1</v>
      </c>
      <c r="I792" s="4">
        <v>1</v>
      </c>
      <c r="J792" s="4">
        <v>0</v>
      </c>
      <c r="L792" s="4">
        <v>0</v>
      </c>
      <c r="M792" s="2" t="s">
        <v>55</v>
      </c>
      <c r="N792" s="2" t="s">
        <v>56</v>
      </c>
      <c r="O792" s="2" t="s">
        <v>57</v>
      </c>
      <c r="P792" s="2" t="s">
        <v>6407</v>
      </c>
      <c r="Q792" s="2" t="s">
        <v>6408</v>
      </c>
      <c r="R792" s="2" t="s">
        <v>6594</v>
      </c>
      <c r="S792" s="2" t="s">
        <v>6595</v>
      </c>
      <c r="V792" s="2" t="s">
        <v>6596</v>
      </c>
      <c r="W792" s="2" t="s">
        <v>6597</v>
      </c>
      <c r="Y792" s="2" t="s">
        <v>64</v>
      </c>
      <c r="Z792" s="2" t="s">
        <v>65</v>
      </c>
      <c r="AA792" s="2" t="s">
        <v>66</v>
      </c>
      <c r="AC792" s="2" t="s">
        <v>67</v>
      </c>
      <c r="AD792" s="2" t="s">
        <v>68</v>
      </c>
      <c r="AE792" s="2" t="s">
        <v>69</v>
      </c>
      <c r="AF792" s="2" t="s">
        <v>70</v>
      </c>
      <c r="AG792" s="2" t="s">
        <v>6413</v>
      </c>
      <c r="AK792" s="2" t="s">
        <v>6598</v>
      </c>
      <c r="AM792" s="2" t="s">
        <v>72</v>
      </c>
      <c r="AN792" s="2" t="s">
        <v>595</v>
      </c>
      <c r="AP792" s="2" t="s">
        <v>6001</v>
      </c>
      <c r="AU792" s="2" t="s">
        <v>75</v>
      </c>
      <c r="AW792" s="2" t="s">
        <v>6599</v>
      </c>
      <c r="AZ792" s="2" t="s">
        <v>116</v>
      </c>
    </row>
    <row r="793" spans="1:52" s="3" customFormat="1" x14ac:dyDescent="0.35">
      <c r="A793" s="2" t="s">
        <v>6600</v>
      </c>
      <c r="B793" s="4">
        <v>243067</v>
      </c>
      <c r="C793" s="2" t="s">
        <v>6601</v>
      </c>
      <c r="D793" s="2">
        <f t="shared" si="12"/>
        <v>2</v>
      </c>
      <c r="F793" s="2" t="s">
        <v>6384</v>
      </c>
      <c r="G793" s="2" t="s">
        <v>53</v>
      </c>
      <c r="H793" s="4">
        <v>1</v>
      </c>
      <c r="I793" s="4">
        <v>1</v>
      </c>
      <c r="J793" s="5">
        <v>80000</v>
      </c>
      <c r="K793" s="2" t="s">
        <v>1252</v>
      </c>
      <c r="L793" s="5">
        <v>75080</v>
      </c>
      <c r="M793" s="2" t="s">
        <v>55</v>
      </c>
      <c r="N793" s="2" t="s">
        <v>1253</v>
      </c>
      <c r="O793" s="2" t="s">
        <v>1254</v>
      </c>
      <c r="P793" s="2" t="s">
        <v>6602</v>
      </c>
      <c r="Q793" s="2" t="s">
        <v>6603</v>
      </c>
      <c r="R793" s="2" t="s">
        <v>2636</v>
      </c>
      <c r="T793" s="2" t="s">
        <v>6604</v>
      </c>
      <c r="U793" s="2" t="s">
        <v>6605</v>
      </c>
      <c r="V793" s="2" t="s">
        <v>2639</v>
      </c>
      <c r="W793" s="2" t="s">
        <v>2640</v>
      </c>
      <c r="X793" s="2" t="s">
        <v>6606</v>
      </c>
      <c r="Y793" s="2" t="s">
        <v>2147</v>
      </c>
      <c r="Z793" s="2" t="s">
        <v>2148</v>
      </c>
      <c r="AA793" s="2" t="s">
        <v>2149</v>
      </c>
      <c r="AB793" s="2" t="s">
        <v>6607</v>
      </c>
      <c r="AC793" s="2" t="s">
        <v>2151</v>
      </c>
      <c r="AD793" s="2" t="s">
        <v>68</v>
      </c>
      <c r="AE793" s="2" t="s">
        <v>69</v>
      </c>
      <c r="AF793" s="2" t="s">
        <v>70</v>
      </c>
      <c r="AG793" s="2" t="s">
        <v>6608</v>
      </c>
      <c r="AK793" s="2" t="s">
        <v>6609</v>
      </c>
      <c r="AM793" s="2" t="s">
        <v>72</v>
      </c>
      <c r="AN793" s="2" t="s">
        <v>403</v>
      </c>
      <c r="AP793" s="2" t="s">
        <v>5757</v>
      </c>
      <c r="AU793" s="2" t="s">
        <v>75</v>
      </c>
      <c r="AV793" s="2" t="s">
        <v>6610</v>
      </c>
      <c r="AW793" s="2" t="s">
        <v>6611</v>
      </c>
      <c r="AX793" s="2" t="s">
        <v>77</v>
      </c>
      <c r="AZ793" s="2" t="s">
        <v>77</v>
      </c>
    </row>
    <row r="794" spans="1:52" s="3" customFormat="1" x14ac:dyDescent="0.35">
      <c r="A794" s="2" t="s">
        <v>6612</v>
      </c>
      <c r="B794" s="4">
        <v>243063</v>
      </c>
      <c r="C794" s="2" t="s">
        <v>6613</v>
      </c>
      <c r="D794" s="2">
        <f t="shared" si="12"/>
        <v>2</v>
      </c>
      <c r="F794" s="2" t="s">
        <v>6472</v>
      </c>
      <c r="G794" s="2" t="s">
        <v>53</v>
      </c>
      <c r="H794" s="4">
        <v>1</v>
      </c>
      <c r="I794" s="4">
        <v>1</v>
      </c>
      <c r="J794" s="5">
        <v>30000</v>
      </c>
      <c r="K794" s="2" t="s">
        <v>1252</v>
      </c>
      <c r="L794" s="5">
        <v>70387.5</v>
      </c>
      <c r="M794" s="2" t="s">
        <v>55</v>
      </c>
      <c r="N794" s="2" t="s">
        <v>1253</v>
      </c>
      <c r="O794" s="2" t="s">
        <v>1254</v>
      </c>
      <c r="P794" s="2" t="s">
        <v>6614</v>
      </c>
      <c r="Q794" s="2" t="s">
        <v>6615</v>
      </c>
      <c r="R794" s="2" t="s">
        <v>6616</v>
      </c>
      <c r="T794" s="2" t="s">
        <v>6617</v>
      </c>
      <c r="U794" s="2" t="s">
        <v>6618</v>
      </c>
      <c r="V794" s="2" t="s">
        <v>6619</v>
      </c>
      <c r="W794" s="2" t="s">
        <v>6620</v>
      </c>
      <c r="X794" s="2" t="s">
        <v>6621</v>
      </c>
      <c r="Y794" s="2" t="s">
        <v>6622</v>
      </c>
      <c r="Z794" s="2" t="s">
        <v>6623</v>
      </c>
      <c r="AA794" s="2" t="s">
        <v>6624</v>
      </c>
      <c r="AB794" s="2" t="s">
        <v>6625</v>
      </c>
      <c r="AC794" s="2" t="s">
        <v>1902</v>
      </c>
      <c r="AD794" s="2" t="s">
        <v>1903</v>
      </c>
      <c r="AE794" s="2" t="s">
        <v>69</v>
      </c>
      <c r="AF794" s="2" t="s">
        <v>70</v>
      </c>
      <c r="AG794" s="2" t="s">
        <v>6626</v>
      </c>
      <c r="AK794" s="2" t="s">
        <v>6627</v>
      </c>
      <c r="AM794" s="2" t="s">
        <v>72</v>
      </c>
      <c r="AN794" s="2" t="s">
        <v>595</v>
      </c>
      <c r="AP794" s="2" t="s">
        <v>5540</v>
      </c>
      <c r="AU794" s="2" t="s">
        <v>75</v>
      </c>
      <c r="AV794" s="2" t="s">
        <v>6628</v>
      </c>
      <c r="AW794" s="2" t="s">
        <v>6629</v>
      </c>
      <c r="AX794" s="2" t="s">
        <v>77</v>
      </c>
      <c r="AZ794" s="2" t="s">
        <v>77</v>
      </c>
    </row>
    <row r="795" spans="1:52" s="3" customFormat="1" x14ac:dyDescent="0.35">
      <c r="A795" s="2" t="s">
        <v>6612</v>
      </c>
      <c r="B795" s="4">
        <v>243063</v>
      </c>
      <c r="C795" s="2" t="s">
        <v>6613</v>
      </c>
      <c r="D795" s="2">
        <f t="shared" si="12"/>
        <v>2</v>
      </c>
      <c r="F795" s="2" t="s">
        <v>6472</v>
      </c>
      <c r="G795" s="2" t="s">
        <v>53</v>
      </c>
      <c r="H795" s="4">
        <v>1</v>
      </c>
      <c r="I795" s="4">
        <v>1</v>
      </c>
      <c r="J795" s="5">
        <v>45000</v>
      </c>
      <c r="K795" s="2" t="s">
        <v>1252</v>
      </c>
      <c r="L795" s="5">
        <v>70387.5</v>
      </c>
      <c r="M795" s="2" t="s">
        <v>55</v>
      </c>
      <c r="N795" s="2" t="s">
        <v>1253</v>
      </c>
      <c r="O795" s="2" t="s">
        <v>1254</v>
      </c>
      <c r="P795" s="2" t="s">
        <v>6630</v>
      </c>
      <c r="Q795" s="2" t="s">
        <v>6631</v>
      </c>
      <c r="R795" s="2" t="s">
        <v>6616</v>
      </c>
      <c r="T795" s="2" t="s">
        <v>6617</v>
      </c>
      <c r="U795" s="2" t="s">
        <v>6618</v>
      </c>
      <c r="V795" s="2" t="s">
        <v>6619</v>
      </c>
      <c r="W795" s="2" t="s">
        <v>6620</v>
      </c>
      <c r="X795" s="2" t="s">
        <v>6621</v>
      </c>
      <c r="Y795" s="2" t="s">
        <v>6622</v>
      </c>
      <c r="Z795" s="2" t="s">
        <v>6623</v>
      </c>
      <c r="AA795" s="2" t="s">
        <v>6624</v>
      </c>
      <c r="AB795" s="2" t="s">
        <v>6625</v>
      </c>
      <c r="AC795" s="2" t="s">
        <v>1902</v>
      </c>
      <c r="AD795" s="2" t="s">
        <v>1903</v>
      </c>
      <c r="AE795" s="2" t="s">
        <v>69</v>
      </c>
      <c r="AF795" s="2" t="s">
        <v>70</v>
      </c>
      <c r="AG795" s="2" t="s">
        <v>6626</v>
      </c>
      <c r="AK795" s="2" t="s">
        <v>6627</v>
      </c>
      <c r="AM795" s="2" t="s">
        <v>72</v>
      </c>
      <c r="AN795" s="2" t="s">
        <v>595</v>
      </c>
      <c r="AP795" s="2" t="s">
        <v>4770</v>
      </c>
      <c r="AU795" s="2" t="s">
        <v>75</v>
      </c>
      <c r="AV795" s="2" t="s">
        <v>6628</v>
      </c>
      <c r="AW795" s="2" t="s">
        <v>6629</v>
      </c>
      <c r="AX795" s="2" t="s">
        <v>77</v>
      </c>
      <c r="AZ795" s="2" t="s">
        <v>77</v>
      </c>
    </row>
    <row r="796" spans="1:52" s="3" customFormat="1" x14ac:dyDescent="0.35">
      <c r="A796" s="2" t="s">
        <v>6632</v>
      </c>
      <c r="B796" s="4">
        <v>243056</v>
      </c>
      <c r="C796" s="2" t="s">
        <v>6633</v>
      </c>
      <c r="D796" s="2">
        <f t="shared" si="12"/>
        <v>2</v>
      </c>
      <c r="F796" s="2" t="s">
        <v>6472</v>
      </c>
      <c r="G796" s="2" t="s">
        <v>53</v>
      </c>
      <c r="H796" s="4">
        <v>1</v>
      </c>
      <c r="I796" s="4">
        <v>12</v>
      </c>
      <c r="J796" s="5">
        <v>70000</v>
      </c>
      <c r="K796" s="2" t="s">
        <v>80</v>
      </c>
      <c r="L796" s="5">
        <v>65695</v>
      </c>
      <c r="M796" s="2" t="s">
        <v>6634</v>
      </c>
      <c r="N796" s="2" t="s">
        <v>82</v>
      </c>
      <c r="O796" s="2" t="s">
        <v>83</v>
      </c>
      <c r="P796" s="2" t="s">
        <v>6254</v>
      </c>
      <c r="Q796" s="2" t="s">
        <v>6255</v>
      </c>
      <c r="R796" s="2" t="s">
        <v>6635</v>
      </c>
      <c r="S796" s="2" t="s">
        <v>6636</v>
      </c>
      <c r="T796" s="2" t="s">
        <v>6637</v>
      </c>
      <c r="U796" s="2" t="s">
        <v>6638</v>
      </c>
      <c r="V796" s="2" t="s">
        <v>6639</v>
      </c>
      <c r="W796" s="2" t="s">
        <v>6640</v>
      </c>
      <c r="Y796" s="2" t="s">
        <v>6641</v>
      </c>
      <c r="Z796" s="2" t="s">
        <v>6642</v>
      </c>
      <c r="AA796" s="2" t="s">
        <v>6643</v>
      </c>
      <c r="AB796" s="2" t="s">
        <v>6644</v>
      </c>
      <c r="AC796" s="2" t="s">
        <v>6645</v>
      </c>
      <c r="AD796" s="2" t="s">
        <v>6646</v>
      </c>
      <c r="AE796" s="2" t="s">
        <v>2757</v>
      </c>
      <c r="AF796" s="2" t="s">
        <v>70</v>
      </c>
      <c r="AK796" s="2" t="s">
        <v>6647</v>
      </c>
      <c r="AL796" s="2" t="s">
        <v>6269</v>
      </c>
      <c r="AM796" s="2" t="s">
        <v>72</v>
      </c>
      <c r="AN796" s="2" t="s">
        <v>473</v>
      </c>
      <c r="AP796" s="2" t="s">
        <v>4177</v>
      </c>
      <c r="AU796" s="2" t="s">
        <v>75</v>
      </c>
      <c r="AV796" s="2" t="s">
        <v>6472</v>
      </c>
      <c r="AW796" s="2" t="s">
        <v>6648</v>
      </c>
      <c r="AZ796" s="2" t="s">
        <v>77</v>
      </c>
    </row>
    <row r="797" spans="1:52" s="3" customFormat="1" x14ac:dyDescent="0.35">
      <c r="A797" s="2" t="s">
        <v>6653</v>
      </c>
      <c r="B797" s="4">
        <v>243052</v>
      </c>
      <c r="C797" s="2" t="s">
        <v>6654</v>
      </c>
      <c r="D797" s="2">
        <f t="shared" si="12"/>
        <v>2</v>
      </c>
      <c r="F797" s="2" t="s">
        <v>6472</v>
      </c>
      <c r="G797" s="2" t="s">
        <v>53</v>
      </c>
      <c r="H797" s="4">
        <v>1</v>
      </c>
      <c r="I797" s="4">
        <v>1</v>
      </c>
      <c r="J797" s="5">
        <v>2800</v>
      </c>
      <c r="K797" s="2" t="s">
        <v>1252</v>
      </c>
      <c r="L797" s="5">
        <v>2627.8</v>
      </c>
      <c r="M797" s="2" t="s">
        <v>55</v>
      </c>
      <c r="N797" s="2" t="s">
        <v>1253</v>
      </c>
      <c r="O797" s="2" t="s">
        <v>1254</v>
      </c>
      <c r="P797" s="2" t="s">
        <v>6473</v>
      </c>
      <c r="Q797" s="2" t="s">
        <v>6474</v>
      </c>
      <c r="R797" s="2" t="s">
        <v>6649</v>
      </c>
      <c r="T797" s="2" t="s">
        <v>6655</v>
      </c>
      <c r="U797" s="2" t="s">
        <v>6656</v>
      </c>
      <c r="V797" s="2" t="s">
        <v>6650</v>
      </c>
      <c r="W797" s="2" t="s">
        <v>6651</v>
      </c>
      <c r="X797" s="2" t="s">
        <v>6652</v>
      </c>
      <c r="Y797" s="2" t="s">
        <v>6657</v>
      </c>
      <c r="Z797" s="2" t="s">
        <v>6658</v>
      </c>
      <c r="AA797" s="2" t="s">
        <v>6659</v>
      </c>
      <c r="AB797" s="2" t="s">
        <v>6660</v>
      </c>
      <c r="AC797" s="2" t="s">
        <v>6661</v>
      </c>
      <c r="AD797" s="2" t="s">
        <v>2756</v>
      </c>
      <c r="AE797" s="2" t="s">
        <v>2757</v>
      </c>
      <c r="AF797" s="2" t="s">
        <v>70</v>
      </c>
      <c r="AG797" s="2" t="s">
        <v>6473</v>
      </c>
      <c r="AK797" s="2" t="s">
        <v>6662</v>
      </c>
      <c r="AM797" s="2" t="s">
        <v>72</v>
      </c>
      <c r="AN797" s="2" t="s">
        <v>73</v>
      </c>
      <c r="AP797" s="2" t="s">
        <v>6384</v>
      </c>
      <c r="AU797" s="2" t="s">
        <v>75</v>
      </c>
      <c r="AV797" s="2" t="s">
        <v>6663</v>
      </c>
      <c r="AW797" s="2" t="s">
        <v>6664</v>
      </c>
      <c r="AX797" s="2" t="s">
        <v>77</v>
      </c>
      <c r="AZ797" s="2" t="s">
        <v>77</v>
      </c>
    </row>
    <row r="798" spans="1:52" s="3" customFormat="1" x14ac:dyDescent="0.35">
      <c r="A798" s="2" t="s">
        <v>6665</v>
      </c>
      <c r="B798" s="4">
        <v>243030</v>
      </c>
      <c r="C798" s="2" t="s">
        <v>6666</v>
      </c>
      <c r="D798" s="2">
        <f t="shared" si="12"/>
        <v>2</v>
      </c>
      <c r="F798" s="2" t="s">
        <v>6472</v>
      </c>
      <c r="G798" s="2" t="s">
        <v>53</v>
      </c>
      <c r="H798" s="4">
        <v>2</v>
      </c>
      <c r="I798" s="4">
        <v>1</v>
      </c>
      <c r="J798" s="5">
        <v>1800</v>
      </c>
      <c r="K798" s="2" t="s">
        <v>1252</v>
      </c>
      <c r="L798" s="5">
        <v>1689.3</v>
      </c>
      <c r="M798" s="2" t="s">
        <v>55</v>
      </c>
      <c r="N798" s="2" t="s">
        <v>1253</v>
      </c>
      <c r="O798" s="2" t="s">
        <v>1254</v>
      </c>
      <c r="P798" s="2" t="s">
        <v>6234</v>
      </c>
      <c r="Q798" s="2" t="s">
        <v>6235</v>
      </c>
      <c r="R798" s="2" t="s">
        <v>6667</v>
      </c>
      <c r="T798" s="2" t="s">
        <v>6668</v>
      </c>
      <c r="U798" s="2" t="s">
        <v>6669</v>
      </c>
      <c r="V798" s="2" t="s">
        <v>6670</v>
      </c>
      <c r="W798" s="2" t="s">
        <v>6671</v>
      </c>
      <c r="X798" s="2" t="s">
        <v>6672</v>
      </c>
      <c r="Y798" s="2" t="s">
        <v>4329</v>
      </c>
      <c r="Z798" s="2" t="s">
        <v>4330</v>
      </c>
      <c r="AA798" s="2" t="s">
        <v>4331</v>
      </c>
      <c r="AB798" s="2" t="s">
        <v>6673</v>
      </c>
      <c r="AC798" s="2" t="s">
        <v>4333</v>
      </c>
      <c r="AD798" s="2" t="s">
        <v>3521</v>
      </c>
      <c r="AE798" s="2" t="s">
        <v>96</v>
      </c>
      <c r="AF798" s="2" t="s">
        <v>70</v>
      </c>
      <c r="AG798" s="2" t="s">
        <v>6674</v>
      </c>
      <c r="AK798" s="2" t="s">
        <v>6675</v>
      </c>
      <c r="AM798" s="2" t="s">
        <v>72</v>
      </c>
      <c r="AN798" s="2" t="s">
        <v>473</v>
      </c>
      <c r="AP798" s="2" t="s">
        <v>4546</v>
      </c>
      <c r="AU798" s="2" t="s">
        <v>75</v>
      </c>
      <c r="AV798" s="2" t="s">
        <v>6676</v>
      </c>
      <c r="AW798" s="2" t="s">
        <v>6677</v>
      </c>
      <c r="AX798" s="2" t="s">
        <v>477</v>
      </c>
      <c r="AZ798" s="2" t="s">
        <v>1256</v>
      </c>
    </row>
    <row r="799" spans="1:52" s="3" customFormat="1" x14ac:dyDescent="0.35">
      <c r="A799" s="2" t="s">
        <v>6678</v>
      </c>
      <c r="B799" s="4">
        <v>243017</v>
      </c>
      <c r="C799" s="2" t="s">
        <v>6679</v>
      </c>
      <c r="D799" s="2">
        <f t="shared" si="12"/>
        <v>2</v>
      </c>
      <c r="F799" s="2" t="s">
        <v>6680</v>
      </c>
      <c r="G799" s="2" t="s">
        <v>53</v>
      </c>
      <c r="H799" s="4">
        <v>2</v>
      </c>
      <c r="I799" s="4">
        <v>1</v>
      </c>
      <c r="J799" s="4">
        <v>0</v>
      </c>
      <c r="L799" s="4">
        <v>0</v>
      </c>
      <c r="M799" s="2" t="s">
        <v>55</v>
      </c>
      <c r="N799" s="2" t="s">
        <v>56</v>
      </c>
      <c r="O799" s="2" t="s">
        <v>57</v>
      </c>
      <c r="P799" s="2" t="s">
        <v>6473</v>
      </c>
      <c r="Q799" s="2" t="s">
        <v>6474</v>
      </c>
      <c r="R799" s="2" t="s">
        <v>6649</v>
      </c>
      <c r="S799" s="2" t="s">
        <v>6681</v>
      </c>
      <c r="V799" s="2" t="s">
        <v>6650</v>
      </c>
      <c r="W799" s="2" t="s">
        <v>6682</v>
      </c>
      <c r="Y799" s="2" t="s">
        <v>64</v>
      </c>
      <c r="Z799" s="2" t="s">
        <v>65</v>
      </c>
      <c r="AA799" s="2" t="s">
        <v>66</v>
      </c>
      <c r="AC799" s="2" t="s">
        <v>67</v>
      </c>
      <c r="AD799" s="2" t="s">
        <v>68</v>
      </c>
      <c r="AE799" s="2" t="s">
        <v>69</v>
      </c>
      <c r="AF799" s="2" t="s">
        <v>70</v>
      </c>
      <c r="AG799" s="2" t="s">
        <v>6473</v>
      </c>
      <c r="AK799" s="2" t="s">
        <v>6683</v>
      </c>
      <c r="AM799" s="2" t="s">
        <v>72</v>
      </c>
      <c r="AN799" s="2" t="s">
        <v>73</v>
      </c>
      <c r="AP799" s="2" t="s">
        <v>6384</v>
      </c>
      <c r="AU799" s="2" t="s">
        <v>75</v>
      </c>
      <c r="AW799" s="2" t="s">
        <v>6684</v>
      </c>
      <c r="AZ799" s="2" t="s">
        <v>116</v>
      </c>
    </row>
    <row r="800" spans="1:52" s="3" customFormat="1" x14ac:dyDescent="0.35">
      <c r="A800" s="2" t="s">
        <v>6685</v>
      </c>
      <c r="B800" s="4">
        <v>243016</v>
      </c>
      <c r="C800" s="2" t="s">
        <v>6686</v>
      </c>
      <c r="D800" s="2">
        <f t="shared" si="12"/>
        <v>2</v>
      </c>
      <c r="F800" s="2" t="s">
        <v>6680</v>
      </c>
      <c r="G800" s="2" t="s">
        <v>53</v>
      </c>
      <c r="H800" s="4">
        <v>1</v>
      </c>
      <c r="I800" s="4">
        <v>1</v>
      </c>
      <c r="J800" s="4">
        <v>0</v>
      </c>
      <c r="L800" s="4">
        <v>0</v>
      </c>
      <c r="M800" s="2" t="s">
        <v>55</v>
      </c>
      <c r="N800" s="2" t="s">
        <v>56</v>
      </c>
      <c r="O800" s="2" t="s">
        <v>57</v>
      </c>
      <c r="P800" s="2" t="s">
        <v>58</v>
      </c>
      <c r="Q800" s="2" t="s">
        <v>59</v>
      </c>
      <c r="R800" s="2" t="s">
        <v>6687</v>
      </c>
      <c r="S800" s="2" t="s">
        <v>6688</v>
      </c>
      <c r="V800" s="2" t="s">
        <v>6689</v>
      </c>
      <c r="W800" s="2" t="s">
        <v>5142</v>
      </c>
      <c r="Y800" s="2" t="s">
        <v>64</v>
      </c>
      <c r="Z800" s="2" t="s">
        <v>65</v>
      </c>
      <c r="AA800" s="2" t="s">
        <v>66</v>
      </c>
      <c r="AC800" s="2" t="s">
        <v>67</v>
      </c>
      <c r="AD800" s="2" t="s">
        <v>68</v>
      </c>
      <c r="AE800" s="2" t="s">
        <v>69</v>
      </c>
      <c r="AF800" s="2" t="s">
        <v>70</v>
      </c>
      <c r="AG800" s="2" t="s">
        <v>58</v>
      </c>
      <c r="AK800" s="2" t="s">
        <v>6690</v>
      </c>
      <c r="AM800" s="2" t="s">
        <v>72</v>
      </c>
      <c r="AN800" s="2" t="s">
        <v>403</v>
      </c>
      <c r="AP800" s="2" t="s">
        <v>74</v>
      </c>
      <c r="AU800" s="2" t="s">
        <v>75</v>
      </c>
      <c r="AV800" s="2" t="s">
        <v>6691</v>
      </c>
      <c r="AW800" s="2" t="s">
        <v>6692</v>
      </c>
      <c r="AZ800" s="2" t="s">
        <v>116</v>
      </c>
    </row>
    <row r="801" spans="1:52" s="3" customFormat="1" x14ac:dyDescent="0.35">
      <c r="A801" s="2" t="s">
        <v>6693</v>
      </c>
      <c r="B801" s="4">
        <v>243015</v>
      </c>
      <c r="C801" s="2" t="s">
        <v>6694</v>
      </c>
      <c r="D801" s="2">
        <f t="shared" si="12"/>
        <v>2</v>
      </c>
      <c r="F801" s="2" t="s">
        <v>6680</v>
      </c>
      <c r="G801" s="2" t="s">
        <v>53</v>
      </c>
      <c r="H801" s="4">
        <v>1</v>
      </c>
      <c r="I801" s="4">
        <v>1</v>
      </c>
      <c r="J801" s="4">
        <v>0</v>
      </c>
      <c r="L801" s="4">
        <v>0</v>
      </c>
      <c r="M801" s="2" t="s">
        <v>55</v>
      </c>
      <c r="N801" s="2" t="s">
        <v>56</v>
      </c>
      <c r="O801" s="2" t="s">
        <v>57</v>
      </c>
      <c r="P801" s="2" t="s">
        <v>58</v>
      </c>
      <c r="Q801" s="2" t="s">
        <v>59</v>
      </c>
      <c r="R801" s="2" t="s">
        <v>6695</v>
      </c>
      <c r="S801" s="2" t="s">
        <v>6696</v>
      </c>
      <c r="V801" s="2" t="s">
        <v>6697</v>
      </c>
      <c r="W801" s="2" t="s">
        <v>5142</v>
      </c>
      <c r="Y801" s="2" t="s">
        <v>64</v>
      </c>
      <c r="Z801" s="2" t="s">
        <v>65</v>
      </c>
      <c r="AA801" s="2" t="s">
        <v>66</v>
      </c>
      <c r="AC801" s="2" t="s">
        <v>67</v>
      </c>
      <c r="AD801" s="2" t="s">
        <v>68</v>
      </c>
      <c r="AE801" s="2" t="s">
        <v>69</v>
      </c>
      <c r="AF801" s="2" t="s">
        <v>70</v>
      </c>
      <c r="AG801" s="2" t="s">
        <v>58</v>
      </c>
      <c r="AK801" s="2" t="s">
        <v>6698</v>
      </c>
      <c r="AM801" s="2" t="s">
        <v>72</v>
      </c>
      <c r="AN801" s="2" t="s">
        <v>403</v>
      </c>
      <c r="AP801" s="2" t="s">
        <v>74</v>
      </c>
      <c r="AU801" s="2" t="s">
        <v>75</v>
      </c>
      <c r="AW801" s="2" t="s">
        <v>6699</v>
      </c>
      <c r="AZ801" s="2" t="s">
        <v>116</v>
      </c>
    </row>
    <row r="802" spans="1:52" s="3" customFormat="1" x14ac:dyDescent="0.35">
      <c r="A802" s="2" t="s">
        <v>6700</v>
      </c>
      <c r="B802" s="4">
        <v>243014</v>
      </c>
      <c r="C802" s="2" t="s">
        <v>6701</v>
      </c>
      <c r="D802" s="2">
        <f t="shared" si="12"/>
        <v>2</v>
      </c>
      <c r="F802" s="2" t="s">
        <v>6680</v>
      </c>
      <c r="G802" s="2" t="s">
        <v>53</v>
      </c>
      <c r="H802" s="4">
        <v>1</v>
      </c>
      <c r="I802" s="4">
        <v>1</v>
      </c>
      <c r="J802" s="4">
        <v>0</v>
      </c>
      <c r="L802" s="4">
        <v>0</v>
      </c>
      <c r="M802" s="2" t="s">
        <v>55</v>
      </c>
      <c r="N802" s="2" t="s">
        <v>56</v>
      </c>
      <c r="O802" s="2" t="s">
        <v>57</v>
      </c>
      <c r="P802" s="2" t="s">
        <v>6473</v>
      </c>
      <c r="Q802" s="2" t="s">
        <v>6474</v>
      </c>
      <c r="R802" s="2" t="s">
        <v>6702</v>
      </c>
      <c r="S802" s="2" t="s">
        <v>6703</v>
      </c>
      <c r="V802" s="2" t="s">
        <v>6704</v>
      </c>
      <c r="W802" s="2" t="s">
        <v>6705</v>
      </c>
      <c r="Y802" s="2" t="s">
        <v>64</v>
      </c>
      <c r="Z802" s="2" t="s">
        <v>65</v>
      </c>
      <c r="AA802" s="2" t="s">
        <v>66</v>
      </c>
      <c r="AC802" s="2" t="s">
        <v>67</v>
      </c>
      <c r="AD802" s="2" t="s">
        <v>68</v>
      </c>
      <c r="AE802" s="2" t="s">
        <v>69</v>
      </c>
      <c r="AF802" s="2" t="s">
        <v>70</v>
      </c>
      <c r="AG802" s="2" t="s">
        <v>6473</v>
      </c>
      <c r="AK802" s="2" t="s">
        <v>6706</v>
      </c>
      <c r="AM802" s="2" t="s">
        <v>72</v>
      </c>
      <c r="AN802" s="2" t="s">
        <v>73</v>
      </c>
      <c r="AP802" s="2" t="s">
        <v>6384</v>
      </c>
      <c r="AU802" s="2" t="s">
        <v>75</v>
      </c>
      <c r="AV802" s="2" t="s">
        <v>6707</v>
      </c>
      <c r="AW802" s="2" t="s">
        <v>6708</v>
      </c>
      <c r="AZ802" s="2" t="s">
        <v>116</v>
      </c>
    </row>
    <row r="803" spans="1:52" s="3" customFormat="1" x14ac:dyDescent="0.35">
      <c r="A803" s="2" t="s">
        <v>6709</v>
      </c>
      <c r="B803" s="4">
        <v>243001</v>
      </c>
      <c r="C803" s="2" t="s">
        <v>6710</v>
      </c>
      <c r="D803" s="2">
        <f t="shared" si="12"/>
        <v>2</v>
      </c>
      <c r="F803" s="2" t="s">
        <v>6680</v>
      </c>
      <c r="G803" s="2" t="s">
        <v>53</v>
      </c>
      <c r="H803" s="4">
        <v>1</v>
      </c>
      <c r="I803" s="4">
        <v>1</v>
      </c>
      <c r="J803" s="5">
        <v>70000</v>
      </c>
      <c r="K803" s="2" t="s">
        <v>1252</v>
      </c>
      <c r="L803" s="5">
        <v>65695</v>
      </c>
      <c r="N803" s="2" t="s">
        <v>1253</v>
      </c>
      <c r="O803" s="2" t="s">
        <v>1254</v>
      </c>
      <c r="P803" s="2" t="s">
        <v>6254</v>
      </c>
      <c r="Q803" s="2" t="s">
        <v>6255</v>
      </c>
      <c r="R803" s="2" t="s">
        <v>6711</v>
      </c>
      <c r="S803" s="2" t="s">
        <v>6712</v>
      </c>
      <c r="T803" s="2" t="s">
        <v>6713</v>
      </c>
      <c r="U803" s="2" t="s">
        <v>6714</v>
      </c>
      <c r="V803" s="2" t="s">
        <v>6715</v>
      </c>
      <c r="W803" s="2" t="s">
        <v>6716</v>
      </c>
      <c r="Y803" s="2" t="s">
        <v>6717</v>
      </c>
      <c r="Z803" s="2" t="s">
        <v>6718</v>
      </c>
      <c r="AA803" s="2" t="s">
        <v>6719</v>
      </c>
      <c r="AB803" s="2" t="s">
        <v>6720</v>
      </c>
      <c r="AC803" s="2" t="s">
        <v>4824</v>
      </c>
      <c r="AD803" s="2" t="s">
        <v>6721</v>
      </c>
      <c r="AE803" s="2" t="s">
        <v>2980</v>
      </c>
      <c r="AF803" s="2" t="s">
        <v>70</v>
      </c>
      <c r="AK803" s="2" t="s">
        <v>6722</v>
      </c>
      <c r="AL803" s="2" t="s">
        <v>6269</v>
      </c>
      <c r="AM803" s="2" t="s">
        <v>72</v>
      </c>
      <c r="AN803" s="2" t="s">
        <v>473</v>
      </c>
      <c r="AP803" s="2" t="s">
        <v>4177</v>
      </c>
      <c r="AU803" s="2" t="s">
        <v>75</v>
      </c>
      <c r="AV803" s="2" t="s">
        <v>6680</v>
      </c>
      <c r="AW803" s="2" t="s">
        <v>6723</v>
      </c>
      <c r="AZ803" s="2" t="s">
        <v>4750</v>
      </c>
    </row>
    <row r="804" spans="1:52" s="3" customFormat="1" x14ac:dyDescent="0.35">
      <c r="A804" s="2" t="s">
        <v>6724</v>
      </c>
      <c r="B804" s="4">
        <v>242980</v>
      </c>
      <c r="C804" s="2" t="s">
        <v>6725</v>
      </c>
      <c r="D804" s="2">
        <f t="shared" si="12"/>
        <v>2</v>
      </c>
      <c r="F804" s="2" t="s">
        <v>6680</v>
      </c>
      <c r="G804" s="2" t="s">
        <v>53</v>
      </c>
      <c r="H804" s="4">
        <v>1</v>
      </c>
      <c r="I804" s="4">
        <v>1</v>
      </c>
      <c r="J804" s="5">
        <v>70000</v>
      </c>
      <c r="L804" s="5">
        <v>65695</v>
      </c>
      <c r="M804" s="2" t="s">
        <v>55</v>
      </c>
      <c r="O804" s="2" t="s">
        <v>6726</v>
      </c>
      <c r="P804" s="2" t="s">
        <v>6254</v>
      </c>
      <c r="Q804" s="2" t="s">
        <v>6255</v>
      </c>
      <c r="R804" s="2" t="s">
        <v>6727</v>
      </c>
      <c r="T804" s="2" t="s">
        <v>6728</v>
      </c>
      <c r="U804" s="2" t="s">
        <v>6729</v>
      </c>
      <c r="V804" s="2" t="s">
        <v>6730</v>
      </c>
      <c r="W804" s="2" t="s">
        <v>6731</v>
      </c>
      <c r="X804" s="2" t="s">
        <v>6732</v>
      </c>
      <c r="Y804" s="2" t="s">
        <v>6733</v>
      </c>
      <c r="Z804" s="2" t="s">
        <v>6734</v>
      </c>
      <c r="AA804" s="2" t="s">
        <v>6735</v>
      </c>
      <c r="AB804" s="2" t="s">
        <v>6736</v>
      </c>
      <c r="AC804" s="2" t="s">
        <v>6737</v>
      </c>
      <c r="AD804" s="2" t="s">
        <v>6738</v>
      </c>
      <c r="AE804" s="2" t="s">
        <v>6739</v>
      </c>
      <c r="AF804" s="2" t="s">
        <v>70</v>
      </c>
      <c r="AG804" s="2" t="s">
        <v>6254</v>
      </c>
      <c r="AK804" s="2" t="s">
        <v>6740</v>
      </c>
      <c r="AM804" s="2" t="s">
        <v>72</v>
      </c>
      <c r="AN804" s="2" t="s">
        <v>473</v>
      </c>
      <c r="AP804" s="2" t="s">
        <v>4177</v>
      </c>
      <c r="AU804" s="2" t="s">
        <v>75</v>
      </c>
      <c r="AV804" s="2" t="s">
        <v>6440</v>
      </c>
      <c r="AW804" s="2" t="s">
        <v>6741</v>
      </c>
      <c r="AX804" s="2" t="s">
        <v>77</v>
      </c>
      <c r="AZ804" s="2" t="s">
        <v>77</v>
      </c>
    </row>
    <row r="805" spans="1:52" s="3" customFormat="1" x14ac:dyDescent="0.35">
      <c r="A805" s="2" t="s">
        <v>6742</v>
      </c>
      <c r="B805" s="4">
        <v>242977</v>
      </c>
      <c r="C805" s="2" t="s">
        <v>6743</v>
      </c>
      <c r="D805" s="2">
        <f t="shared" si="12"/>
        <v>2</v>
      </c>
      <c r="F805" s="2" t="s">
        <v>6680</v>
      </c>
      <c r="G805" s="2" t="s">
        <v>53</v>
      </c>
      <c r="H805" s="4">
        <v>2</v>
      </c>
      <c r="I805" s="4">
        <v>1</v>
      </c>
      <c r="J805" s="5">
        <v>140000</v>
      </c>
      <c r="L805" s="4">
        <v>0</v>
      </c>
      <c r="M805" s="2" t="s">
        <v>55</v>
      </c>
      <c r="N805" s="2" t="s">
        <v>2726</v>
      </c>
      <c r="O805" s="2" t="s">
        <v>2727</v>
      </c>
      <c r="P805" s="2" t="s">
        <v>6254</v>
      </c>
      <c r="Q805" s="2" t="s">
        <v>6255</v>
      </c>
      <c r="R805" s="2" t="s">
        <v>6744</v>
      </c>
      <c r="T805" s="2" t="s">
        <v>6745</v>
      </c>
      <c r="U805" s="2" t="s">
        <v>6746</v>
      </c>
      <c r="V805" s="2" t="s">
        <v>6747</v>
      </c>
      <c r="W805" s="2" t="s">
        <v>6748</v>
      </c>
      <c r="X805" s="2" t="s">
        <v>6749</v>
      </c>
      <c r="Y805" s="2" t="s">
        <v>6750</v>
      </c>
      <c r="Z805" s="2" t="s">
        <v>6751</v>
      </c>
      <c r="AA805" s="2" t="s">
        <v>6752</v>
      </c>
      <c r="AB805" s="2" t="s">
        <v>6753</v>
      </c>
      <c r="AC805" s="2" t="s">
        <v>6754</v>
      </c>
      <c r="AD805" s="2" t="s">
        <v>6755</v>
      </c>
      <c r="AE805" s="2" t="s">
        <v>6756</v>
      </c>
      <c r="AF805" s="2" t="s">
        <v>70</v>
      </c>
      <c r="AG805" s="2" t="s">
        <v>6578</v>
      </c>
      <c r="AK805" s="2" t="s">
        <v>6757</v>
      </c>
      <c r="AM805" s="2" t="s">
        <v>72</v>
      </c>
      <c r="AN805" s="2" t="s">
        <v>473</v>
      </c>
      <c r="AP805" s="2" t="s">
        <v>4177</v>
      </c>
      <c r="AU805" s="2" t="s">
        <v>75</v>
      </c>
      <c r="AV805" s="2" t="s">
        <v>6540</v>
      </c>
      <c r="AW805" s="2" t="s">
        <v>6758</v>
      </c>
      <c r="AX805" s="2" t="s">
        <v>477</v>
      </c>
      <c r="AZ805" s="2" t="s">
        <v>4750</v>
      </c>
    </row>
    <row r="806" spans="1:52" s="3" customFormat="1" x14ac:dyDescent="0.35">
      <c r="A806" s="2" t="s">
        <v>6759</v>
      </c>
      <c r="B806" s="4">
        <v>242964</v>
      </c>
      <c r="C806" s="2" t="s">
        <v>6760</v>
      </c>
      <c r="D806" s="2">
        <f t="shared" si="12"/>
        <v>2</v>
      </c>
      <c r="F806" s="2" t="s">
        <v>6680</v>
      </c>
      <c r="G806" s="2" t="s">
        <v>53</v>
      </c>
      <c r="H806" s="4">
        <v>1</v>
      </c>
      <c r="I806" s="4">
        <v>12</v>
      </c>
      <c r="J806" s="5">
        <v>70000</v>
      </c>
      <c r="K806" s="2" t="s">
        <v>80</v>
      </c>
      <c r="L806" s="5">
        <v>65695</v>
      </c>
      <c r="M806" s="2" t="s">
        <v>6761</v>
      </c>
      <c r="N806" s="2" t="s">
        <v>82</v>
      </c>
      <c r="O806" s="2" t="s">
        <v>83</v>
      </c>
      <c r="P806" s="2" t="s">
        <v>6254</v>
      </c>
      <c r="Q806" s="2" t="s">
        <v>6255</v>
      </c>
      <c r="R806" s="2" t="s">
        <v>6762</v>
      </c>
      <c r="S806" s="2" t="s">
        <v>6763</v>
      </c>
      <c r="T806" s="2" t="s">
        <v>6258</v>
      </c>
      <c r="U806" s="2" t="s">
        <v>6259</v>
      </c>
      <c r="V806" s="2" t="s">
        <v>6260</v>
      </c>
      <c r="W806" s="2" t="s">
        <v>6764</v>
      </c>
      <c r="Y806" s="2" t="s">
        <v>6262</v>
      </c>
      <c r="Z806" s="2" t="s">
        <v>6263</v>
      </c>
      <c r="AB806" s="2" t="s">
        <v>6264</v>
      </c>
      <c r="AC806" s="2" t="s">
        <v>6265</v>
      </c>
      <c r="AD806" s="2" t="s">
        <v>6266</v>
      </c>
      <c r="AE806" s="2" t="s">
        <v>6267</v>
      </c>
      <c r="AF806" s="2" t="s">
        <v>70</v>
      </c>
      <c r="AK806" s="2" t="s">
        <v>6765</v>
      </c>
      <c r="AL806" s="2" t="s">
        <v>6269</v>
      </c>
      <c r="AM806" s="2" t="s">
        <v>72</v>
      </c>
      <c r="AN806" s="2" t="s">
        <v>473</v>
      </c>
      <c r="AP806" s="2" t="s">
        <v>4177</v>
      </c>
      <c r="AU806" s="2" t="s">
        <v>75</v>
      </c>
      <c r="AV806" s="2" t="s">
        <v>2559</v>
      </c>
      <c r="AW806" s="2" t="s">
        <v>6270</v>
      </c>
      <c r="AZ806" s="2" t="s">
        <v>77</v>
      </c>
    </row>
    <row r="807" spans="1:52" s="3" customFormat="1" x14ac:dyDescent="0.35">
      <c r="A807" s="2" t="s">
        <v>6766</v>
      </c>
      <c r="B807" s="4">
        <v>242937</v>
      </c>
      <c r="C807" s="2" t="s">
        <v>6767</v>
      </c>
      <c r="D807" s="2">
        <f t="shared" si="12"/>
        <v>2</v>
      </c>
      <c r="F807" s="2" t="s">
        <v>6768</v>
      </c>
      <c r="G807" s="2" t="s">
        <v>53</v>
      </c>
      <c r="H807" s="4">
        <v>1</v>
      </c>
      <c r="I807" s="4">
        <v>1</v>
      </c>
      <c r="J807" s="5">
        <v>70000</v>
      </c>
      <c r="K807" s="2" t="s">
        <v>2726</v>
      </c>
      <c r="L807" s="5">
        <v>65695</v>
      </c>
      <c r="N807" s="2" t="s">
        <v>2726</v>
      </c>
      <c r="O807" s="2" t="s">
        <v>2727</v>
      </c>
      <c r="P807" s="2" t="s">
        <v>6254</v>
      </c>
      <c r="Q807" s="2" t="s">
        <v>6255</v>
      </c>
      <c r="R807" s="2" t="s">
        <v>6769</v>
      </c>
      <c r="S807" s="2" t="s">
        <v>6770</v>
      </c>
      <c r="T807" s="2" t="s">
        <v>6771</v>
      </c>
      <c r="U807" s="2" t="s">
        <v>6772</v>
      </c>
      <c r="V807" s="2" t="s">
        <v>6773</v>
      </c>
      <c r="W807" s="2" t="s">
        <v>6774</v>
      </c>
      <c r="Y807" s="2" t="s">
        <v>6775</v>
      </c>
      <c r="Z807" s="2" t="s">
        <v>6776</v>
      </c>
      <c r="AA807" s="2" t="s">
        <v>6777</v>
      </c>
      <c r="AB807" s="2" t="s">
        <v>6778</v>
      </c>
      <c r="AC807" s="2" t="s">
        <v>5483</v>
      </c>
      <c r="AD807" s="2" t="s">
        <v>3756</v>
      </c>
      <c r="AE807" s="2" t="s">
        <v>2980</v>
      </c>
      <c r="AF807" s="2" t="s">
        <v>70</v>
      </c>
      <c r="AK807" s="2" t="s">
        <v>6779</v>
      </c>
      <c r="AL807" s="2" t="s">
        <v>6269</v>
      </c>
      <c r="AM807" s="2" t="s">
        <v>72</v>
      </c>
      <c r="AN807" s="2" t="s">
        <v>473</v>
      </c>
      <c r="AP807" s="2" t="s">
        <v>4177</v>
      </c>
      <c r="AU807" s="2" t="s">
        <v>75</v>
      </c>
      <c r="AV807" s="2" t="s">
        <v>6780</v>
      </c>
      <c r="AW807" s="2" t="s">
        <v>6781</v>
      </c>
      <c r="AZ807" s="2" t="s">
        <v>77</v>
      </c>
    </row>
    <row r="808" spans="1:52" s="3" customFormat="1" x14ac:dyDescent="0.35">
      <c r="A808" s="2" t="s">
        <v>6782</v>
      </c>
      <c r="B808" s="4">
        <v>242935</v>
      </c>
      <c r="C808" s="2" t="s">
        <v>6783</v>
      </c>
      <c r="D808" s="2">
        <f t="shared" si="12"/>
        <v>2</v>
      </c>
      <c r="F808" s="2" t="s">
        <v>6680</v>
      </c>
      <c r="G808" s="2" t="s">
        <v>53</v>
      </c>
      <c r="H808" s="4">
        <v>1</v>
      </c>
      <c r="I808" s="4">
        <v>1</v>
      </c>
      <c r="J808" s="5">
        <v>15500</v>
      </c>
      <c r="K808" s="2" t="s">
        <v>1252</v>
      </c>
      <c r="L808" s="5">
        <v>14546.75</v>
      </c>
      <c r="M808" s="2" t="s">
        <v>55</v>
      </c>
      <c r="N808" s="2" t="s">
        <v>1253</v>
      </c>
      <c r="O808" s="2" t="s">
        <v>1254</v>
      </c>
      <c r="P808" s="2" t="s">
        <v>460</v>
      </c>
      <c r="Q808" s="2" t="s">
        <v>461</v>
      </c>
      <c r="R808" s="2" t="s">
        <v>6784</v>
      </c>
      <c r="T808" s="2" t="s">
        <v>6785</v>
      </c>
      <c r="U808" s="2" t="s">
        <v>6786</v>
      </c>
      <c r="V808" s="2" t="s">
        <v>6787</v>
      </c>
      <c r="W808" s="2" t="s">
        <v>6788</v>
      </c>
      <c r="X808" s="2" t="s">
        <v>6789</v>
      </c>
      <c r="Y808" s="2" t="s">
        <v>6790</v>
      </c>
      <c r="Z808" s="2" t="s">
        <v>6791</v>
      </c>
      <c r="AA808" s="2" t="s">
        <v>2811</v>
      </c>
      <c r="AB808" s="2" t="s">
        <v>6792</v>
      </c>
      <c r="AC808" s="2" t="s">
        <v>2842</v>
      </c>
      <c r="AD808" s="2" t="s">
        <v>3756</v>
      </c>
      <c r="AE808" s="2" t="s">
        <v>2980</v>
      </c>
      <c r="AF808" s="2" t="s">
        <v>70</v>
      </c>
      <c r="AG808" s="2" t="s">
        <v>6793</v>
      </c>
      <c r="AK808" s="2" t="s">
        <v>6794</v>
      </c>
      <c r="AM808" s="2" t="s">
        <v>72</v>
      </c>
      <c r="AN808" s="2" t="s">
        <v>473</v>
      </c>
      <c r="AP808" s="2" t="s">
        <v>474</v>
      </c>
      <c r="AU808" s="2" t="s">
        <v>75</v>
      </c>
      <c r="AV808" s="2" t="s">
        <v>6768</v>
      </c>
      <c r="AW808" s="2" t="s">
        <v>6795</v>
      </c>
      <c r="AX808" s="2" t="s">
        <v>477</v>
      </c>
      <c r="AZ808" s="2" t="s">
        <v>478</v>
      </c>
    </row>
    <row r="809" spans="1:52" s="3" customFormat="1" x14ac:dyDescent="0.35">
      <c r="A809" s="2" t="s">
        <v>6796</v>
      </c>
      <c r="B809" s="4">
        <v>242923</v>
      </c>
      <c r="C809" s="2" t="s">
        <v>6797</v>
      </c>
      <c r="D809" s="2">
        <f t="shared" si="12"/>
        <v>2</v>
      </c>
      <c r="F809" s="2" t="s">
        <v>6768</v>
      </c>
      <c r="G809" s="2" t="s">
        <v>53</v>
      </c>
      <c r="H809" s="4">
        <v>1</v>
      </c>
      <c r="I809" s="4">
        <v>1</v>
      </c>
      <c r="J809" s="5">
        <v>70000</v>
      </c>
      <c r="K809" s="2" t="s">
        <v>1252</v>
      </c>
      <c r="L809" s="5">
        <v>65695</v>
      </c>
      <c r="M809" s="2" t="s">
        <v>55</v>
      </c>
      <c r="N809" s="2" t="s">
        <v>1253</v>
      </c>
      <c r="O809" s="2" t="s">
        <v>1254</v>
      </c>
      <c r="P809" s="2" t="s">
        <v>6254</v>
      </c>
      <c r="Q809" s="2" t="s">
        <v>6255</v>
      </c>
      <c r="R809" s="2" t="s">
        <v>6798</v>
      </c>
      <c r="T809" s="2" t="s">
        <v>6799</v>
      </c>
      <c r="U809" s="2" t="s">
        <v>6800</v>
      </c>
      <c r="V809" s="2" t="s">
        <v>6801</v>
      </c>
      <c r="W809" s="2" t="s">
        <v>6802</v>
      </c>
      <c r="X809" s="2" t="s">
        <v>6803</v>
      </c>
      <c r="Y809" s="2" t="s">
        <v>6804</v>
      </c>
      <c r="Z809" s="2" t="s">
        <v>6805</v>
      </c>
      <c r="AA809" s="2" t="s">
        <v>5565</v>
      </c>
      <c r="AB809" s="2" t="s">
        <v>6806</v>
      </c>
      <c r="AC809" s="2" t="s">
        <v>6807</v>
      </c>
      <c r="AD809" s="2" t="s">
        <v>6808</v>
      </c>
      <c r="AE809" s="2" t="s">
        <v>3425</v>
      </c>
      <c r="AF809" s="2" t="s">
        <v>70</v>
      </c>
      <c r="AG809" s="2" t="s">
        <v>6809</v>
      </c>
      <c r="AK809" s="2" t="s">
        <v>6810</v>
      </c>
      <c r="AM809" s="2" t="s">
        <v>72</v>
      </c>
      <c r="AN809" s="2" t="s">
        <v>473</v>
      </c>
      <c r="AP809" s="2" t="s">
        <v>4177</v>
      </c>
      <c r="AU809" s="2" t="s">
        <v>75</v>
      </c>
      <c r="AV809" s="2" t="s">
        <v>6780</v>
      </c>
      <c r="AW809" s="2" t="s">
        <v>6811</v>
      </c>
      <c r="AX809" s="2" t="s">
        <v>477</v>
      </c>
      <c r="AZ809" s="2" t="s">
        <v>4750</v>
      </c>
    </row>
    <row r="810" spans="1:52" s="3" customFormat="1" x14ac:dyDescent="0.35">
      <c r="A810" s="2" t="s">
        <v>6812</v>
      </c>
      <c r="B810" s="4">
        <v>242919</v>
      </c>
      <c r="C810" s="2" t="s">
        <v>6813</v>
      </c>
      <c r="D810" s="2">
        <f t="shared" si="12"/>
        <v>2</v>
      </c>
      <c r="F810" s="2" t="s">
        <v>6768</v>
      </c>
      <c r="G810" s="2" t="s">
        <v>53</v>
      </c>
      <c r="H810" s="4">
        <v>1</v>
      </c>
      <c r="I810" s="4">
        <v>12</v>
      </c>
      <c r="J810" s="5">
        <v>70000</v>
      </c>
      <c r="K810" s="2" t="s">
        <v>80</v>
      </c>
      <c r="L810" s="5">
        <v>65695</v>
      </c>
      <c r="M810" s="2" t="s">
        <v>6814</v>
      </c>
      <c r="N810" s="2" t="s">
        <v>82</v>
      </c>
      <c r="O810" s="2" t="s">
        <v>83</v>
      </c>
      <c r="P810" s="2" t="s">
        <v>6254</v>
      </c>
      <c r="Q810" s="2" t="s">
        <v>6255</v>
      </c>
      <c r="R810" s="2" t="s">
        <v>6815</v>
      </c>
      <c r="S810" s="2" t="s">
        <v>6816</v>
      </c>
      <c r="T810" s="2" t="s">
        <v>6817</v>
      </c>
      <c r="U810" s="2" t="s">
        <v>6818</v>
      </c>
      <c r="V810" s="2" t="s">
        <v>6819</v>
      </c>
      <c r="W810" s="2" t="s">
        <v>6820</v>
      </c>
      <c r="X810" s="2" t="s">
        <v>6820</v>
      </c>
      <c r="Y810" s="2" t="s">
        <v>6821</v>
      </c>
      <c r="Z810" s="2" t="s">
        <v>6822</v>
      </c>
      <c r="AA810" s="2" t="s">
        <v>6823</v>
      </c>
      <c r="AB810" s="2" t="s">
        <v>6824</v>
      </c>
      <c r="AC810" s="2" t="s">
        <v>6825</v>
      </c>
      <c r="AD810" s="2" t="s">
        <v>6826</v>
      </c>
      <c r="AE810" s="2" t="s">
        <v>6827</v>
      </c>
      <c r="AF810" s="2" t="s">
        <v>70</v>
      </c>
      <c r="AK810" s="2" t="s">
        <v>6828</v>
      </c>
      <c r="AL810" s="2" t="s">
        <v>6269</v>
      </c>
      <c r="AM810" s="2" t="s">
        <v>72</v>
      </c>
      <c r="AN810" s="2" t="s">
        <v>473</v>
      </c>
      <c r="AP810" s="2" t="s">
        <v>4177</v>
      </c>
      <c r="AU810" s="2" t="s">
        <v>75</v>
      </c>
      <c r="AV810" s="2" t="s">
        <v>6829</v>
      </c>
      <c r="AW810" s="2" t="s">
        <v>6830</v>
      </c>
      <c r="AZ810" s="2" t="s">
        <v>77</v>
      </c>
    </row>
    <row r="811" spans="1:52" s="3" customFormat="1" x14ac:dyDescent="0.35">
      <c r="A811" s="2" t="s">
        <v>6831</v>
      </c>
      <c r="B811" s="4">
        <v>242905</v>
      </c>
      <c r="C811" s="2" t="s">
        <v>6832</v>
      </c>
      <c r="D811" s="2">
        <f t="shared" si="12"/>
        <v>2</v>
      </c>
      <c r="G811" s="2" t="s">
        <v>53</v>
      </c>
      <c r="H811" s="4">
        <v>1</v>
      </c>
      <c r="I811" s="4">
        <v>1</v>
      </c>
      <c r="J811" s="4">
        <v>0</v>
      </c>
      <c r="L811" s="4">
        <v>0</v>
      </c>
      <c r="M811" s="2" t="s">
        <v>55</v>
      </c>
      <c r="N811" s="2" t="s">
        <v>56</v>
      </c>
      <c r="O811" s="2" t="s">
        <v>57</v>
      </c>
      <c r="P811" s="2" t="s">
        <v>4633</v>
      </c>
      <c r="Q811" s="2" t="s">
        <v>4634</v>
      </c>
      <c r="R811" s="2" t="s">
        <v>6833</v>
      </c>
      <c r="S811" s="2" t="s">
        <v>6834</v>
      </c>
      <c r="V811" s="2" t="s">
        <v>6835</v>
      </c>
      <c r="W811" s="2" t="s">
        <v>6836</v>
      </c>
      <c r="Y811" s="2" t="s">
        <v>64</v>
      </c>
      <c r="Z811" s="2" t="s">
        <v>65</v>
      </c>
      <c r="AA811" s="2" t="s">
        <v>66</v>
      </c>
      <c r="AC811" s="2" t="s">
        <v>67</v>
      </c>
      <c r="AD811" s="2" t="s">
        <v>68</v>
      </c>
      <c r="AE811" s="2" t="s">
        <v>69</v>
      </c>
      <c r="AF811" s="2" t="s">
        <v>70</v>
      </c>
      <c r="AG811" s="2" t="s">
        <v>4633</v>
      </c>
      <c r="AK811" s="2" t="s">
        <v>6837</v>
      </c>
      <c r="AM811" s="2" t="s">
        <v>72</v>
      </c>
      <c r="AN811" s="2" t="s">
        <v>595</v>
      </c>
      <c r="AP811" s="2" t="s">
        <v>4546</v>
      </c>
      <c r="AU811" s="2" t="s">
        <v>75</v>
      </c>
      <c r="AV811" s="2" t="s">
        <v>6838</v>
      </c>
      <c r="AW811" s="2" t="s">
        <v>6839</v>
      </c>
      <c r="AZ811" s="2" t="s">
        <v>116</v>
      </c>
    </row>
    <row r="812" spans="1:52" s="3" customFormat="1" x14ac:dyDescent="0.35">
      <c r="A812" s="2" t="s">
        <v>6840</v>
      </c>
      <c r="B812" s="4">
        <v>242903</v>
      </c>
      <c r="C812" s="2" t="s">
        <v>6841</v>
      </c>
      <c r="D812" s="2">
        <f t="shared" si="12"/>
        <v>2</v>
      </c>
      <c r="G812" s="2" t="s">
        <v>53</v>
      </c>
      <c r="H812" s="4">
        <v>1</v>
      </c>
      <c r="I812" s="4">
        <v>1</v>
      </c>
      <c r="J812" s="4">
        <v>0</v>
      </c>
      <c r="L812" s="4">
        <v>0</v>
      </c>
      <c r="M812" s="2" t="s">
        <v>55</v>
      </c>
      <c r="N812" s="2" t="s">
        <v>56</v>
      </c>
      <c r="O812" s="2" t="s">
        <v>57</v>
      </c>
      <c r="P812" s="2" t="s">
        <v>4887</v>
      </c>
      <c r="Q812" s="2" t="s">
        <v>4888</v>
      </c>
      <c r="R812" s="2" t="s">
        <v>6842</v>
      </c>
      <c r="S812" s="2" t="s">
        <v>6843</v>
      </c>
      <c r="V812" s="2" t="s">
        <v>6844</v>
      </c>
      <c r="W812" s="2" t="s">
        <v>6845</v>
      </c>
      <c r="Y812" s="2" t="s">
        <v>64</v>
      </c>
      <c r="Z812" s="2" t="s">
        <v>65</v>
      </c>
      <c r="AA812" s="2" t="s">
        <v>66</v>
      </c>
      <c r="AC812" s="2" t="s">
        <v>67</v>
      </c>
      <c r="AD812" s="2" t="s">
        <v>68</v>
      </c>
      <c r="AE812" s="2" t="s">
        <v>69</v>
      </c>
      <c r="AF812" s="2" t="s">
        <v>70</v>
      </c>
      <c r="AG812" s="2" t="s">
        <v>4887</v>
      </c>
      <c r="AK812" s="2" t="s">
        <v>6846</v>
      </c>
      <c r="AM812" s="2" t="s">
        <v>72</v>
      </c>
      <c r="AN812" s="2" t="s">
        <v>595</v>
      </c>
      <c r="AP812" s="2" t="s">
        <v>4546</v>
      </c>
      <c r="AU812" s="2" t="s">
        <v>75</v>
      </c>
      <c r="AV812" s="2" t="s">
        <v>6847</v>
      </c>
      <c r="AW812" s="2" t="s">
        <v>6848</v>
      </c>
      <c r="AZ812" s="2" t="s">
        <v>116</v>
      </c>
    </row>
    <row r="813" spans="1:52" s="3" customFormat="1" x14ac:dyDescent="0.35">
      <c r="A813" s="2" t="s">
        <v>6849</v>
      </c>
      <c r="B813" s="4">
        <v>242900</v>
      </c>
      <c r="C813" s="2" t="s">
        <v>6850</v>
      </c>
      <c r="D813" s="2">
        <f t="shared" si="12"/>
        <v>2</v>
      </c>
      <c r="F813" s="2" t="s">
        <v>6768</v>
      </c>
      <c r="G813" s="2" t="s">
        <v>53</v>
      </c>
      <c r="H813" s="4">
        <v>1</v>
      </c>
      <c r="I813" s="4">
        <v>1</v>
      </c>
      <c r="J813" s="5">
        <v>65000</v>
      </c>
      <c r="L813" s="5">
        <v>61002.5</v>
      </c>
      <c r="M813" s="2" t="s">
        <v>55</v>
      </c>
      <c r="N813" s="2" t="s">
        <v>458</v>
      </c>
      <c r="O813" s="2" t="s">
        <v>459</v>
      </c>
      <c r="P813" s="2" t="s">
        <v>6851</v>
      </c>
      <c r="Q813" s="2" t="s">
        <v>6852</v>
      </c>
      <c r="R813" s="2" t="s">
        <v>6853</v>
      </c>
      <c r="T813" s="2" t="s">
        <v>6854</v>
      </c>
      <c r="U813" s="2" t="s">
        <v>6855</v>
      </c>
      <c r="V813" s="2" t="s">
        <v>6856</v>
      </c>
      <c r="W813" s="2" t="s">
        <v>6857</v>
      </c>
      <c r="X813" s="2" t="s">
        <v>6858</v>
      </c>
      <c r="Y813" s="2" t="s">
        <v>6859</v>
      </c>
      <c r="Z813" s="2" t="s">
        <v>6860</v>
      </c>
      <c r="AA813" s="2" t="s">
        <v>6861</v>
      </c>
      <c r="AC813" s="2" t="s">
        <v>6862</v>
      </c>
      <c r="AD813" s="2" t="s">
        <v>6863</v>
      </c>
      <c r="AE813" s="2" t="s">
        <v>6739</v>
      </c>
      <c r="AF813" s="2" t="s">
        <v>70</v>
      </c>
      <c r="AG813" s="2" t="s">
        <v>6864</v>
      </c>
      <c r="AK813" s="2" t="s">
        <v>6865</v>
      </c>
      <c r="AM813" s="2" t="s">
        <v>72</v>
      </c>
      <c r="AN813" s="2" t="s">
        <v>344</v>
      </c>
      <c r="AP813" s="2" t="s">
        <v>6866</v>
      </c>
      <c r="AU813" s="2" t="s">
        <v>75</v>
      </c>
      <c r="AV813" s="2" t="s">
        <v>4221</v>
      </c>
      <c r="AW813" s="2" t="s">
        <v>6867</v>
      </c>
      <c r="AX813" s="2" t="s">
        <v>77</v>
      </c>
      <c r="AZ813" s="2" t="s">
        <v>77</v>
      </c>
    </row>
    <row r="814" spans="1:52" s="3" customFormat="1" x14ac:dyDescent="0.35">
      <c r="A814" s="2" t="s">
        <v>6868</v>
      </c>
      <c r="B814" s="4">
        <v>242898</v>
      </c>
      <c r="C814" s="2" t="s">
        <v>6869</v>
      </c>
      <c r="D814" s="2">
        <f t="shared" si="12"/>
        <v>2</v>
      </c>
      <c r="F814" s="2" t="s">
        <v>6768</v>
      </c>
      <c r="G814" s="2" t="s">
        <v>53</v>
      </c>
      <c r="H814" s="4">
        <v>1</v>
      </c>
      <c r="I814" s="4">
        <v>1</v>
      </c>
      <c r="J814" s="5">
        <v>65000</v>
      </c>
      <c r="L814" s="5">
        <v>61002.5</v>
      </c>
      <c r="M814" s="2" t="s">
        <v>55</v>
      </c>
      <c r="N814" s="2" t="s">
        <v>458</v>
      </c>
      <c r="O814" s="2" t="s">
        <v>459</v>
      </c>
      <c r="P814" s="2" t="s">
        <v>6870</v>
      </c>
      <c r="Q814" s="2" t="s">
        <v>6871</v>
      </c>
      <c r="R814" s="2" t="s">
        <v>6872</v>
      </c>
      <c r="T814" s="2" t="s">
        <v>6873</v>
      </c>
      <c r="U814" s="2" t="s">
        <v>6874</v>
      </c>
      <c r="V814" s="2" t="s">
        <v>6875</v>
      </c>
      <c r="W814" s="2" t="s">
        <v>6876</v>
      </c>
      <c r="X814" s="2" t="s">
        <v>6877</v>
      </c>
      <c r="Y814" s="2" t="s">
        <v>2931</v>
      </c>
      <c r="Z814" s="2" t="s">
        <v>2932</v>
      </c>
      <c r="AA814" s="2" t="s">
        <v>6878</v>
      </c>
      <c r="AC814" s="2" t="s">
        <v>3086</v>
      </c>
      <c r="AD814" s="2" t="s">
        <v>2556</v>
      </c>
      <c r="AE814" s="2" t="s">
        <v>69</v>
      </c>
      <c r="AF814" s="2" t="s">
        <v>70</v>
      </c>
      <c r="AG814" s="2" t="s">
        <v>6879</v>
      </c>
      <c r="AK814" s="2" t="s">
        <v>6880</v>
      </c>
      <c r="AM814" s="2" t="s">
        <v>72</v>
      </c>
      <c r="AN814" s="2" t="s">
        <v>283</v>
      </c>
      <c r="AP814" s="2" t="s">
        <v>4986</v>
      </c>
      <c r="AU814" s="2" t="s">
        <v>75</v>
      </c>
      <c r="AV814" s="2" t="s">
        <v>6881</v>
      </c>
      <c r="AW814" s="2" t="s">
        <v>6882</v>
      </c>
      <c r="AX814" s="2" t="s">
        <v>477</v>
      </c>
      <c r="AZ814" s="2" t="s">
        <v>1256</v>
      </c>
    </row>
    <row r="815" spans="1:52" s="3" customFormat="1" x14ac:dyDescent="0.35">
      <c r="A815" s="2" t="s">
        <v>6883</v>
      </c>
      <c r="B815" s="4">
        <v>242847</v>
      </c>
      <c r="C815" s="2" t="s">
        <v>6884</v>
      </c>
      <c r="D815" s="2">
        <f t="shared" si="12"/>
        <v>2</v>
      </c>
      <c r="F815" s="2" t="s">
        <v>6768</v>
      </c>
      <c r="G815" s="2" t="s">
        <v>53</v>
      </c>
      <c r="H815" s="4">
        <v>1</v>
      </c>
      <c r="I815" s="4">
        <v>3</v>
      </c>
      <c r="J815" s="5">
        <v>35000</v>
      </c>
      <c r="K815" s="2" t="s">
        <v>1252</v>
      </c>
      <c r="L815" s="5">
        <v>35000</v>
      </c>
      <c r="M815" s="2" t="s">
        <v>55</v>
      </c>
      <c r="N815" s="2" t="s">
        <v>1253</v>
      </c>
      <c r="O815" s="2" t="s">
        <v>1254</v>
      </c>
      <c r="P815" s="2" t="s">
        <v>3075</v>
      </c>
      <c r="Q815" s="2" t="s">
        <v>3076</v>
      </c>
      <c r="R815" s="2" t="s">
        <v>6885</v>
      </c>
      <c r="S815" s="2" t="s">
        <v>6886</v>
      </c>
      <c r="T815" s="2" t="s">
        <v>6887</v>
      </c>
      <c r="U815" s="2" t="s">
        <v>6888</v>
      </c>
      <c r="V815" s="2" t="s">
        <v>6889</v>
      </c>
      <c r="W815" s="2" t="s">
        <v>6890</v>
      </c>
      <c r="X815" s="2" t="s">
        <v>6891</v>
      </c>
      <c r="Y815" s="2" t="s">
        <v>6892</v>
      </c>
      <c r="Z815" s="2" t="s">
        <v>6893</v>
      </c>
      <c r="AA815" s="2" t="s">
        <v>6894</v>
      </c>
      <c r="AB815" s="2" t="s">
        <v>6895</v>
      </c>
      <c r="AC815" s="2" t="s">
        <v>6896</v>
      </c>
      <c r="AD815" s="2" t="s">
        <v>6897</v>
      </c>
      <c r="AE815" s="2" t="s">
        <v>1403</v>
      </c>
      <c r="AF815" s="2" t="s">
        <v>97</v>
      </c>
      <c r="AG815" s="2" t="s">
        <v>6898</v>
      </c>
      <c r="AK815" s="2" t="s">
        <v>6899</v>
      </c>
      <c r="AM815" s="2" t="s">
        <v>72</v>
      </c>
      <c r="AN815" s="2" t="s">
        <v>73</v>
      </c>
      <c r="AP815" s="2" t="s">
        <v>3088</v>
      </c>
      <c r="AS815" s="2" t="s">
        <v>6900</v>
      </c>
      <c r="AT815" s="2" t="s">
        <v>102</v>
      </c>
      <c r="AU815" s="2" t="s">
        <v>75</v>
      </c>
      <c r="AV815" s="2" t="s">
        <v>6901</v>
      </c>
      <c r="AW815" s="2" t="s">
        <v>6902</v>
      </c>
      <c r="AX815" s="2" t="s">
        <v>77</v>
      </c>
      <c r="AZ815" s="2" t="s">
        <v>77</v>
      </c>
    </row>
    <row r="816" spans="1:52" s="3" customFormat="1" x14ac:dyDescent="0.35">
      <c r="A816" s="2" t="s">
        <v>6903</v>
      </c>
      <c r="B816" s="4">
        <v>242833</v>
      </c>
      <c r="C816" s="2" t="s">
        <v>6904</v>
      </c>
      <c r="D816" s="2">
        <f t="shared" si="12"/>
        <v>2</v>
      </c>
      <c r="F816" s="2" t="s">
        <v>6905</v>
      </c>
      <c r="G816" s="2" t="s">
        <v>53</v>
      </c>
      <c r="H816" s="4">
        <v>1</v>
      </c>
      <c r="I816" s="4">
        <v>0</v>
      </c>
      <c r="J816" s="4">
        <v>0</v>
      </c>
      <c r="L816" s="4">
        <v>0</v>
      </c>
      <c r="N816" s="2" t="s">
        <v>56</v>
      </c>
      <c r="O816" s="2" t="s">
        <v>57</v>
      </c>
      <c r="P816" s="2" t="s">
        <v>4619</v>
      </c>
      <c r="Q816" s="2" t="s">
        <v>4620</v>
      </c>
      <c r="R816" s="2" t="s">
        <v>6906</v>
      </c>
      <c r="S816" s="2" t="s">
        <v>6907</v>
      </c>
      <c r="T816" s="2" t="s">
        <v>5954</v>
      </c>
      <c r="U816" s="2" t="s">
        <v>6908</v>
      </c>
      <c r="V816" s="2" t="s">
        <v>6909</v>
      </c>
      <c r="W816" s="2" t="s">
        <v>6910</v>
      </c>
      <c r="Y816" s="2" t="s">
        <v>6911</v>
      </c>
      <c r="Z816" s="2" t="s">
        <v>6912</v>
      </c>
      <c r="AA816" s="2" t="s">
        <v>6913</v>
      </c>
      <c r="AC816" s="2" t="s">
        <v>6914</v>
      </c>
      <c r="AD816" s="2" t="s">
        <v>3652</v>
      </c>
      <c r="AE816" s="2" t="s">
        <v>69</v>
      </c>
      <c r="AF816" s="2" t="s">
        <v>70</v>
      </c>
      <c r="AK816" s="2" t="s">
        <v>6915</v>
      </c>
      <c r="AL816" s="2" t="s">
        <v>4629</v>
      </c>
      <c r="AM816" s="2" t="s">
        <v>72</v>
      </c>
      <c r="AN816" s="2" t="s">
        <v>73</v>
      </c>
      <c r="AP816" s="2" t="s">
        <v>3341</v>
      </c>
      <c r="AT816" s="2" t="s">
        <v>114</v>
      </c>
      <c r="AU816" s="2" t="s">
        <v>75</v>
      </c>
      <c r="AV816" s="2" t="s">
        <v>5963</v>
      </c>
      <c r="AW816" s="2" t="s">
        <v>5964</v>
      </c>
      <c r="AZ816" s="2" t="s">
        <v>116</v>
      </c>
    </row>
    <row r="817" spans="1:52" s="3" customFormat="1" x14ac:dyDescent="0.35">
      <c r="A817" s="2" t="s">
        <v>6916</v>
      </c>
      <c r="B817" s="4">
        <v>242820</v>
      </c>
      <c r="C817" s="2" t="s">
        <v>6917</v>
      </c>
      <c r="D817" s="2">
        <f t="shared" si="12"/>
        <v>2</v>
      </c>
      <c r="F817" s="2" t="s">
        <v>6918</v>
      </c>
      <c r="G817" s="2" t="s">
        <v>53</v>
      </c>
      <c r="H817" s="4">
        <v>1</v>
      </c>
      <c r="I817" s="4">
        <v>12</v>
      </c>
      <c r="J817" s="5">
        <v>70000</v>
      </c>
      <c r="K817" s="2" t="s">
        <v>80</v>
      </c>
      <c r="L817" s="5">
        <v>65695</v>
      </c>
      <c r="M817" s="2" t="s">
        <v>6919</v>
      </c>
      <c r="N817" s="2" t="s">
        <v>82</v>
      </c>
      <c r="O817" s="2" t="s">
        <v>83</v>
      </c>
      <c r="P817" s="2" t="s">
        <v>6254</v>
      </c>
      <c r="Q817" s="2" t="s">
        <v>6255</v>
      </c>
      <c r="R817" s="2" t="s">
        <v>6920</v>
      </c>
      <c r="S817" s="2" t="s">
        <v>6921</v>
      </c>
      <c r="T817" s="2" t="s">
        <v>6922</v>
      </c>
      <c r="U817" s="2" t="s">
        <v>6923</v>
      </c>
      <c r="V817" s="2" t="s">
        <v>6924</v>
      </c>
      <c r="W817" s="2" t="s">
        <v>6925</v>
      </c>
      <c r="Y817" s="2" t="s">
        <v>6926</v>
      </c>
      <c r="Z817" s="2" t="s">
        <v>6927</v>
      </c>
      <c r="AA817" s="2" t="s">
        <v>6928</v>
      </c>
      <c r="AB817" s="2" t="s">
        <v>6929</v>
      </c>
      <c r="AC817" s="2" t="s">
        <v>5483</v>
      </c>
      <c r="AD817" s="2" t="s">
        <v>6930</v>
      </c>
      <c r="AE817" s="2" t="s">
        <v>6931</v>
      </c>
      <c r="AF817" s="2" t="s">
        <v>70</v>
      </c>
      <c r="AK817" s="2" t="s">
        <v>6932</v>
      </c>
      <c r="AL817" s="2" t="s">
        <v>6269</v>
      </c>
      <c r="AM817" s="2" t="s">
        <v>72</v>
      </c>
      <c r="AN817" s="2" t="s">
        <v>473</v>
      </c>
      <c r="AP817" s="2" t="s">
        <v>4177</v>
      </c>
      <c r="AU817" s="2" t="s">
        <v>75</v>
      </c>
      <c r="AV817" s="2" t="s">
        <v>6933</v>
      </c>
      <c r="AW817" s="2" t="s">
        <v>6934</v>
      </c>
      <c r="AZ817" s="2" t="s">
        <v>77</v>
      </c>
    </row>
    <row r="818" spans="1:52" s="3" customFormat="1" x14ac:dyDescent="0.35">
      <c r="A818" s="2" t="s">
        <v>6935</v>
      </c>
      <c r="B818" s="4">
        <v>242805</v>
      </c>
      <c r="C818" s="2" t="s">
        <v>6936</v>
      </c>
      <c r="D818" s="2">
        <f t="shared" si="12"/>
        <v>2</v>
      </c>
      <c r="F818" s="2" t="s">
        <v>6937</v>
      </c>
      <c r="G818" s="2" t="s">
        <v>53</v>
      </c>
      <c r="H818" s="4">
        <v>1</v>
      </c>
      <c r="I818" s="4">
        <v>1</v>
      </c>
      <c r="J818" s="5">
        <v>70000</v>
      </c>
      <c r="K818" s="2" t="s">
        <v>1252</v>
      </c>
      <c r="L818" s="5">
        <v>65695</v>
      </c>
      <c r="M818" s="2" t="s">
        <v>55</v>
      </c>
      <c r="N818" s="2" t="s">
        <v>1253</v>
      </c>
      <c r="O818" s="2" t="s">
        <v>1254</v>
      </c>
      <c r="P818" s="2" t="s">
        <v>6254</v>
      </c>
      <c r="Q818" s="2" t="s">
        <v>6255</v>
      </c>
      <c r="R818" s="2" t="s">
        <v>6938</v>
      </c>
      <c r="T818" s="2" t="s">
        <v>6939</v>
      </c>
      <c r="U818" s="2" t="s">
        <v>6940</v>
      </c>
      <c r="V818" s="2" t="s">
        <v>6941</v>
      </c>
      <c r="W818" s="2" t="s">
        <v>6942</v>
      </c>
      <c r="X818" s="2" t="s">
        <v>6943</v>
      </c>
      <c r="Y818" s="2" t="s">
        <v>6944</v>
      </c>
      <c r="Z818" s="2" t="s">
        <v>6945</v>
      </c>
      <c r="AA818" s="2" t="s">
        <v>3599</v>
      </c>
      <c r="AB818" s="2" t="s">
        <v>6929</v>
      </c>
      <c r="AC818" s="2" t="s">
        <v>6946</v>
      </c>
      <c r="AD818" s="2" t="s">
        <v>6947</v>
      </c>
      <c r="AE818" s="2" t="s">
        <v>2980</v>
      </c>
      <c r="AF818" s="2" t="s">
        <v>70</v>
      </c>
      <c r="AG818" s="2" t="s">
        <v>6254</v>
      </c>
      <c r="AK818" s="2" t="s">
        <v>6948</v>
      </c>
      <c r="AM818" s="2" t="s">
        <v>72</v>
      </c>
      <c r="AN818" s="2" t="s">
        <v>473</v>
      </c>
      <c r="AP818" s="2" t="s">
        <v>4177</v>
      </c>
      <c r="AU818" s="2" t="s">
        <v>75</v>
      </c>
      <c r="AV818" s="2" t="s">
        <v>6937</v>
      </c>
      <c r="AW818" s="2" t="s">
        <v>6949</v>
      </c>
      <c r="AX818" s="2" t="s">
        <v>477</v>
      </c>
      <c r="AZ818" s="2" t="s">
        <v>4750</v>
      </c>
    </row>
    <row r="819" spans="1:52" s="3" customFormat="1" x14ac:dyDescent="0.35">
      <c r="A819" s="2" t="s">
        <v>6950</v>
      </c>
      <c r="B819" s="4">
        <v>242803</v>
      </c>
      <c r="C819" s="2" t="s">
        <v>6951</v>
      </c>
      <c r="D819" s="2">
        <f t="shared" si="12"/>
        <v>2</v>
      </c>
      <c r="F819" s="2" t="s">
        <v>6937</v>
      </c>
      <c r="G819" s="2" t="s">
        <v>53</v>
      </c>
      <c r="H819" s="4">
        <v>1</v>
      </c>
      <c r="I819" s="4">
        <v>5</v>
      </c>
      <c r="J819" s="5">
        <v>70000</v>
      </c>
      <c r="K819" s="2" t="s">
        <v>1252</v>
      </c>
      <c r="L819" s="5">
        <v>65695</v>
      </c>
      <c r="M819" s="2" t="s">
        <v>55</v>
      </c>
      <c r="N819" s="2" t="s">
        <v>1253</v>
      </c>
      <c r="O819" s="2" t="s">
        <v>1254</v>
      </c>
      <c r="P819" s="2" t="s">
        <v>6254</v>
      </c>
      <c r="Q819" s="2" t="s">
        <v>6255</v>
      </c>
      <c r="R819" s="2" t="s">
        <v>6952</v>
      </c>
      <c r="T819" s="2" t="s">
        <v>6953</v>
      </c>
      <c r="U819" s="2" t="s">
        <v>6952</v>
      </c>
      <c r="V819" s="2" t="s">
        <v>6954</v>
      </c>
      <c r="W819" s="2" t="s">
        <v>6955</v>
      </c>
      <c r="X819" s="2" t="s">
        <v>6956</v>
      </c>
      <c r="Y819" s="2" t="s">
        <v>6957</v>
      </c>
      <c r="Z819" s="2" t="s">
        <v>6958</v>
      </c>
      <c r="AA819" s="2" t="s">
        <v>6959</v>
      </c>
      <c r="AB819" s="2" t="s">
        <v>6960</v>
      </c>
      <c r="AC819" s="2" t="s">
        <v>6961</v>
      </c>
      <c r="AD819" s="2" t="s">
        <v>6962</v>
      </c>
      <c r="AE819" s="2" t="s">
        <v>69</v>
      </c>
      <c r="AF819" s="2" t="s">
        <v>70</v>
      </c>
      <c r="AG819" s="2" t="s">
        <v>6254</v>
      </c>
      <c r="AK819" s="2" t="s">
        <v>6963</v>
      </c>
      <c r="AM819" s="2" t="s">
        <v>72</v>
      </c>
      <c r="AN819" s="2" t="s">
        <v>473</v>
      </c>
      <c r="AP819" s="2" t="s">
        <v>4177</v>
      </c>
      <c r="AU819" s="2" t="s">
        <v>75</v>
      </c>
      <c r="AV819" s="2" t="s">
        <v>6964</v>
      </c>
      <c r="AW819" s="2" t="s">
        <v>6965</v>
      </c>
      <c r="AX819" s="2" t="s">
        <v>477</v>
      </c>
      <c r="AZ819" s="2" t="s">
        <v>4750</v>
      </c>
    </row>
    <row r="820" spans="1:52" s="3" customFormat="1" x14ac:dyDescent="0.35">
      <c r="A820" s="2" t="s">
        <v>6966</v>
      </c>
      <c r="B820" s="4">
        <v>242800</v>
      </c>
      <c r="C820" s="2" t="s">
        <v>6967</v>
      </c>
      <c r="D820" s="2">
        <f t="shared" si="12"/>
        <v>2</v>
      </c>
      <c r="F820" s="2" t="s">
        <v>6937</v>
      </c>
      <c r="G820" s="2" t="s">
        <v>53</v>
      </c>
      <c r="H820" s="4">
        <v>2</v>
      </c>
      <c r="I820" s="4">
        <v>1</v>
      </c>
      <c r="J820" s="5">
        <v>140000</v>
      </c>
      <c r="K820" s="2" t="s">
        <v>1252</v>
      </c>
      <c r="L820" s="5">
        <v>131390</v>
      </c>
      <c r="M820" s="2" t="s">
        <v>55</v>
      </c>
      <c r="N820" s="2" t="s">
        <v>1253</v>
      </c>
      <c r="O820" s="2" t="s">
        <v>1254</v>
      </c>
      <c r="P820" s="2" t="s">
        <v>6254</v>
      </c>
      <c r="Q820" s="2" t="s">
        <v>6255</v>
      </c>
      <c r="R820" s="2" t="s">
        <v>6968</v>
      </c>
      <c r="T820" s="2" t="s">
        <v>6969</v>
      </c>
      <c r="U820" s="2" t="s">
        <v>6968</v>
      </c>
      <c r="V820" s="2" t="s">
        <v>6970</v>
      </c>
      <c r="W820" s="2" t="s">
        <v>6971</v>
      </c>
      <c r="X820" s="2" t="s">
        <v>6972</v>
      </c>
      <c r="Y820" s="2" t="s">
        <v>6973</v>
      </c>
      <c r="Z820" s="2" t="s">
        <v>6974</v>
      </c>
      <c r="AA820" s="2" t="s">
        <v>6975</v>
      </c>
      <c r="AB820" s="2" t="s">
        <v>6976</v>
      </c>
      <c r="AC820" s="2" t="s">
        <v>6977</v>
      </c>
      <c r="AD820" s="2" t="s">
        <v>6978</v>
      </c>
      <c r="AE820" s="2" t="s">
        <v>1362</v>
      </c>
      <c r="AF820" s="2" t="s">
        <v>70</v>
      </c>
      <c r="AG820" s="2" t="s">
        <v>6254</v>
      </c>
      <c r="AK820" s="2" t="s">
        <v>6979</v>
      </c>
      <c r="AM820" s="2" t="s">
        <v>72</v>
      </c>
      <c r="AN820" s="2" t="s">
        <v>473</v>
      </c>
      <c r="AP820" s="2" t="s">
        <v>4177</v>
      </c>
      <c r="AU820" s="2" t="s">
        <v>75</v>
      </c>
      <c r="AV820" s="2" t="s">
        <v>6980</v>
      </c>
      <c r="AW820" s="2" t="s">
        <v>6981</v>
      </c>
      <c r="AX820" s="2" t="s">
        <v>477</v>
      </c>
      <c r="AZ820" s="2" t="s">
        <v>4750</v>
      </c>
    </row>
    <row r="821" spans="1:52" s="3" customFormat="1" x14ac:dyDescent="0.35">
      <c r="A821" s="2" t="s">
        <v>6982</v>
      </c>
      <c r="B821" s="4">
        <v>242799</v>
      </c>
      <c r="C821" s="2" t="s">
        <v>6983</v>
      </c>
      <c r="D821" s="2">
        <f t="shared" si="12"/>
        <v>2</v>
      </c>
      <c r="F821" s="2" t="s">
        <v>6937</v>
      </c>
      <c r="G821" s="2" t="s">
        <v>53</v>
      </c>
      <c r="H821" s="4">
        <v>1</v>
      </c>
      <c r="I821" s="4">
        <v>12</v>
      </c>
      <c r="J821" s="5">
        <v>70000</v>
      </c>
      <c r="K821" s="2" t="s">
        <v>80</v>
      </c>
      <c r="L821" s="5">
        <v>65695</v>
      </c>
      <c r="M821" s="2" t="s">
        <v>6984</v>
      </c>
      <c r="N821" s="2" t="s">
        <v>82</v>
      </c>
      <c r="O821" s="2" t="s">
        <v>83</v>
      </c>
      <c r="P821" s="2" t="s">
        <v>6254</v>
      </c>
      <c r="Q821" s="2" t="s">
        <v>6255</v>
      </c>
      <c r="R821" s="2" t="s">
        <v>6985</v>
      </c>
      <c r="S821" s="2" t="s">
        <v>6986</v>
      </c>
      <c r="T821" s="2" t="s">
        <v>6987</v>
      </c>
      <c r="U821" s="2" t="s">
        <v>6988</v>
      </c>
      <c r="V821" s="2" t="s">
        <v>6989</v>
      </c>
      <c r="W821" s="2" t="s">
        <v>6990</v>
      </c>
      <c r="Y821" s="2" t="s">
        <v>6991</v>
      </c>
      <c r="Z821" s="2" t="s">
        <v>6992</v>
      </c>
      <c r="AB821" s="2" t="s">
        <v>6993</v>
      </c>
      <c r="AC821" s="2" t="s">
        <v>6994</v>
      </c>
      <c r="AD821" s="2" t="s">
        <v>6995</v>
      </c>
      <c r="AE821" s="2" t="s">
        <v>3602</v>
      </c>
      <c r="AF821" s="2" t="s">
        <v>70</v>
      </c>
      <c r="AK821" s="2" t="s">
        <v>6996</v>
      </c>
      <c r="AL821" s="2" t="s">
        <v>6269</v>
      </c>
      <c r="AM821" s="2" t="s">
        <v>72</v>
      </c>
      <c r="AN821" s="2" t="s">
        <v>473</v>
      </c>
      <c r="AP821" s="2" t="s">
        <v>4177</v>
      </c>
      <c r="AU821" s="2" t="s">
        <v>75</v>
      </c>
      <c r="AV821" s="2" t="s">
        <v>6937</v>
      </c>
      <c r="AW821" s="2" t="s">
        <v>6997</v>
      </c>
      <c r="AZ821" s="2" t="s">
        <v>77</v>
      </c>
    </row>
    <row r="822" spans="1:52" s="3" customFormat="1" x14ac:dyDescent="0.35">
      <c r="A822" s="2" t="s">
        <v>6998</v>
      </c>
      <c r="B822" s="4">
        <v>242785</v>
      </c>
      <c r="C822" s="2" t="s">
        <v>6999</v>
      </c>
      <c r="D822" s="2">
        <f t="shared" si="12"/>
        <v>2</v>
      </c>
      <c r="F822" s="2" t="s">
        <v>6937</v>
      </c>
      <c r="G822" s="2" t="s">
        <v>53</v>
      </c>
      <c r="H822" s="4">
        <v>1</v>
      </c>
      <c r="I822" s="4">
        <v>12</v>
      </c>
      <c r="J822" s="5">
        <v>70000</v>
      </c>
      <c r="K822" s="2" t="s">
        <v>80</v>
      </c>
      <c r="L822" s="5">
        <v>65695</v>
      </c>
      <c r="M822" s="2" t="s">
        <v>7000</v>
      </c>
      <c r="N822" s="2" t="s">
        <v>82</v>
      </c>
      <c r="O822" s="2" t="s">
        <v>3308</v>
      </c>
      <c r="P822" s="2" t="s">
        <v>6254</v>
      </c>
      <c r="Q822" s="2" t="s">
        <v>6255</v>
      </c>
      <c r="R822" s="2" t="s">
        <v>7001</v>
      </c>
      <c r="S822" s="2" t="s">
        <v>7002</v>
      </c>
      <c r="T822" s="2" t="s">
        <v>7003</v>
      </c>
      <c r="U822" s="2" t="s">
        <v>7004</v>
      </c>
      <c r="V822" s="2" t="s">
        <v>7005</v>
      </c>
      <c r="W822" s="2" t="s">
        <v>7006</v>
      </c>
      <c r="Y822" s="2" t="s">
        <v>7007</v>
      </c>
      <c r="Z822" s="2" t="s">
        <v>7008</v>
      </c>
      <c r="AA822" s="2" t="s">
        <v>7009</v>
      </c>
      <c r="AB822" s="2" t="s">
        <v>7010</v>
      </c>
      <c r="AC822" s="2" t="s">
        <v>7011</v>
      </c>
      <c r="AD822" s="2" t="s">
        <v>7012</v>
      </c>
      <c r="AE822" s="2" t="s">
        <v>1362</v>
      </c>
      <c r="AF822" s="2" t="s">
        <v>70</v>
      </c>
      <c r="AK822" s="2" t="s">
        <v>7013</v>
      </c>
      <c r="AL822" s="2" t="s">
        <v>6269</v>
      </c>
      <c r="AM822" s="2" t="s">
        <v>72</v>
      </c>
      <c r="AN822" s="2" t="s">
        <v>473</v>
      </c>
      <c r="AP822" s="2" t="s">
        <v>4177</v>
      </c>
      <c r="AU822" s="2" t="s">
        <v>75</v>
      </c>
      <c r="AV822" s="2" t="s">
        <v>6540</v>
      </c>
      <c r="AW822" s="2" t="s">
        <v>7014</v>
      </c>
      <c r="AZ822" s="2" t="s">
        <v>77</v>
      </c>
    </row>
    <row r="823" spans="1:52" s="3" customFormat="1" x14ac:dyDescent="0.35">
      <c r="A823" s="2" t="s">
        <v>7015</v>
      </c>
      <c r="B823" s="4">
        <v>242784</v>
      </c>
      <c r="C823" s="2" t="s">
        <v>7016</v>
      </c>
      <c r="D823" s="2">
        <f t="shared" si="12"/>
        <v>2</v>
      </c>
      <c r="F823" s="2" t="s">
        <v>6937</v>
      </c>
      <c r="G823" s="2" t="s">
        <v>53</v>
      </c>
      <c r="H823" s="4">
        <v>1</v>
      </c>
      <c r="I823" s="4">
        <v>1</v>
      </c>
      <c r="J823" s="5">
        <v>70000</v>
      </c>
      <c r="K823" s="2" t="s">
        <v>1252</v>
      </c>
      <c r="L823" s="5">
        <v>65695</v>
      </c>
      <c r="M823" s="2" t="s">
        <v>55</v>
      </c>
      <c r="N823" s="2" t="s">
        <v>1253</v>
      </c>
      <c r="O823" s="2" t="s">
        <v>1254</v>
      </c>
      <c r="P823" s="2" t="s">
        <v>6254</v>
      </c>
      <c r="Q823" s="2" t="s">
        <v>6255</v>
      </c>
      <c r="R823" s="2" t="s">
        <v>7017</v>
      </c>
      <c r="T823" s="2" t="s">
        <v>7018</v>
      </c>
      <c r="U823" s="2" t="s">
        <v>7019</v>
      </c>
      <c r="V823" s="2" t="s">
        <v>7020</v>
      </c>
      <c r="W823" s="2" t="s">
        <v>7021</v>
      </c>
      <c r="X823" s="2" t="s">
        <v>7022</v>
      </c>
      <c r="Y823" s="2" t="s">
        <v>7023</v>
      </c>
      <c r="Z823" s="2" t="s">
        <v>7024</v>
      </c>
      <c r="AA823" s="2" t="s">
        <v>7025</v>
      </c>
      <c r="AB823" s="2" t="s">
        <v>7026</v>
      </c>
      <c r="AC823" s="2" t="s">
        <v>7027</v>
      </c>
      <c r="AD823" s="2" t="s">
        <v>7028</v>
      </c>
      <c r="AE823" s="2" t="s">
        <v>69</v>
      </c>
      <c r="AF823" s="2" t="s">
        <v>70</v>
      </c>
      <c r="AG823" s="2" t="s">
        <v>6254</v>
      </c>
      <c r="AK823" s="2" t="s">
        <v>7029</v>
      </c>
      <c r="AM823" s="2" t="s">
        <v>72</v>
      </c>
      <c r="AN823" s="2" t="s">
        <v>473</v>
      </c>
      <c r="AP823" s="2" t="s">
        <v>4177</v>
      </c>
      <c r="AU823" s="2" t="s">
        <v>75</v>
      </c>
      <c r="AV823" s="2" t="s">
        <v>6937</v>
      </c>
      <c r="AW823" s="2" t="s">
        <v>7030</v>
      </c>
      <c r="AX823" s="2" t="s">
        <v>477</v>
      </c>
      <c r="AZ823" s="2" t="s">
        <v>4750</v>
      </c>
    </row>
    <row r="824" spans="1:52" s="3" customFormat="1" x14ac:dyDescent="0.35">
      <c r="A824" s="2" t="s">
        <v>7031</v>
      </c>
      <c r="B824" s="4">
        <v>242783</v>
      </c>
      <c r="C824" s="2" t="s">
        <v>7032</v>
      </c>
      <c r="D824" s="2">
        <f t="shared" si="12"/>
        <v>2</v>
      </c>
      <c r="F824" s="2" t="s">
        <v>6937</v>
      </c>
      <c r="G824" s="2" t="s">
        <v>53</v>
      </c>
      <c r="H824" s="4">
        <v>27</v>
      </c>
      <c r="I824" s="4">
        <v>1</v>
      </c>
      <c r="J824" s="5">
        <v>64800</v>
      </c>
      <c r="K824" s="2" t="s">
        <v>1252</v>
      </c>
      <c r="L824" s="5">
        <v>60814.8</v>
      </c>
      <c r="M824" s="2" t="s">
        <v>55</v>
      </c>
      <c r="N824" s="2" t="s">
        <v>1253</v>
      </c>
      <c r="O824" s="2" t="s">
        <v>1254</v>
      </c>
      <c r="P824" s="2" t="s">
        <v>58</v>
      </c>
      <c r="Q824" s="2" t="s">
        <v>59</v>
      </c>
      <c r="R824" s="2" t="s">
        <v>7033</v>
      </c>
      <c r="T824" s="2" t="s">
        <v>2669</v>
      </c>
      <c r="U824" s="2" t="s">
        <v>2670</v>
      </c>
      <c r="V824" s="2" t="s">
        <v>7034</v>
      </c>
      <c r="W824" s="2" t="s">
        <v>2673</v>
      </c>
      <c r="X824" s="2" t="s">
        <v>2673</v>
      </c>
      <c r="Y824" s="2" t="s">
        <v>2674</v>
      </c>
      <c r="Z824" s="2" t="s">
        <v>2675</v>
      </c>
      <c r="AA824" s="2" t="s">
        <v>2676</v>
      </c>
      <c r="AB824" s="2" t="s">
        <v>2677</v>
      </c>
      <c r="AC824" s="2" t="s">
        <v>2678</v>
      </c>
      <c r="AD824" s="2" t="s">
        <v>2679</v>
      </c>
      <c r="AE824" s="2" t="s">
        <v>1362</v>
      </c>
      <c r="AF824" s="2" t="s">
        <v>70</v>
      </c>
      <c r="AG824" s="2" t="s">
        <v>58</v>
      </c>
      <c r="AK824" s="2" t="s">
        <v>7035</v>
      </c>
      <c r="AM824" s="2" t="s">
        <v>72</v>
      </c>
      <c r="AN824" s="2" t="s">
        <v>73</v>
      </c>
      <c r="AP824" s="2" t="s">
        <v>74</v>
      </c>
      <c r="AU824" s="2" t="s">
        <v>75</v>
      </c>
      <c r="AV824" s="2" t="s">
        <v>2681</v>
      </c>
      <c r="AW824" s="2" t="s">
        <v>2682</v>
      </c>
      <c r="AX824" s="2" t="s">
        <v>77</v>
      </c>
      <c r="AZ824" s="2" t="s">
        <v>77</v>
      </c>
    </row>
    <row r="825" spans="1:52" s="3" customFormat="1" x14ac:dyDescent="0.35">
      <c r="A825" s="2" t="s">
        <v>7036</v>
      </c>
      <c r="B825" s="4">
        <v>242773</v>
      </c>
      <c r="C825" s="2" t="s">
        <v>7037</v>
      </c>
      <c r="D825" s="2">
        <f t="shared" si="12"/>
        <v>2</v>
      </c>
      <c r="F825" s="2" t="s">
        <v>6937</v>
      </c>
      <c r="G825" s="2" t="s">
        <v>53</v>
      </c>
      <c r="H825" s="4">
        <v>1</v>
      </c>
      <c r="I825" s="4">
        <v>12</v>
      </c>
      <c r="J825" s="5">
        <v>70000</v>
      </c>
      <c r="K825" s="2" t="s">
        <v>80</v>
      </c>
      <c r="L825" s="5">
        <v>65695</v>
      </c>
      <c r="M825" s="2" t="s">
        <v>7038</v>
      </c>
      <c r="N825" s="2" t="s">
        <v>82</v>
      </c>
      <c r="O825" s="2" t="s">
        <v>484</v>
      </c>
      <c r="P825" s="2" t="s">
        <v>6254</v>
      </c>
      <c r="Q825" s="2" t="s">
        <v>6255</v>
      </c>
      <c r="R825" s="2" t="s">
        <v>7039</v>
      </c>
      <c r="S825" s="2" t="s">
        <v>7040</v>
      </c>
      <c r="T825" s="2" t="s">
        <v>7041</v>
      </c>
      <c r="U825" s="2" t="s">
        <v>7042</v>
      </c>
      <c r="V825" s="2" t="s">
        <v>7043</v>
      </c>
      <c r="W825" s="2" t="s">
        <v>7044</v>
      </c>
      <c r="Y825" s="2" t="s">
        <v>7045</v>
      </c>
      <c r="Z825" s="2" t="s">
        <v>7046</v>
      </c>
      <c r="AA825" s="2" t="s">
        <v>7047</v>
      </c>
      <c r="AB825" s="2" t="s">
        <v>6929</v>
      </c>
      <c r="AC825" s="2" t="s">
        <v>7048</v>
      </c>
      <c r="AD825" s="2" t="s">
        <v>3283</v>
      </c>
      <c r="AE825" s="2" t="s">
        <v>3284</v>
      </c>
      <c r="AF825" s="2" t="s">
        <v>70</v>
      </c>
      <c r="AK825" s="2" t="s">
        <v>7049</v>
      </c>
      <c r="AL825" s="2" t="s">
        <v>6269</v>
      </c>
      <c r="AM825" s="2" t="s">
        <v>72</v>
      </c>
      <c r="AN825" s="2" t="s">
        <v>473</v>
      </c>
      <c r="AP825" s="2" t="s">
        <v>4177</v>
      </c>
      <c r="AU825" s="2" t="s">
        <v>75</v>
      </c>
      <c r="AV825" s="2" t="s">
        <v>6440</v>
      </c>
      <c r="AW825" s="2" t="s">
        <v>7050</v>
      </c>
      <c r="AZ825" s="2" t="s">
        <v>77</v>
      </c>
    </row>
    <row r="826" spans="1:52" s="3" customFormat="1" x14ac:dyDescent="0.35">
      <c r="A826" s="2" t="s">
        <v>7051</v>
      </c>
      <c r="B826" s="4">
        <v>242752</v>
      </c>
      <c r="C826" s="2" t="s">
        <v>7052</v>
      </c>
      <c r="D826" s="2">
        <f t="shared" si="12"/>
        <v>2</v>
      </c>
      <c r="F826" s="2" t="s">
        <v>6937</v>
      </c>
      <c r="G826" s="2" t="s">
        <v>53</v>
      </c>
      <c r="H826" s="4">
        <v>1</v>
      </c>
      <c r="I826" s="4">
        <v>4</v>
      </c>
      <c r="J826" s="5">
        <v>50000</v>
      </c>
      <c r="K826" s="2" t="s">
        <v>1252</v>
      </c>
      <c r="L826" s="5">
        <v>46925</v>
      </c>
      <c r="M826" s="2" t="s">
        <v>55</v>
      </c>
      <c r="N826" s="2" t="s">
        <v>1253</v>
      </c>
      <c r="O826" s="2" t="s">
        <v>1254</v>
      </c>
      <c r="P826" s="2" t="s">
        <v>6254</v>
      </c>
      <c r="Q826" s="2" t="s">
        <v>6255</v>
      </c>
      <c r="R826" s="2" t="s">
        <v>7053</v>
      </c>
      <c r="T826" s="2" t="s">
        <v>6429</v>
      </c>
      <c r="U826" s="2" t="s">
        <v>6430</v>
      </c>
      <c r="V826" s="2" t="s">
        <v>6431</v>
      </c>
      <c r="W826" s="2" t="s">
        <v>6432</v>
      </c>
      <c r="X826" s="2" t="s">
        <v>7054</v>
      </c>
      <c r="Y826" s="2" t="s">
        <v>6433</v>
      </c>
      <c r="Z826" s="2" t="s">
        <v>7055</v>
      </c>
      <c r="AA826" s="2" t="s">
        <v>1624</v>
      </c>
      <c r="AB826" s="2" t="s">
        <v>6435</v>
      </c>
      <c r="AC826" s="2" t="s">
        <v>7056</v>
      </c>
      <c r="AD826" s="2" t="s">
        <v>6437</v>
      </c>
      <c r="AE826" s="2" t="s">
        <v>96</v>
      </c>
      <c r="AF826" s="2" t="s">
        <v>70</v>
      </c>
      <c r="AG826" s="2" t="s">
        <v>7057</v>
      </c>
      <c r="AK826" s="2" t="s">
        <v>7058</v>
      </c>
      <c r="AM826" s="2" t="s">
        <v>72</v>
      </c>
      <c r="AN826" s="2" t="s">
        <v>473</v>
      </c>
      <c r="AP826" s="2" t="s">
        <v>4177</v>
      </c>
      <c r="AU826" s="2" t="s">
        <v>75</v>
      </c>
      <c r="AV826" s="2" t="s">
        <v>6440</v>
      </c>
      <c r="AW826" s="2" t="s">
        <v>6441</v>
      </c>
      <c r="AX826" s="2" t="s">
        <v>477</v>
      </c>
      <c r="AZ826" s="2" t="s">
        <v>4750</v>
      </c>
    </row>
    <row r="827" spans="1:52" s="3" customFormat="1" x14ac:dyDescent="0.35">
      <c r="A827" s="2" t="s">
        <v>7059</v>
      </c>
      <c r="B827" s="4">
        <v>242750</v>
      </c>
      <c r="C827" s="2" t="s">
        <v>7060</v>
      </c>
      <c r="D827" s="2">
        <f t="shared" si="12"/>
        <v>2</v>
      </c>
      <c r="F827" s="2" t="s">
        <v>6937</v>
      </c>
      <c r="G827" s="2" t="s">
        <v>53</v>
      </c>
      <c r="H827" s="4">
        <v>1</v>
      </c>
      <c r="I827" s="4">
        <v>12</v>
      </c>
      <c r="J827" s="5">
        <v>70000</v>
      </c>
      <c r="K827" s="2" t="s">
        <v>80</v>
      </c>
      <c r="L827" s="5">
        <v>65695</v>
      </c>
      <c r="M827" s="2" t="s">
        <v>7061</v>
      </c>
      <c r="N827" s="2" t="s">
        <v>82</v>
      </c>
      <c r="O827" s="2" t="s">
        <v>3308</v>
      </c>
      <c r="P827" s="2" t="s">
        <v>6254</v>
      </c>
      <c r="Q827" s="2" t="s">
        <v>6255</v>
      </c>
      <c r="R827" s="2" t="s">
        <v>7062</v>
      </c>
      <c r="S827" s="2" t="s">
        <v>7063</v>
      </c>
      <c r="T827" s="2" t="s">
        <v>7064</v>
      </c>
      <c r="U827" s="2" t="s">
        <v>7065</v>
      </c>
      <c r="V827" s="2" t="s">
        <v>7066</v>
      </c>
      <c r="W827" s="2" t="s">
        <v>7067</v>
      </c>
      <c r="Y827" s="2" t="s">
        <v>7068</v>
      </c>
      <c r="Z827" s="2" t="s">
        <v>7069</v>
      </c>
      <c r="AA827" s="2" t="s">
        <v>7070</v>
      </c>
      <c r="AB827" s="2" t="s">
        <v>7071</v>
      </c>
      <c r="AC827" s="2" t="s">
        <v>7072</v>
      </c>
      <c r="AD827" s="2" t="s">
        <v>3652</v>
      </c>
      <c r="AE827" s="2" t="s">
        <v>69</v>
      </c>
      <c r="AF827" s="2" t="s">
        <v>70</v>
      </c>
      <c r="AK827" s="2" t="s">
        <v>7073</v>
      </c>
      <c r="AL827" s="2" t="s">
        <v>6269</v>
      </c>
      <c r="AM827" s="2" t="s">
        <v>72</v>
      </c>
      <c r="AN827" s="2" t="s">
        <v>473</v>
      </c>
      <c r="AP827" s="2" t="s">
        <v>4177</v>
      </c>
      <c r="AU827" s="2" t="s">
        <v>75</v>
      </c>
      <c r="AV827" s="2" t="s">
        <v>6964</v>
      </c>
      <c r="AW827" s="2" t="s">
        <v>7074</v>
      </c>
      <c r="AZ827" s="2" t="s">
        <v>77</v>
      </c>
    </row>
    <row r="828" spans="1:52" s="3" customFormat="1" x14ac:dyDescent="0.35">
      <c r="A828" s="2" t="s">
        <v>7075</v>
      </c>
      <c r="B828" s="4">
        <v>242749</v>
      </c>
      <c r="C828" s="2" t="s">
        <v>7076</v>
      </c>
      <c r="D828" s="2">
        <f t="shared" si="12"/>
        <v>2</v>
      </c>
      <c r="F828" s="2" t="s">
        <v>6937</v>
      </c>
      <c r="G828" s="2" t="s">
        <v>53</v>
      </c>
      <c r="H828" s="4">
        <v>1</v>
      </c>
      <c r="I828" s="4">
        <v>12</v>
      </c>
      <c r="J828" s="5">
        <v>70000</v>
      </c>
      <c r="K828" s="2" t="s">
        <v>80</v>
      </c>
      <c r="L828" s="5">
        <v>65695</v>
      </c>
      <c r="M828" s="2" t="s">
        <v>7077</v>
      </c>
      <c r="N828" s="2" t="s">
        <v>82</v>
      </c>
      <c r="O828" s="2" t="s">
        <v>83</v>
      </c>
      <c r="P828" s="2" t="s">
        <v>6254</v>
      </c>
      <c r="Q828" s="2" t="s">
        <v>6255</v>
      </c>
      <c r="R828" s="2" t="s">
        <v>7078</v>
      </c>
      <c r="S828" s="2" t="s">
        <v>7079</v>
      </c>
      <c r="T828" s="2" t="s">
        <v>7080</v>
      </c>
      <c r="U828" s="2" t="s">
        <v>7081</v>
      </c>
      <c r="V828" s="2" t="s">
        <v>7082</v>
      </c>
      <c r="W828" s="2" t="s">
        <v>7083</v>
      </c>
      <c r="Y828" s="2" t="s">
        <v>7084</v>
      </c>
      <c r="Z828" s="2" t="s">
        <v>7085</v>
      </c>
      <c r="AA828" s="2" t="s">
        <v>2811</v>
      </c>
      <c r="AB828" s="2" t="s">
        <v>7086</v>
      </c>
      <c r="AC828" s="2" t="s">
        <v>7087</v>
      </c>
      <c r="AD828" s="2" t="s">
        <v>3140</v>
      </c>
      <c r="AE828" s="2" t="s">
        <v>3141</v>
      </c>
      <c r="AF828" s="2" t="s">
        <v>70</v>
      </c>
      <c r="AK828" s="2" t="s">
        <v>7088</v>
      </c>
      <c r="AL828" s="2" t="s">
        <v>6269</v>
      </c>
      <c r="AM828" s="2" t="s">
        <v>72</v>
      </c>
      <c r="AN828" s="2" t="s">
        <v>473</v>
      </c>
      <c r="AP828" s="2" t="s">
        <v>4177</v>
      </c>
      <c r="AU828" s="2" t="s">
        <v>75</v>
      </c>
      <c r="AV828" s="2" t="s">
        <v>6937</v>
      </c>
      <c r="AW828" s="2" t="s">
        <v>7089</v>
      </c>
      <c r="AZ828" s="2" t="s">
        <v>77</v>
      </c>
    </row>
    <row r="829" spans="1:52" s="3" customFormat="1" x14ac:dyDescent="0.35">
      <c r="A829" s="2" t="s">
        <v>7090</v>
      </c>
      <c r="B829" s="4">
        <v>242747</v>
      </c>
      <c r="C829" s="2" t="s">
        <v>7091</v>
      </c>
      <c r="D829" s="2">
        <f t="shared" si="12"/>
        <v>2</v>
      </c>
      <c r="F829" s="2" t="s">
        <v>6937</v>
      </c>
      <c r="G829" s="2" t="s">
        <v>53</v>
      </c>
      <c r="H829" s="4">
        <v>1</v>
      </c>
      <c r="I829" s="4">
        <v>12</v>
      </c>
      <c r="J829" s="5">
        <v>70000</v>
      </c>
      <c r="K829" s="2" t="s">
        <v>80</v>
      </c>
      <c r="L829" s="5">
        <v>65695</v>
      </c>
      <c r="M829" s="2" t="s">
        <v>7092</v>
      </c>
      <c r="N829" s="2" t="s">
        <v>82</v>
      </c>
      <c r="O829" s="2" t="s">
        <v>83</v>
      </c>
      <c r="P829" s="2" t="s">
        <v>6254</v>
      </c>
      <c r="Q829" s="2" t="s">
        <v>6255</v>
      </c>
      <c r="R829" s="2" t="s">
        <v>7093</v>
      </c>
      <c r="S829" s="2" t="s">
        <v>7094</v>
      </c>
      <c r="T829" s="2" t="s">
        <v>7080</v>
      </c>
      <c r="U829" s="2" t="s">
        <v>7081</v>
      </c>
      <c r="V829" s="2" t="s">
        <v>7095</v>
      </c>
      <c r="W829" s="2" t="s">
        <v>7096</v>
      </c>
      <c r="Y829" s="2" t="s">
        <v>7084</v>
      </c>
      <c r="Z829" s="2" t="s">
        <v>7085</v>
      </c>
      <c r="AA829" s="2" t="s">
        <v>2811</v>
      </c>
      <c r="AB829" s="2" t="s">
        <v>7086</v>
      </c>
      <c r="AC829" s="2" t="s">
        <v>7087</v>
      </c>
      <c r="AD829" s="2" t="s">
        <v>3140</v>
      </c>
      <c r="AE829" s="2" t="s">
        <v>3141</v>
      </c>
      <c r="AF829" s="2" t="s">
        <v>70</v>
      </c>
      <c r="AK829" s="2" t="s">
        <v>7097</v>
      </c>
      <c r="AL829" s="2" t="s">
        <v>6269</v>
      </c>
      <c r="AM829" s="2" t="s">
        <v>72</v>
      </c>
      <c r="AN829" s="2" t="s">
        <v>473</v>
      </c>
      <c r="AP829" s="2" t="s">
        <v>4177</v>
      </c>
      <c r="AU829" s="2" t="s">
        <v>75</v>
      </c>
      <c r="AV829" s="2" t="s">
        <v>6937</v>
      </c>
      <c r="AW829" s="2" t="s">
        <v>7089</v>
      </c>
      <c r="AZ829" s="2" t="s">
        <v>77</v>
      </c>
    </row>
    <row r="830" spans="1:52" s="3" customFormat="1" x14ac:dyDescent="0.35">
      <c r="A830" s="2" t="s">
        <v>7098</v>
      </c>
      <c r="B830" s="4">
        <v>242744</v>
      </c>
      <c r="C830" s="2" t="s">
        <v>7099</v>
      </c>
      <c r="D830" s="2">
        <f t="shared" si="12"/>
        <v>2</v>
      </c>
      <c r="F830" s="2" t="s">
        <v>6937</v>
      </c>
      <c r="G830" s="2" t="s">
        <v>53</v>
      </c>
      <c r="H830" s="4">
        <v>1</v>
      </c>
      <c r="I830" s="4">
        <v>12</v>
      </c>
      <c r="J830" s="5">
        <v>70000</v>
      </c>
      <c r="K830" s="2" t="s">
        <v>80</v>
      </c>
      <c r="L830" s="5">
        <v>65695</v>
      </c>
      <c r="M830" s="2" t="s">
        <v>7100</v>
      </c>
      <c r="N830" s="2" t="s">
        <v>82</v>
      </c>
      <c r="O830" s="2" t="s">
        <v>83</v>
      </c>
      <c r="P830" s="2" t="s">
        <v>6254</v>
      </c>
      <c r="Q830" s="2" t="s">
        <v>6255</v>
      </c>
      <c r="R830" s="2" t="s">
        <v>7101</v>
      </c>
      <c r="S830" s="2" t="s">
        <v>7102</v>
      </c>
      <c r="T830" s="2" t="s">
        <v>7080</v>
      </c>
      <c r="U830" s="2" t="s">
        <v>7103</v>
      </c>
      <c r="V830" s="2" t="s">
        <v>7104</v>
      </c>
      <c r="W830" s="2" t="s">
        <v>7105</v>
      </c>
      <c r="Y830" s="2" t="s">
        <v>7084</v>
      </c>
      <c r="Z830" s="2" t="s">
        <v>7106</v>
      </c>
      <c r="AA830" s="2" t="s">
        <v>7107</v>
      </c>
      <c r="AC830" s="2" t="s">
        <v>7108</v>
      </c>
      <c r="AD830" s="2" t="s">
        <v>3140</v>
      </c>
      <c r="AE830" s="2" t="s">
        <v>3141</v>
      </c>
      <c r="AF830" s="2" t="s">
        <v>70</v>
      </c>
      <c r="AK830" s="2" t="s">
        <v>7109</v>
      </c>
      <c r="AL830" s="2" t="s">
        <v>6269</v>
      </c>
      <c r="AM830" s="2" t="s">
        <v>72</v>
      </c>
      <c r="AN830" s="2" t="s">
        <v>473</v>
      </c>
      <c r="AP830" s="2" t="s">
        <v>4177</v>
      </c>
      <c r="AU830" s="2" t="s">
        <v>75</v>
      </c>
      <c r="AV830" s="2" t="s">
        <v>6937</v>
      </c>
      <c r="AW830" s="2" t="s">
        <v>7089</v>
      </c>
      <c r="AZ830" s="2" t="s">
        <v>77</v>
      </c>
    </row>
    <row r="831" spans="1:52" s="3" customFormat="1" x14ac:dyDescent="0.35">
      <c r="A831" s="2" t="s">
        <v>7110</v>
      </c>
      <c r="B831" s="4">
        <v>242730</v>
      </c>
      <c r="C831" s="2" t="s">
        <v>7111</v>
      </c>
      <c r="D831" s="2">
        <f t="shared" si="12"/>
        <v>2</v>
      </c>
      <c r="F831" s="2" t="s">
        <v>6937</v>
      </c>
      <c r="G831" s="2" t="s">
        <v>53</v>
      </c>
      <c r="H831" s="4">
        <v>1</v>
      </c>
      <c r="I831" s="4">
        <v>12</v>
      </c>
      <c r="J831" s="5">
        <v>70000</v>
      </c>
      <c r="K831" s="2" t="s">
        <v>80</v>
      </c>
      <c r="L831" s="5">
        <v>65695</v>
      </c>
      <c r="M831" s="2" t="s">
        <v>7112</v>
      </c>
      <c r="N831" s="2" t="s">
        <v>82</v>
      </c>
      <c r="O831" s="2" t="s">
        <v>83</v>
      </c>
      <c r="P831" s="2" t="s">
        <v>6254</v>
      </c>
      <c r="Q831" s="2" t="s">
        <v>6255</v>
      </c>
      <c r="R831" s="2" t="s">
        <v>7113</v>
      </c>
      <c r="S831" s="2" t="s">
        <v>7114</v>
      </c>
      <c r="T831" s="2" t="s">
        <v>7115</v>
      </c>
      <c r="U831" s="2" t="s">
        <v>7116</v>
      </c>
      <c r="V831" s="2" t="s">
        <v>7117</v>
      </c>
      <c r="W831" s="2" t="s">
        <v>7118</v>
      </c>
      <c r="Y831" s="2" t="s">
        <v>7119</v>
      </c>
      <c r="Z831" s="2" t="s">
        <v>7120</v>
      </c>
      <c r="AA831" s="2" t="s">
        <v>7121</v>
      </c>
      <c r="AB831" s="2" t="s">
        <v>7122</v>
      </c>
      <c r="AC831" s="2" t="s">
        <v>7123</v>
      </c>
      <c r="AD831" s="2" t="s">
        <v>1402</v>
      </c>
      <c r="AE831" s="2" t="s">
        <v>1403</v>
      </c>
      <c r="AF831" s="2" t="s">
        <v>70</v>
      </c>
      <c r="AK831" s="2" t="s">
        <v>7124</v>
      </c>
      <c r="AL831" s="2" t="s">
        <v>6269</v>
      </c>
      <c r="AM831" s="2" t="s">
        <v>72</v>
      </c>
      <c r="AN831" s="2" t="s">
        <v>473</v>
      </c>
      <c r="AP831" s="2" t="s">
        <v>4177</v>
      </c>
      <c r="AU831" s="2" t="s">
        <v>75</v>
      </c>
      <c r="AV831" s="2" t="s">
        <v>6780</v>
      </c>
      <c r="AW831" s="2" t="s">
        <v>7125</v>
      </c>
      <c r="AZ831" s="2" t="s">
        <v>77</v>
      </c>
    </row>
    <row r="832" spans="1:52" s="3" customFormat="1" x14ac:dyDescent="0.35">
      <c r="A832" s="2" t="s">
        <v>7126</v>
      </c>
      <c r="B832" s="4">
        <v>242053</v>
      </c>
      <c r="C832" s="2" t="s">
        <v>7127</v>
      </c>
      <c r="D832" s="2">
        <f t="shared" si="12"/>
        <v>2</v>
      </c>
      <c r="F832" s="2" t="s">
        <v>6937</v>
      </c>
      <c r="G832" s="2" t="s">
        <v>53</v>
      </c>
      <c r="H832" s="4">
        <v>2</v>
      </c>
      <c r="I832" s="4">
        <v>10</v>
      </c>
      <c r="J832" s="5">
        <v>69999.98</v>
      </c>
      <c r="K832" s="2" t="s">
        <v>80</v>
      </c>
      <c r="L832" s="5">
        <v>69999.98</v>
      </c>
      <c r="M832" s="2" t="s">
        <v>7128</v>
      </c>
      <c r="N832" s="2" t="s">
        <v>82</v>
      </c>
      <c r="O832" s="2" t="s">
        <v>83</v>
      </c>
      <c r="P832" s="2" t="s">
        <v>3075</v>
      </c>
      <c r="Q832" s="2" t="s">
        <v>3076</v>
      </c>
      <c r="R832" s="2" t="s">
        <v>7129</v>
      </c>
      <c r="S832" s="2" t="s">
        <v>7130</v>
      </c>
      <c r="T832" s="2" t="s">
        <v>7131</v>
      </c>
      <c r="U832" s="2" t="s">
        <v>7132</v>
      </c>
      <c r="V832" s="2" t="s">
        <v>7133</v>
      </c>
      <c r="W832" s="2" t="s">
        <v>7134</v>
      </c>
      <c r="X832" s="2" t="s">
        <v>7135</v>
      </c>
      <c r="Y832" s="2" t="s">
        <v>6657</v>
      </c>
      <c r="Z832" s="2" t="s">
        <v>6658</v>
      </c>
      <c r="AA832" s="2" t="s">
        <v>7136</v>
      </c>
      <c r="AB832" s="2" t="s">
        <v>7137</v>
      </c>
      <c r="AC832" s="2" t="s">
        <v>6661</v>
      </c>
      <c r="AD832" s="2" t="s">
        <v>2756</v>
      </c>
      <c r="AE832" s="2" t="s">
        <v>2757</v>
      </c>
      <c r="AF832" s="2" t="s">
        <v>97</v>
      </c>
      <c r="AG832" s="2" t="s">
        <v>3075</v>
      </c>
      <c r="AK832" s="2" t="s">
        <v>7138</v>
      </c>
      <c r="AL832" s="2" t="s">
        <v>4485</v>
      </c>
      <c r="AM832" s="2" t="s">
        <v>72</v>
      </c>
      <c r="AN832" s="2" t="s">
        <v>73</v>
      </c>
      <c r="AP832" s="2" t="s">
        <v>3088</v>
      </c>
      <c r="AS832" s="2" t="s">
        <v>7139</v>
      </c>
      <c r="AT832" s="2" t="s">
        <v>102</v>
      </c>
      <c r="AU832" s="2" t="s">
        <v>75</v>
      </c>
      <c r="AV832" s="2" t="s">
        <v>6937</v>
      </c>
      <c r="AW832" s="2" t="s">
        <v>7140</v>
      </c>
      <c r="AX832" s="2" t="s">
        <v>4670</v>
      </c>
      <c r="AZ832" s="2" t="s">
        <v>77</v>
      </c>
    </row>
    <row r="833" spans="1:52" s="3" customFormat="1" x14ac:dyDescent="0.35">
      <c r="A833" s="2" t="s">
        <v>7141</v>
      </c>
      <c r="B833" s="4">
        <v>242529</v>
      </c>
      <c r="C833" s="2" t="s">
        <v>7142</v>
      </c>
      <c r="D833" s="2">
        <f t="shared" si="12"/>
        <v>2</v>
      </c>
      <c r="F833" s="2" t="s">
        <v>7143</v>
      </c>
      <c r="G833" s="2" t="s">
        <v>53</v>
      </c>
      <c r="H833" s="4">
        <v>1</v>
      </c>
      <c r="I833" s="4">
        <v>12</v>
      </c>
      <c r="J833" s="5">
        <v>34999.99</v>
      </c>
      <c r="K833" s="2" t="s">
        <v>80</v>
      </c>
      <c r="L833" s="5">
        <v>34999.99</v>
      </c>
      <c r="M833" s="2" t="s">
        <v>7144</v>
      </c>
      <c r="N833" s="2" t="s">
        <v>82</v>
      </c>
      <c r="O833" s="2" t="s">
        <v>7145</v>
      </c>
      <c r="P833" s="2" t="s">
        <v>3075</v>
      </c>
      <c r="Q833" s="2" t="s">
        <v>3076</v>
      </c>
      <c r="R833" s="2" t="s">
        <v>7146</v>
      </c>
      <c r="S833" s="2" t="s">
        <v>7147</v>
      </c>
      <c r="T833" s="2" t="s">
        <v>7148</v>
      </c>
      <c r="U833" s="2" t="s">
        <v>7149</v>
      </c>
      <c r="V833" s="2" t="s">
        <v>7150</v>
      </c>
      <c r="W833" s="2" t="s">
        <v>7151</v>
      </c>
      <c r="X833" s="2" t="s">
        <v>7152</v>
      </c>
      <c r="Y833" s="2" t="s">
        <v>7153</v>
      </c>
      <c r="Z833" s="2" t="s">
        <v>7154</v>
      </c>
      <c r="AA833" s="2" t="s">
        <v>7155</v>
      </c>
      <c r="AC833" s="2" t="s">
        <v>7156</v>
      </c>
      <c r="AD833" s="2" t="s">
        <v>1402</v>
      </c>
      <c r="AE833" s="2" t="s">
        <v>1403</v>
      </c>
      <c r="AF833" s="2" t="s">
        <v>97</v>
      </c>
      <c r="AG833" s="2" t="s">
        <v>3075</v>
      </c>
      <c r="AK833" s="2" t="s">
        <v>7157</v>
      </c>
      <c r="AL833" s="2" t="s">
        <v>4485</v>
      </c>
      <c r="AM833" s="2" t="s">
        <v>72</v>
      </c>
      <c r="AN833" s="2" t="s">
        <v>73</v>
      </c>
      <c r="AP833" s="2" t="s">
        <v>3088</v>
      </c>
      <c r="AS833" s="2" t="s">
        <v>7158</v>
      </c>
      <c r="AT833" s="2" t="s">
        <v>102</v>
      </c>
      <c r="AU833" s="2" t="s">
        <v>75</v>
      </c>
      <c r="AV833" s="2" t="s">
        <v>7143</v>
      </c>
      <c r="AW833" s="2" t="s">
        <v>7159</v>
      </c>
      <c r="AX833" s="2" t="s">
        <v>4670</v>
      </c>
      <c r="AZ833" s="2" t="s">
        <v>77</v>
      </c>
    </row>
    <row r="834" spans="1:52" s="3" customFormat="1" x14ac:dyDescent="0.35">
      <c r="A834" s="2" t="s">
        <v>7160</v>
      </c>
      <c r="B834" s="4">
        <v>242678</v>
      </c>
      <c r="C834" s="2" t="s">
        <v>7161</v>
      </c>
      <c r="D834" s="2">
        <f t="shared" si="12"/>
        <v>2</v>
      </c>
      <c r="F834" s="2" t="s">
        <v>6937</v>
      </c>
      <c r="G834" s="2" t="s">
        <v>53</v>
      </c>
      <c r="H834" s="4">
        <v>1</v>
      </c>
      <c r="I834" s="4">
        <v>1</v>
      </c>
      <c r="J834" s="5">
        <v>31500</v>
      </c>
      <c r="K834" s="2" t="s">
        <v>1252</v>
      </c>
      <c r="L834" s="5">
        <v>29562.75</v>
      </c>
      <c r="M834" s="2" t="s">
        <v>55</v>
      </c>
      <c r="N834" s="2" t="s">
        <v>1253</v>
      </c>
      <c r="O834" s="2" t="s">
        <v>1254</v>
      </c>
      <c r="P834" s="2" t="s">
        <v>4709</v>
      </c>
      <c r="Q834" s="2" t="s">
        <v>4710</v>
      </c>
      <c r="R834" s="2" t="s">
        <v>7162</v>
      </c>
      <c r="T834" s="2" t="s">
        <v>7163</v>
      </c>
      <c r="U834" s="2" t="s">
        <v>7164</v>
      </c>
      <c r="V834" s="2" t="s">
        <v>7165</v>
      </c>
      <c r="W834" s="2" t="s">
        <v>7166</v>
      </c>
      <c r="X834" s="2" t="s">
        <v>7167</v>
      </c>
      <c r="Y834" s="2" t="s">
        <v>7168</v>
      </c>
      <c r="Z834" s="2" t="s">
        <v>7169</v>
      </c>
      <c r="AA834" s="2" t="s">
        <v>7170</v>
      </c>
      <c r="AC834" s="2" t="s">
        <v>7171</v>
      </c>
      <c r="AD834" s="2" t="s">
        <v>7172</v>
      </c>
      <c r="AE834" s="2" t="s">
        <v>1362</v>
      </c>
      <c r="AF834" s="2" t="s">
        <v>70</v>
      </c>
      <c r="AG834" s="2" t="s">
        <v>4709</v>
      </c>
      <c r="AK834" s="2" t="s">
        <v>7173</v>
      </c>
      <c r="AM834" s="2" t="s">
        <v>72</v>
      </c>
      <c r="AN834" s="2" t="s">
        <v>73</v>
      </c>
      <c r="AP834" s="2" t="s">
        <v>2563</v>
      </c>
      <c r="AT834" s="2" t="s">
        <v>114</v>
      </c>
      <c r="AU834" s="2" t="s">
        <v>75</v>
      </c>
      <c r="AV834" s="2" t="s">
        <v>7174</v>
      </c>
      <c r="AW834" s="2" t="s">
        <v>7175</v>
      </c>
      <c r="AX834" s="2" t="s">
        <v>77</v>
      </c>
      <c r="AZ834" s="2" t="s">
        <v>77</v>
      </c>
    </row>
    <row r="835" spans="1:52" s="3" customFormat="1" x14ac:dyDescent="0.35">
      <c r="A835" s="2" t="s">
        <v>7176</v>
      </c>
      <c r="B835" s="4">
        <v>242677</v>
      </c>
      <c r="C835" s="2" t="s">
        <v>7177</v>
      </c>
      <c r="D835" s="2">
        <f t="shared" ref="D835:D898" si="13">MONTH(C835)</f>
        <v>2</v>
      </c>
      <c r="F835" s="2" t="s">
        <v>6937</v>
      </c>
      <c r="G835" s="2" t="s">
        <v>53</v>
      </c>
      <c r="H835" s="4">
        <v>1</v>
      </c>
      <c r="I835" s="4">
        <v>1</v>
      </c>
      <c r="J835" s="5">
        <v>31500</v>
      </c>
      <c r="K835" s="2" t="s">
        <v>1252</v>
      </c>
      <c r="L835" s="5">
        <v>29562.75</v>
      </c>
      <c r="M835" s="2" t="s">
        <v>55</v>
      </c>
      <c r="N835" s="2" t="s">
        <v>1253</v>
      </c>
      <c r="O835" s="2" t="s">
        <v>1254</v>
      </c>
      <c r="P835" s="2" t="s">
        <v>7178</v>
      </c>
      <c r="Q835" s="2" t="s">
        <v>7179</v>
      </c>
      <c r="R835" s="2" t="s">
        <v>7162</v>
      </c>
      <c r="T835" s="2" t="s">
        <v>7163</v>
      </c>
      <c r="U835" s="2" t="s">
        <v>7164</v>
      </c>
      <c r="V835" s="2" t="s">
        <v>7165</v>
      </c>
      <c r="W835" s="2" t="s">
        <v>7166</v>
      </c>
      <c r="X835" s="2" t="s">
        <v>7167</v>
      </c>
      <c r="Y835" s="2" t="s">
        <v>7168</v>
      </c>
      <c r="Z835" s="2" t="s">
        <v>7169</v>
      </c>
      <c r="AA835" s="2" t="s">
        <v>7170</v>
      </c>
      <c r="AC835" s="2" t="s">
        <v>7171</v>
      </c>
      <c r="AD835" s="2" t="s">
        <v>7172</v>
      </c>
      <c r="AE835" s="2" t="s">
        <v>1362</v>
      </c>
      <c r="AF835" s="2" t="s">
        <v>70</v>
      </c>
      <c r="AG835" s="2" t="s">
        <v>7178</v>
      </c>
      <c r="AK835" s="2" t="s">
        <v>7180</v>
      </c>
      <c r="AM835" s="2" t="s">
        <v>72</v>
      </c>
      <c r="AN835" s="2" t="s">
        <v>73</v>
      </c>
      <c r="AP835" s="2" t="s">
        <v>5730</v>
      </c>
      <c r="AT835" s="2" t="s">
        <v>114</v>
      </c>
      <c r="AU835" s="2" t="s">
        <v>75</v>
      </c>
      <c r="AV835" s="2" t="s">
        <v>7174</v>
      </c>
      <c r="AW835" s="2" t="s">
        <v>7175</v>
      </c>
      <c r="AX835" s="2" t="s">
        <v>77</v>
      </c>
      <c r="AZ835" s="2" t="s">
        <v>77</v>
      </c>
    </row>
    <row r="836" spans="1:52" s="3" customFormat="1" x14ac:dyDescent="0.35">
      <c r="A836" s="2" t="s">
        <v>7181</v>
      </c>
      <c r="B836" s="4">
        <v>242674</v>
      </c>
      <c r="C836" s="2" t="s">
        <v>7182</v>
      </c>
      <c r="D836" s="2">
        <f t="shared" si="13"/>
        <v>2</v>
      </c>
      <c r="F836" s="2" t="s">
        <v>7143</v>
      </c>
      <c r="G836" s="2" t="s">
        <v>53</v>
      </c>
      <c r="H836" s="4">
        <v>1</v>
      </c>
      <c r="I836" s="4">
        <v>1</v>
      </c>
      <c r="J836" s="4">
        <v>0</v>
      </c>
      <c r="L836" s="4">
        <v>0</v>
      </c>
      <c r="M836" s="2" t="s">
        <v>55</v>
      </c>
      <c r="N836" s="2" t="s">
        <v>56</v>
      </c>
      <c r="O836" s="2" t="s">
        <v>57</v>
      </c>
      <c r="P836" s="2" t="s">
        <v>6473</v>
      </c>
      <c r="Q836" s="2" t="s">
        <v>6474</v>
      </c>
      <c r="R836" s="2" t="s">
        <v>7183</v>
      </c>
      <c r="S836" s="2" t="s">
        <v>7184</v>
      </c>
      <c r="V836" s="2" t="s">
        <v>7185</v>
      </c>
      <c r="W836" s="2" t="s">
        <v>7186</v>
      </c>
      <c r="Y836" s="2" t="s">
        <v>64</v>
      </c>
      <c r="Z836" s="2" t="s">
        <v>65</v>
      </c>
      <c r="AA836" s="2" t="s">
        <v>66</v>
      </c>
      <c r="AC836" s="2" t="s">
        <v>67</v>
      </c>
      <c r="AD836" s="2" t="s">
        <v>68</v>
      </c>
      <c r="AE836" s="2" t="s">
        <v>69</v>
      </c>
      <c r="AF836" s="2" t="s">
        <v>70</v>
      </c>
      <c r="AG836" s="2" t="s">
        <v>6473</v>
      </c>
      <c r="AK836" s="2" t="s">
        <v>7187</v>
      </c>
      <c r="AM836" s="2" t="s">
        <v>72</v>
      </c>
      <c r="AN836" s="2" t="s">
        <v>473</v>
      </c>
      <c r="AP836" s="2" t="s">
        <v>6384</v>
      </c>
      <c r="AU836" s="2" t="s">
        <v>75</v>
      </c>
      <c r="AV836" s="2" t="s">
        <v>7188</v>
      </c>
      <c r="AW836" s="2" t="s">
        <v>7189</v>
      </c>
      <c r="AZ836" s="2" t="s">
        <v>116</v>
      </c>
    </row>
    <row r="837" spans="1:52" s="3" customFormat="1" x14ac:dyDescent="0.35">
      <c r="A837" s="2" t="s">
        <v>7190</v>
      </c>
      <c r="B837" s="4">
        <v>242642</v>
      </c>
      <c r="C837" s="2" t="s">
        <v>7191</v>
      </c>
      <c r="D837" s="2">
        <f t="shared" si="13"/>
        <v>2</v>
      </c>
      <c r="F837" s="2" t="s">
        <v>7143</v>
      </c>
      <c r="G837" s="2" t="s">
        <v>53</v>
      </c>
      <c r="H837" s="4">
        <v>1</v>
      </c>
      <c r="I837" s="4">
        <v>1</v>
      </c>
      <c r="J837" s="4">
        <v>0</v>
      </c>
      <c r="L837" s="4">
        <v>0</v>
      </c>
      <c r="M837" s="2" t="s">
        <v>55</v>
      </c>
      <c r="N837" s="2" t="s">
        <v>56</v>
      </c>
      <c r="O837" s="2" t="s">
        <v>57</v>
      </c>
      <c r="P837" s="2" t="s">
        <v>6473</v>
      </c>
      <c r="Q837" s="2" t="s">
        <v>6474</v>
      </c>
      <c r="R837" s="2" t="s">
        <v>7192</v>
      </c>
      <c r="S837" s="2" t="s">
        <v>7193</v>
      </c>
      <c r="V837" s="2" t="s">
        <v>7194</v>
      </c>
      <c r="W837" s="2" t="s">
        <v>7195</v>
      </c>
      <c r="Y837" s="2" t="s">
        <v>64</v>
      </c>
      <c r="Z837" s="2" t="s">
        <v>65</v>
      </c>
      <c r="AA837" s="2" t="s">
        <v>66</v>
      </c>
      <c r="AC837" s="2" t="s">
        <v>67</v>
      </c>
      <c r="AD837" s="2" t="s">
        <v>68</v>
      </c>
      <c r="AE837" s="2" t="s">
        <v>69</v>
      </c>
      <c r="AF837" s="2" t="s">
        <v>70</v>
      </c>
      <c r="AG837" s="2" t="s">
        <v>6473</v>
      </c>
      <c r="AK837" s="2" t="s">
        <v>7196</v>
      </c>
      <c r="AM837" s="2" t="s">
        <v>72</v>
      </c>
      <c r="AN837" s="2" t="s">
        <v>473</v>
      </c>
      <c r="AP837" s="2" t="s">
        <v>6384</v>
      </c>
      <c r="AU837" s="2" t="s">
        <v>75</v>
      </c>
      <c r="AV837" s="2" t="s">
        <v>7197</v>
      </c>
      <c r="AW837" s="2" t="s">
        <v>7198</v>
      </c>
      <c r="AZ837" s="2" t="s">
        <v>116</v>
      </c>
    </row>
    <row r="838" spans="1:52" s="3" customFormat="1" x14ac:dyDescent="0.35">
      <c r="A838" s="2" t="s">
        <v>7199</v>
      </c>
      <c r="B838" s="4">
        <v>242531</v>
      </c>
      <c r="C838" s="2" t="s">
        <v>7200</v>
      </c>
      <c r="D838" s="2">
        <f t="shared" si="13"/>
        <v>2</v>
      </c>
      <c r="F838" s="2" t="s">
        <v>7143</v>
      </c>
      <c r="G838" s="2" t="s">
        <v>53</v>
      </c>
      <c r="H838" s="4">
        <v>1</v>
      </c>
      <c r="I838" s="4">
        <v>12</v>
      </c>
      <c r="J838" s="5">
        <v>34999.99</v>
      </c>
      <c r="K838" s="2" t="s">
        <v>80</v>
      </c>
      <c r="L838" s="5">
        <v>34999.99</v>
      </c>
      <c r="M838" s="2" t="s">
        <v>7201</v>
      </c>
      <c r="N838" s="2" t="s">
        <v>82</v>
      </c>
      <c r="O838" s="2" t="s">
        <v>484</v>
      </c>
      <c r="P838" s="2" t="s">
        <v>3075</v>
      </c>
      <c r="Q838" s="2" t="s">
        <v>3076</v>
      </c>
      <c r="R838" s="2" t="s">
        <v>7202</v>
      </c>
      <c r="S838" s="2" t="s">
        <v>7203</v>
      </c>
      <c r="T838" s="2" t="s">
        <v>7204</v>
      </c>
      <c r="U838" s="2" t="s">
        <v>7205</v>
      </c>
      <c r="V838" s="2" t="s">
        <v>7206</v>
      </c>
      <c r="W838" s="2" t="s">
        <v>7207</v>
      </c>
      <c r="X838" s="2" t="s">
        <v>7207</v>
      </c>
      <c r="Y838" s="2" t="s">
        <v>7208</v>
      </c>
      <c r="Z838" s="2" t="s">
        <v>7209</v>
      </c>
      <c r="AA838" s="2" t="s">
        <v>7210</v>
      </c>
      <c r="AC838" s="2" t="s">
        <v>7211</v>
      </c>
      <c r="AD838" s="2" t="s">
        <v>7212</v>
      </c>
      <c r="AE838" s="2" t="s">
        <v>69</v>
      </c>
      <c r="AF838" s="2" t="s">
        <v>97</v>
      </c>
      <c r="AG838" s="2" t="s">
        <v>3075</v>
      </c>
      <c r="AK838" s="2" t="s">
        <v>7213</v>
      </c>
      <c r="AL838" s="2" t="s">
        <v>4485</v>
      </c>
      <c r="AM838" s="2" t="s">
        <v>72</v>
      </c>
      <c r="AN838" s="2" t="s">
        <v>73</v>
      </c>
      <c r="AP838" s="2" t="s">
        <v>3088</v>
      </c>
      <c r="AS838" s="2" t="s">
        <v>7214</v>
      </c>
      <c r="AT838" s="2" t="s">
        <v>102</v>
      </c>
      <c r="AU838" s="2" t="s">
        <v>75</v>
      </c>
      <c r="AV838" s="2" t="s">
        <v>7143</v>
      </c>
      <c r="AW838" s="2" t="s">
        <v>7215</v>
      </c>
      <c r="AX838" s="2" t="s">
        <v>4670</v>
      </c>
      <c r="AZ838" s="2" t="s">
        <v>77</v>
      </c>
    </row>
    <row r="839" spans="1:52" s="3" customFormat="1" x14ac:dyDescent="0.35">
      <c r="A839" s="2" t="s">
        <v>7216</v>
      </c>
      <c r="B839" s="4">
        <v>242557</v>
      </c>
      <c r="C839" s="2" t="s">
        <v>7217</v>
      </c>
      <c r="D839" s="2">
        <f t="shared" si="13"/>
        <v>2</v>
      </c>
      <c r="F839" s="2" t="s">
        <v>7143</v>
      </c>
      <c r="G839" s="2" t="s">
        <v>53</v>
      </c>
      <c r="H839" s="4">
        <v>1</v>
      </c>
      <c r="I839" s="4">
        <v>12</v>
      </c>
      <c r="J839" s="5">
        <v>34999.99</v>
      </c>
      <c r="K839" s="2" t="s">
        <v>80</v>
      </c>
      <c r="L839" s="5">
        <v>34999.99</v>
      </c>
      <c r="M839" s="2" t="s">
        <v>7218</v>
      </c>
      <c r="N839" s="2" t="s">
        <v>82</v>
      </c>
      <c r="O839" s="2" t="s">
        <v>83</v>
      </c>
      <c r="P839" s="2" t="s">
        <v>3075</v>
      </c>
      <c r="Q839" s="2" t="s">
        <v>3076</v>
      </c>
      <c r="R839" s="2" t="s">
        <v>7219</v>
      </c>
      <c r="S839" s="2" t="s">
        <v>7220</v>
      </c>
      <c r="T839" s="2" t="s">
        <v>7221</v>
      </c>
      <c r="U839" s="2" t="s">
        <v>7222</v>
      </c>
      <c r="V839" s="2" t="s">
        <v>7223</v>
      </c>
      <c r="W839" s="2" t="s">
        <v>7224</v>
      </c>
      <c r="X839" s="2" t="s">
        <v>7225</v>
      </c>
      <c r="Y839" s="2" t="s">
        <v>7226</v>
      </c>
      <c r="Z839" s="2" t="s">
        <v>7227</v>
      </c>
      <c r="AA839" s="2" t="s">
        <v>7228</v>
      </c>
      <c r="AC839" s="2" t="s">
        <v>7229</v>
      </c>
      <c r="AD839" s="2" t="s">
        <v>7230</v>
      </c>
      <c r="AE839" s="2" t="s">
        <v>6739</v>
      </c>
      <c r="AF839" s="2" t="s">
        <v>97</v>
      </c>
      <c r="AG839" s="2" t="s">
        <v>3075</v>
      </c>
      <c r="AK839" s="2" t="s">
        <v>7231</v>
      </c>
      <c r="AL839" s="2" t="s">
        <v>4485</v>
      </c>
      <c r="AM839" s="2" t="s">
        <v>72</v>
      </c>
      <c r="AN839" s="2" t="s">
        <v>73</v>
      </c>
      <c r="AP839" s="2" t="s">
        <v>3088</v>
      </c>
      <c r="AS839" s="2" t="s">
        <v>7232</v>
      </c>
      <c r="AT839" s="2" t="s">
        <v>102</v>
      </c>
      <c r="AU839" s="2" t="s">
        <v>75</v>
      </c>
      <c r="AV839" s="2" t="s">
        <v>7143</v>
      </c>
      <c r="AW839" s="2" t="s">
        <v>7233</v>
      </c>
      <c r="AX839" s="2" t="s">
        <v>4670</v>
      </c>
      <c r="AZ839" s="2" t="s">
        <v>77</v>
      </c>
    </row>
    <row r="840" spans="1:52" s="3" customFormat="1" x14ac:dyDescent="0.35">
      <c r="A840" s="2" t="s">
        <v>7234</v>
      </c>
      <c r="B840" s="4">
        <v>242028</v>
      </c>
      <c r="C840" s="2" t="s">
        <v>7235</v>
      </c>
      <c r="D840" s="2">
        <f t="shared" si="13"/>
        <v>2</v>
      </c>
      <c r="F840" s="2" t="s">
        <v>7236</v>
      </c>
      <c r="G840" s="2" t="s">
        <v>53</v>
      </c>
      <c r="H840" s="4">
        <v>1</v>
      </c>
      <c r="I840" s="4">
        <v>12</v>
      </c>
      <c r="J840" s="5">
        <v>34999.99</v>
      </c>
      <c r="K840" s="2" t="s">
        <v>80</v>
      </c>
      <c r="L840" s="5">
        <v>34999.99</v>
      </c>
      <c r="M840" s="2" t="s">
        <v>7237</v>
      </c>
      <c r="N840" s="2" t="s">
        <v>82</v>
      </c>
      <c r="O840" s="2" t="s">
        <v>484</v>
      </c>
      <c r="P840" s="2" t="s">
        <v>3075</v>
      </c>
      <c r="Q840" s="2" t="s">
        <v>3076</v>
      </c>
      <c r="R840" s="2" t="s">
        <v>7238</v>
      </c>
      <c r="S840" s="2" t="s">
        <v>7239</v>
      </c>
      <c r="T840" s="2" t="s">
        <v>7240</v>
      </c>
      <c r="U840" s="2" t="s">
        <v>7241</v>
      </c>
      <c r="V840" s="2" t="s">
        <v>7242</v>
      </c>
      <c r="W840" s="2" t="s">
        <v>7243</v>
      </c>
      <c r="X840" s="2" t="s">
        <v>7243</v>
      </c>
      <c r="Y840" s="2" t="s">
        <v>7244</v>
      </c>
      <c r="Z840" s="2" t="s">
        <v>7245</v>
      </c>
      <c r="AA840" s="2" t="s">
        <v>7246</v>
      </c>
      <c r="AC840" s="2" t="s">
        <v>7247</v>
      </c>
      <c r="AD840" s="2" t="s">
        <v>68</v>
      </c>
      <c r="AE840" s="2" t="s">
        <v>69</v>
      </c>
      <c r="AF840" s="2" t="s">
        <v>97</v>
      </c>
      <c r="AG840" s="2" t="s">
        <v>3075</v>
      </c>
      <c r="AK840" s="2" t="s">
        <v>7248</v>
      </c>
      <c r="AL840" s="2" t="s">
        <v>4485</v>
      </c>
      <c r="AM840" s="2" t="s">
        <v>72</v>
      </c>
      <c r="AN840" s="2" t="s">
        <v>73</v>
      </c>
      <c r="AP840" s="2" t="s">
        <v>3088</v>
      </c>
      <c r="AS840" s="2" t="s">
        <v>7249</v>
      </c>
      <c r="AT840" s="2" t="s">
        <v>102</v>
      </c>
      <c r="AU840" s="2" t="s">
        <v>75</v>
      </c>
      <c r="AV840" s="2" t="s">
        <v>7236</v>
      </c>
      <c r="AW840" s="2" t="s">
        <v>7250</v>
      </c>
      <c r="AX840" s="2" t="s">
        <v>4670</v>
      </c>
      <c r="AZ840" s="2" t="s">
        <v>77</v>
      </c>
    </row>
    <row r="841" spans="1:52" s="3" customFormat="1" x14ac:dyDescent="0.35">
      <c r="A841" s="2" t="s">
        <v>7251</v>
      </c>
      <c r="B841" s="4">
        <v>242564</v>
      </c>
      <c r="C841" s="2" t="s">
        <v>7252</v>
      </c>
      <c r="D841" s="2">
        <f t="shared" si="13"/>
        <v>2</v>
      </c>
      <c r="F841" s="2" t="s">
        <v>6937</v>
      </c>
      <c r="G841" s="2" t="s">
        <v>53</v>
      </c>
      <c r="H841" s="4">
        <v>50</v>
      </c>
      <c r="I841" s="4">
        <v>1</v>
      </c>
      <c r="J841" s="4">
        <v>0</v>
      </c>
      <c r="K841" s="2" t="s">
        <v>1252</v>
      </c>
      <c r="L841" s="5">
        <v>305951</v>
      </c>
      <c r="M841" s="2" t="s">
        <v>55</v>
      </c>
      <c r="N841" s="2" t="s">
        <v>1253</v>
      </c>
      <c r="O841" s="2" t="s">
        <v>1254</v>
      </c>
      <c r="P841" s="2" t="s">
        <v>7253</v>
      </c>
      <c r="Q841" s="2" t="s">
        <v>7254</v>
      </c>
      <c r="R841" s="2" t="s">
        <v>7255</v>
      </c>
      <c r="T841" s="2" t="s">
        <v>7256</v>
      </c>
      <c r="U841" s="2" t="s">
        <v>7257</v>
      </c>
      <c r="V841" s="2" t="s">
        <v>6055</v>
      </c>
      <c r="W841" s="2" t="s">
        <v>7258</v>
      </c>
      <c r="X841" s="2" t="s">
        <v>7259</v>
      </c>
      <c r="Y841" s="2" t="s">
        <v>7260</v>
      </c>
      <c r="Z841" s="2" t="s">
        <v>7261</v>
      </c>
      <c r="AA841" s="2" t="s">
        <v>7070</v>
      </c>
      <c r="AB841" s="2" t="s">
        <v>7262</v>
      </c>
      <c r="AC841" s="2" t="s">
        <v>7263</v>
      </c>
      <c r="AD841" s="2" t="s">
        <v>68</v>
      </c>
      <c r="AE841" s="2" t="s">
        <v>69</v>
      </c>
      <c r="AF841" s="2" t="s">
        <v>70</v>
      </c>
      <c r="AG841" s="2" t="s">
        <v>7253</v>
      </c>
      <c r="AK841" s="2" t="s">
        <v>7264</v>
      </c>
      <c r="AM841" s="2" t="s">
        <v>72</v>
      </c>
      <c r="AN841" s="2" t="s">
        <v>283</v>
      </c>
      <c r="AP841" s="2" t="s">
        <v>4426</v>
      </c>
      <c r="AU841" s="2" t="s">
        <v>75</v>
      </c>
      <c r="AV841" s="2" t="s">
        <v>7265</v>
      </c>
      <c r="AW841" s="2" t="s">
        <v>7266</v>
      </c>
      <c r="AX841" s="2" t="s">
        <v>477</v>
      </c>
      <c r="AZ841" s="2" t="s">
        <v>478</v>
      </c>
    </row>
    <row r="842" spans="1:52" s="3" customFormat="1" x14ac:dyDescent="0.35">
      <c r="A842" s="2" t="s">
        <v>7251</v>
      </c>
      <c r="B842" s="4">
        <v>242564</v>
      </c>
      <c r="C842" s="2" t="s">
        <v>7252</v>
      </c>
      <c r="D842" s="2">
        <f t="shared" si="13"/>
        <v>2</v>
      </c>
      <c r="F842" s="2" t="s">
        <v>6937</v>
      </c>
      <c r="G842" s="2" t="s">
        <v>53</v>
      </c>
      <c r="H842" s="4">
        <v>1</v>
      </c>
      <c r="I842" s="4">
        <v>1</v>
      </c>
      <c r="J842" s="5">
        <v>130400</v>
      </c>
      <c r="K842" s="2" t="s">
        <v>1252</v>
      </c>
      <c r="L842" s="5">
        <v>305951</v>
      </c>
      <c r="M842" s="2" t="s">
        <v>55</v>
      </c>
      <c r="N842" s="2" t="s">
        <v>1253</v>
      </c>
      <c r="O842" s="2" t="s">
        <v>1254</v>
      </c>
      <c r="P842" s="2" t="s">
        <v>7267</v>
      </c>
      <c r="Q842" s="2" t="s">
        <v>7268</v>
      </c>
      <c r="R842" s="2" t="s">
        <v>7255</v>
      </c>
      <c r="T842" s="2" t="s">
        <v>7256</v>
      </c>
      <c r="U842" s="2" t="s">
        <v>7257</v>
      </c>
      <c r="V842" s="2" t="s">
        <v>6055</v>
      </c>
      <c r="W842" s="2" t="s">
        <v>7258</v>
      </c>
      <c r="X842" s="2" t="s">
        <v>7259</v>
      </c>
      <c r="Y842" s="2" t="s">
        <v>7260</v>
      </c>
      <c r="Z842" s="2" t="s">
        <v>7261</v>
      </c>
      <c r="AA842" s="2" t="s">
        <v>7070</v>
      </c>
      <c r="AB842" s="2" t="s">
        <v>7262</v>
      </c>
      <c r="AC842" s="2" t="s">
        <v>7263</v>
      </c>
      <c r="AD842" s="2" t="s">
        <v>68</v>
      </c>
      <c r="AE842" s="2" t="s">
        <v>69</v>
      </c>
      <c r="AF842" s="2" t="s">
        <v>70</v>
      </c>
      <c r="AG842" s="2" t="s">
        <v>7253</v>
      </c>
      <c r="AK842" s="2" t="s">
        <v>7264</v>
      </c>
      <c r="AM842" s="2" t="s">
        <v>72</v>
      </c>
      <c r="AN842" s="2" t="s">
        <v>283</v>
      </c>
      <c r="AP842" s="2" t="s">
        <v>4426</v>
      </c>
      <c r="AU842" s="2" t="s">
        <v>75</v>
      </c>
      <c r="AV842" s="2" t="s">
        <v>7265</v>
      </c>
      <c r="AW842" s="2" t="s">
        <v>7266</v>
      </c>
      <c r="AX842" s="2" t="s">
        <v>477</v>
      </c>
      <c r="AZ842" s="2" t="s">
        <v>478</v>
      </c>
    </row>
    <row r="843" spans="1:52" s="3" customFormat="1" x14ac:dyDescent="0.35">
      <c r="A843" s="2" t="s">
        <v>7251</v>
      </c>
      <c r="B843" s="4">
        <v>242564</v>
      </c>
      <c r="C843" s="2" t="s">
        <v>7252</v>
      </c>
      <c r="D843" s="2">
        <f t="shared" si="13"/>
        <v>2</v>
      </c>
      <c r="F843" s="2" t="s">
        <v>6937</v>
      </c>
      <c r="G843" s="2" t="s">
        <v>53</v>
      </c>
      <c r="H843" s="4">
        <v>1</v>
      </c>
      <c r="I843" s="4">
        <v>1</v>
      </c>
      <c r="J843" s="5">
        <v>195600</v>
      </c>
      <c r="K843" s="2" t="s">
        <v>1252</v>
      </c>
      <c r="L843" s="5">
        <v>305951</v>
      </c>
      <c r="M843" s="2" t="s">
        <v>55</v>
      </c>
      <c r="N843" s="2" t="s">
        <v>1253</v>
      </c>
      <c r="O843" s="2" t="s">
        <v>1254</v>
      </c>
      <c r="P843" s="2" t="s">
        <v>7269</v>
      </c>
      <c r="Q843" s="2" t="s">
        <v>7270</v>
      </c>
      <c r="R843" s="2" t="s">
        <v>7255</v>
      </c>
      <c r="T843" s="2" t="s">
        <v>7256</v>
      </c>
      <c r="U843" s="2" t="s">
        <v>7257</v>
      </c>
      <c r="V843" s="2" t="s">
        <v>6055</v>
      </c>
      <c r="W843" s="2" t="s">
        <v>7258</v>
      </c>
      <c r="X843" s="2" t="s">
        <v>7259</v>
      </c>
      <c r="Y843" s="2" t="s">
        <v>7260</v>
      </c>
      <c r="Z843" s="2" t="s">
        <v>7261</v>
      </c>
      <c r="AA843" s="2" t="s">
        <v>7070</v>
      </c>
      <c r="AB843" s="2" t="s">
        <v>7262</v>
      </c>
      <c r="AC843" s="2" t="s">
        <v>7263</v>
      </c>
      <c r="AD843" s="2" t="s">
        <v>68</v>
      </c>
      <c r="AE843" s="2" t="s">
        <v>69</v>
      </c>
      <c r="AF843" s="2" t="s">
        <v>70</v>
      </c>
      <c r="AG843" s="2" t="s">
        <v>7253</v>
      </c>
      <c r="AK843" s="2" t="s">
        <v>7264</v>
      </c>
      <c r="AM843" s="2" t="s">
        <v>72</v>
      </c>
      <c r="AN843" s="2" t="s">
        <v>283</v>
      </c>
      <c r="AP843" s="2" t="s">
        <v>4426</v>
      </c>
      <c r="AU843" s="2" t="s">
        <v>75</v>
      </c>
      <c r="AV843" s="2" t="s">
        <v>7265</v>
      </c>
      <c r="AW843" s="2" t="s">
        <v>7266</v>
      </c>
      <c r="AX843" s="2" t="s">
        <v>477</v>
      </c>
      <c r="AZ843" s="2" t="s">
        <v>478</v>
      </c>
    </row>
    <row r="844" spans="1:52" s="3" customFormat="1" x14ac:dyDescent="0.35">
      <c r="A844" s="2" t="s">
        <v>7271</v>
      </c>
      <c r="B844" s="4">
        <v>242560</v>
      </c>
      <c r="C844" s="2" t="s">
        <v>7272</v>
      </c>
      <c r="D844" s="2">
        <f t="shared" si="13"/>
        <v>2</v>
      </c>
      <c r="F844" s="2" t="s">
        <v>6937</v>
      </c>
      <c r="G844" s="2" t="s">
        <v>53</v>
      </c>
      <c r="H844" s="4">
        <v>1</v>
      </c>
      <c r="I844" s="4">
        <v>1</v>
      </c>
      <c r="J844" s="5">
        <v>169920</v>
      </c>
      <c r="K844" s="2" t="s">
        <v>1252</v>
      </c>
      <c r="L844" s="5">
        <v>398674.8</v>
      </c>
      <c r="M844" s="2" t="s">
        <v>55</v>
      </c>
      <c r="N844" s="2" t="s">
        <v>1253</v>
      </c>
      <c r="O844" s="2" t="s">
        <v>1254</v>
      </c>
      <c r="P844" s="2" t="s">
        <v>7273</v>
      </c>
      <c r="Q844" s="2" t="s">
        <v>7274</v>
      </c>
      <c r="R844" s="2" t="s">
        <v>7275</v>
      </c>
      <c r="T844" s="2" t="s">
        <v>2926</v>
      </c>
      <c r="U844" s="2" t="s">
        <v>2927</v>
      </c>
      <c r="V844" s="2" t="s">
        <v>7276</v>
      </c>
      <c r="W844" s="2" t="s">
        <v>7277</v>
      </c>
      <c r="X844" s="2" t="s">
        <v>2930</v>
      </c>
      <c r="Y844" s="2" t="s">
        <v>2931</v>
      </c>
      <c r="Z844" s="2" t="s">
        <v>2932</v>
      </c>
      <c r="AA844" s="2" t="s">
        <v>2933</v>
      </c>
      <c r="AB844" s="2" t="s">
        <v>2934</v>
      </c>
      <c r="AC844" s="2" t="s">
        <v>7278</v>
      </c>
      <c r="AD844" s="2" t="s">
        <v>2556</v>
      </c>
      <c r="AE844" s="2" t="s">
        <v>69</v>
      </c>
      <c r="AF844" s="2" t="s">
        <v>70</v>
      </c>
      <c r="AG844" s="2" t="s">
        <v>7279</v>
      </c>
      <c r="AK844" s="2" t="s">
        <v>7280</v>
      </c>
      <c r="AM844" s="2" t="s">
        <v>72</v>
      </c>
      <c r="AN844" s="2" t="s">
        <v>283</v>
      </c>
      <c r="AP844" s="2" t="s">
        <v>6472</v>
      </c>
      <c r="AT844" s="2" t="s">
        <v>7281</v>
      </c>
      <c r="AU844" s="2" t="s">
        <v>75</v>
      </c>
      <c r="AV844" s="2" t="s">
        <v>2937</v>
      </c>
      <c r="AW844" s="2" t="s">
        <v>2938</v>
      </c>
      <c r="AX844" s="2" t="s">
        <v>477</v>
      </c>
      <c r="AZ844" s="2" t="s">
        <v>1256</v>
      </c>
    </row>
    <row r="845" spans="1:52" s="3" customFormat="1" x14ac:dyDescent="0.35">
      <c r="A845" s="2" t="s">
        <v>7271</v>
      </c>
      <c r="B845" s="4">
        <v>242560</v>
      </c>
      <c r="C845" s="2" t="s">
        <v>7272</v>
      </c>
      <c r="D845" s="2">
        <f t="shared" si="13"/>
        <v>2</v>
      </c>
      <c r="F845" s="2" t="s">
        <v>6937</v>
      </c>
      <c r="G845" s="2" t="s">
        <v>53</v>
      </c>
      <c r="H845" s="4">
        <v>1</v>
      </c>
      <c r="I845" s="4">
        <v>1</v>
      </c>
      <c r="J845" s="5">
        <v>169920</v>
      </c>
      <c r="K845" s="2" t="s">
        <v>1252</v>
      </c>
      <c r="L845" s="5">
        <v>398674.8</v>
      </c>
      <c r="M845" s="2" t="s">
        <v>55</v>
      </c>
      <c r="N845" s="2" t="s">
        <v>1253</v>
      </c>
      <c r="O845" s="2" t="s">
        <v>1254</v>
      </c>
      <c r="P845" s="2" t="s">
        <v>7273</v>
      </c>
      <c r="Q845" s="2" t="s">
        <v>7274</v>
      </c>
      <c r="R845" s="2" t="s">
        <v>7275</v>
      </c>
      <c r="T845" s="2" t="s">
        <v>2926</v>
      </c>
      <c r="U845" s="2" t="s">
        <v>2927</v>
      </c>
      <c r="V845" s="2" t="s">
        <v>7276</v>
      </c>
      <c r="W845" s="2" t="s">
        <v>7277</v>
      </c>
      <c r="X845" s="2" t="s">
        <v>2930</v>
      </c>
      <c r="Y845" s="2" t="s">
        <v>2931</v>
      </c>
      <c r="Z845" s="2" t="s">
        <v>2932</v>
      </c>
      <c r="AA845" s="2" t="s">
        <v>2933</v>
      </c>
      <c r="AB845" s="2" t="s">
        <v>2934</v>
      </c>
      <c r="AC845" s="2" t="s">
        <v>7278</v>
      </c>
      <c r="AD845" s="2" t="s">
        <v>2556</v>
      </c>
      <c r="AE845" s="2" t="s">
        <v>69</v>
      </c>
      <c r="AF845" s="2" t="s">
        <v>70</v>
      </c>
      <c r="AG845" s="2" t="s">
        <v>7279</v>
      </c>
      <c r="AK845" s="2" t="s">
        <v>7280</v>
      </c>
      <c r="AM845" s="2" t="s">
        <v>72</v>
      </c>
      <c r="AN845" s="2" t="s">
        <v>283</v>
      </c>
      <c r="AP845" s="2" t="s">
        <v>6472</v>
      </c>
      <c r="AT845" s="2" t="s">
        <v>7281</v>
      </c>
      <c r="AU845" s="2" t="s">
        <v>75</v>
      </c>
      <c r="AV845" s="2" t="s">
        <v>2937</v>
      </c>
      <c r="AW845" s="2" t="s">
        <v>2938</v>
      </c>
      <c r="AX845" s="2" t="s">
        <v>477</v>
      </c>
      <c r="AZ845" s="2" t="s">
        <v>1256</v>
      </c>
    </row>
    <row r="846" spans="1:52" s="3" customFormat="1" x14ac:dyDescent="0.35">
      <c r="A846" s="2" t="s">
        <v>7271</v>
      </c>
      <c r="B846" s="4">
        <v>242560</v>
      </c>
      <c r="C846" s="2" t="s">
        <v>7272</v>
      </c>
      <c r="D846" s="2">
        <f t="shared" si="13"/>
        <v>2</v>
      </c>
      <c r="F846" s="2" t="s">
        <v>6937</v>
      </c>
      <c r="G846" s="2" t="s">
        <v>53</v>
      </c>
      <c r="H846" s="4">
        <v>1</v>
      </c>
      <c r="I846" s="4">
        <v>1</v>
      </c>
      <c r="J846" s="5">
        <v>254880</v>
      </c>
      <c r="K846" s="2" t="s">
        <v>1252</v>
      </c>
      <c r="L846" s="5">
        <v>398674.8</v>
      </c>
      <c r="M846" s="2" t="s">
        <v>55</v>
      </c>
      <c r="N846" s="2" t="s">
        <v>1253</v>
      </c>
      <c r="O846" s="2" t="s">
        <v>1254</v>
      </c>
      <c r="P846" s="2" t="s">
        <v>7273</v>
      </c>
      <c r="Q846" s="2" t="s">
        <v>7282</v>
      </c>
      <c r="R846" s="2" t="s">
        <v>7275</v>
      </c>
      <c r="T846" s="2" t="s">
        <v>2926</v>
      </c>
      <c r="U846" s="2" t="s">
        <v>2927</v>
      </c>
      <c r="V846" s="2" t="s">
        <v>7276</v>
      </c>
      <c r="W846" s="2" t="s">
        <v>7277</v>
      </c>
      <c r="X846" s="2" t="s">
        <v>2930</v>
      </c>
      <c r="Y846" s="2" t="s">
        <v>2931</v>
      </c>
      <c r="Z846" s="2" t="s">
        <v>2932</v>
      </c>
      <c r="AA846" s="2" t="s">
        <v>2933</v>
      </c>
      <c r="AB846" s="2" t="s">
        <v>2934</v>
      </c>
      <c r="AC846" s="2" t="s">
        <v>7278</v>
      </c>
      <c r="AD846" s="2" t="s">
        <v>2556</v>
      </c>
      <c r="AE846" s="2" t="s">
        <v>69</v>
      </c>
      <c r="AF846" s="2" t="s">
        <v>70</v>
      </c>
      <c r="AG846" s="2" t="s">
        <v>7279</v>
      </c>
      <c r="AK846" s="2" t="s">
        <v>7280</v>
      </c>
      <c r="AM846" s="2" t="s">
        <v>72</v>
      </c>
      <c r="AN846" s="2" t="s">
        <v>283</v>
      </c>
      <c r="AP846" s="2" t="s">
        <v>4689</v>
      </c>
      <c r="AT846" s="2" t="s">
        <v>7281</v>
      </c>
      <c r="AU846" s="2" t="s">
        <v>75</v>
      </c>
      <c r="AV846" s="2" t="s">
        <v>2937</v>
      </c>
      <c r="AW846" s="2" t="s">
        <v>2938</v>
      </c>
      <c r="AX846" s="2" t="s">
        <v>477</v>
      </c>
      <c r="AZ846" s="2" t="s">
        <v>1256</v>
      </c>
    </row>
    <row r="847" spans="1:52" s="3" customFormat="1" x14ac:dyDescent="0.35">
      <c r="A847" s="2" t="s">
        <v>7283</v>
      </c>
      <c r="B847" s="4">
        <v>242552</v>
      </c>
      <c r="C847" s="2" t="s">
        <v>7284</v>
      </c>
      <c r="D847" s="2">
        <f t="shared" si="13"/>
        <v>2</v>
      </c>
      <c r="F847" s="2" t="s">
        <v>7236</v>
      </c>
      <c r="G847" s="2" t="s">
        <v>53</v>
      </c>
      <c r="H847" s="4">
        <v>1</v>
      </c>
      <c r="I847" s="4">
        <v>1</v>
      </c>
      <c r="J847" s="4">
        <v>0</v>
      </c>
      <c r="L847" s="4">
        <v>0</v>
      </c>
      <c r="M847" s="2" t="s">
        <v>55</v>
      </c>
      <c r="N847" s="2" t="s">
        <v>56</v>
      </c>
      <c r="O847" s="2" t="s">
        <v>57</v>
      </c>
      <c r="P847" s="2" t="s">
        <v>7285</v>
      </c>
      <c r="Q847" s="2" t="s">
        <v>7286</v>
      </c>
      <c r="R847" s="2" t="s">
        <v>971</v>
      </c>
      <c r="S847" s="2" t="s">
        <v>1781</v>
      </c>
      <c r="V847" s="2" t="s">
        <v>973</v>
      </c>
      <c r="W847" s="2" t="s">
        <v>7287</v>
      </c>
      <c r="Y847" s="2" t="s">
        <v>64</v>
      </c>
      <c r="Z847" s="2" t="s">
        <v>65</v>
      </c>
      <c r="AA847" s="2" t="s">
        <v>66</v>
      </c>
      <c r="AC847" s="2" t="s">
        <v>67</v>
      </c>
      <c r="AD847" s="2" t="s">
        <v>68</v>
      </c>
      <c r="AE847" s="2" t="s">
        <v>69</v>
      </c>
      <c r="AF847" s="2" t="s">
        <v>70</v>
      </c>
      <c r="AG847" s="2" t="s">
        <v>7285</v>
      </c>
      <c r="AK847" s="2" t="s">
        <v>7288</v>
      </c>
      <c r="AM847" s="2" t="s">
        <v>72</v>
      </c>
      <c r="AN847" s="2" t="s">
        <v>283</v>
      </c>
      <c r="AP847" s="2" t="s">
        <v>7236</v>
      </c>
      <c r="AT847" s="2" t="s">
        <v>114</v>
      </c>
      <c r="AU847" s="2" t="s">
        <v>75</v>
      </c>
      <c r="AW847" s="2" t="s">
        <v>1783</v>
      </c>
      <c r="AZ847" s="2" t="s">
        <v>116</v>
      </c>
    </row>
    <row r="848" spans="1:52" s="3" customFormat="1" x14ac:dyDescent="0.35">
      <c r="A848" s="2" t="s">
        <v>7289</v>
      </c>
      <c r="B848" s="4">
        <v>242528</v>
      </c>
      <c r="C848" s="2" t="s">
        <v>7290</v>
      </c>
      <c r="D848" s="2">
        <f t="shared" si="13"/>
        <v>2</v>
      </c>
      <c r="F848" s="2" t="s">
        <v>7236</v>
      </c>
      <c r="G848" s="2" t="s">
        <v>53</v>
      </c>
      <c r="H848" s="4">
        <v>1</v>
      </c>
      <c r="I848" s="4">
        <v>10</v>
      </c>
      <c r="J848" s="5">
        <v>34999.99</v>
      </c>
      <c r="K848" s="2" t="s">
        <v>80</v>
      </c>
      <c r="L848" s="5">
        <v>34999.99</v>
      </c>
      <c r="M848" s="2" t="s">
        <v>7291</v>
      </c>
      <c r="N848" s="2" t="s">
        <v>82</v>
      </c>
      <c r="O848" s="2" t="s">
        <v>7145</v>
      </c>
      <c r="P848" s="2" t="s">
        <v>3075</v>
      </c>
      <c r="Q848" s="2" t="s">
        <v>3076</v>
      </c>
      <c r="R848" s="2" t="s">
        <v>7292</v>
      </c>
      <c r="S848" s="2" t="s">
        <v>7293</v>
      </c>
      <c r="T848" s="2" t="s">
        <v>7294</v>
      </c>
      <c r="U848" s="2" t="s">
        <v>7295</v>
      </c>
      <c r="V848" s="2" t="s">
        <v>7296</v>
      </c>
      <c r="W848" s="2" t="s">
        <v>7297</v>
      </c>
      <c r="X848" s="2" t="s">
        <v>7298</v>
      </c>
      <c r="Y848" s="2" t="s">
        <v>7299</v>
      </c>
      <c r="Z848" s="2" t="s">
        <v>7300</v>
      </c>
      <c r="AA848" s="2" t="s">
        <v>2953</v>
      </c>
      <c r="AC848" s="2" t="s">
        <v>7301</v>
      </c>
      <c r="AD848" s="2" t="s">
        <v>7302</v>
      </c>
      <c r="AE848" s="2" t="s">
        <v>69</v>
      </c>
      <c r="AF848" s="2" t="s">
        <v>97</v>
      </c>
      <c r="AG848" s="2" t="s">
        <v>3075</v>
      </c>
      <c r="AK848" s="2" t="s">
        <v>7303</v>
      </c>
      <c r="AL848" s="2" t="s">
        <v>4485</v>
      </c>
      <c r="AM848" s="2" t="s">
        <v>72</v>
      </c>
      <c r="AN848" s="2" t="s">
        <v>73</v>
      </c>
      <c r="AP848" s="2" t="s">
        <v>3088</v>
      </c>
      <c r="AS848" s="2" t="s">
        <v>7304</v>
      </c>
      <c r="AT848" s="2" t="s">
        <v>102</v>
      </c>
      <c r="AU848" s="2" t="s">
        <v>75</v>
      </c>
      <c r="AV848" s="2" t="s">
        <v>7236</v>
      </c>
      <c r="AW848" s="2" t="s">
        <v>7305</v>
      </c>
      <c r="AX848" s="2" t="s">
        <v>4670</v>
      </c>
      <c r="AZ848" s="2" t="s">
        <v>77</v>
      </c>
    </row>
    <row r="849" spans="1:52" s="3" customFormat="1" x14ac:dyDescent="0.35">
      <c r="A849" s="2" t="s">
        <v>7306</v>
      </c>
      <c r="B849" s="4">
        <v>242544</v>
      </c>
      <c r="C849" s="2" t="s">
        <v>7307</v>
      </c>
      <c r="D849" s="2">
        <f t="shared" si="13"/>
        <v>2</v>
      </c>
      <c r="F849" s="2" t="s">
        <v>7236</v>
      </c>
      <c r="G849" s="2" t="s">
        <v>53</v>
      </c>
      <c r="H849" s="4">
        <v>1</v>
      </c>
      <c r="I849" s="4">
        <v>1</v>
      </c>
      <c r="J849" s="4">
        <v>0</v>
      </c>
      <c r="L849" s="4">
        <v>0</v>
      </c>
      <c r="M849" s="2" t="s">
        <v>55</v>
      </c>
      <c r="N849" s="2" t="s">
        <v>56</v>
      </c>
      <c r="O849" s="2" t="s">
        <v>57</v>
      </c>
      <c r="P849" s="2" t="s">
        <v>7285</v>
      </c>
      <c r="Q849" s="2" t="s">
        <v>7286</v>
      </c>
      <c r="R849" s="2" t="s">
        <v>7308</v>
      </c>
      <c r="S849" s="2" t="s">
        <v>5108</v>
      </c>
      <c r="V849" s="2" t="s">
        <v>7309</v>
      </c>
      <c r="W849" s="2" t="s">
        <v>5110</v>
      </c>
      <c r="Y849" s="2" t="s">
        <v>64</v>
      </c>
      <c r="Z849" s="2" t="s">
        <v>65</v>
      </c>
      <c r="AA849" s="2" t="s">
        <v>66</v>
      </c>
      <c r="AC849" s="2" t="s">
        <v>67</v>
      </c>
      <c r="AD849" s="2" t="s">
        <v>68</v>
      </c>
      <c r="AE849" s="2" t="s">
        <v>69</v>
      </c>
      <c r="AF849" s="2" t="s">
        <v>70</v>
      </c>
      <c r="AG849" s="2" t="s">
        <v>7285</v>
      </c>
      <c r="AK849" s="2" t="s">
        <v>7310</v>
      </c>
      <c r="AM849" s="2" t="s">
        <v>72</v>
      </c>
      <c r="AN849" s="2" t="s">
        <v>283</v>
      </c>
      <c r="AP849" s="2" t="s">
        <v>7236</v>
      </c>
      <c r="AT849" s="2" t="s">
        <v>114</v>
      </c>
      <c r="AU849" s="2" t="s">
        <v>75</v>
      </c>
      <c r="AW849" s="2" t="s">
        <v>5112</v>
      </c>
      <c r="AZ849" s="2" t="s">
        <v>116</v>
      </c>
    </row>
    <row r="850" spans="1:52" s="3" customFormat="1" x14ac:dyDescent="0.35">
      <c r="A850" s="2" t="s">
        <v>7311</v>
      </c>
      <c r="B850" s="4">
        <v>242539</v>
      </c>
      <c r="C850" s="2" t="s">
        <v>7312</v>
      </c>
      <c r="D850" s="2">
        <f t="shared" si="13"/>
        <v>2</v>
      </c>
      <c r="F850" s="2" t="s">
        <v>7236</v>
      </c>
      <c r="G850" s="2" t="s">
        <v>53</v>
      </c>
      <c r="H850" s="4">
        <v>1</v>
      </c>
      <c r="I850" s="4">
        <v>1</v>
      </c>
      <c r="J850" s="4">
        <v>0</v>
      </c>
      <c r="L850" s="4">
        <v>0</v>
      </c>
      <c r="M850" s="2" t="s">
        <v>55</v>
      </c>
      <c r="N850" s="2" t="s">
        <v>56</v>
      </c>
      <c r="O850" s="2" t="s">
        <v>57</v>
      </c>
      <c r="P850" s="2" t="s">
        <v>7285</v>
      </c>
      <c r="Q850" s="2" t="s">
        <v>7286</v>
      </c>
      <c r="R850" s="2" t="s">
        <v>7313</v>
      </c>
      <c r="S850" s="2" t="s">
        <v>7314</v>
      </c>
      <c r="V850" s="2" t="s">
        <v>7315</v>
      </c>
      <c r="W850" s="2" t="s">
        <v>7316</v>
      </c>
      <c r="Y850" s="2" t="s">
        <v>64</v>
      </c>
      <c r="Z850" s="2" t="s">
        <v>65</v>
      </c>
      <c r="AA850" s="2" t="s">
        <v>66</v>
      </c>
      <c r="AC850" s="2" t="s">
        <v>67</v>
      </c>
      <c r="AD850" s="2" t="s">
        <v>68</v>
      </c>
      <c r="AE850" s="2" t="s">
        <v>69</v>
      </c>
      <c r="AF850" s="2" t="s">
        <v>70</v>
      </c>
      <c r="AG850" s="2" t="s">
        <v>7285</v>
      </c>
      <c r="AK850" s="2" t="s">
        <v>7317</v>
      </c>
      <c r="AM850" s="2" t="s">
        <v>72</v>
      </c>
      <c r="AN850" s="2" t="s">
        <v>283</v>
      </c>
      <c r="AP850" s="2" t="s">
        <v>7236</v>
      </c>
      <c r="AT850" s="2" t="s">
        <v>114</v>
      </c>
      <c r="AU850" s="2" t="s">
        <v>75</v>
      </c>
      <c r="AV850" s="2" t="s">
        <v>7318</v>
      </c>
      <c r="AW850" s="2" t="s">
        <v>7319</v>
      </c>
      <c r="AZ850" s="2" t="s">
        <v>116</v>
      </c>
    </row>
    <row r="851" spans="1:52" s="3" customFormat="1" x14ac:dyDescent="0.35">
      <c r="A851" s="2" t="s">
        <v>7320</v>
      </c>
      <c r="B851" s="4">
        <v>242485</v>
      </c>
      <c r="C851" s="2" t="s">
        <v>7321</v>
      </c>
      <c r="D851" s="2">
        <f t="shared" si="13"/>
        <v>2</v>
      </c>
      <c r="F851" s="2" t="s">
        <v>7236</v>
      </c>
      <c r="G851" s="2" t="s">
        <v>53</v>
      </c>
      <c r="H851" s="4">
        <v>1</v>
      </c>
      <c r="I851" s="4">
        <v>0</v>
      </c>
      <c r="J851" s="4">
        <v>0</v>
      </c>
      <c r="L851" s="4">
        <v>0</v>
      </c>
      <c r="N851" s="2" t="s">
        <v>56</v>
      </c>
      <c r="O851" s="2" t="s">
        <v>57</v>
      </c>
      <c r="P851" s="2" t="s">
        <v>3131</v>
      </c>
      <c r="Q851" s="2" t="s">
        <v>3132</v>
      </c>
      <c r="R851" s="2" t="s">
        <v>7322</v>
      </c>
      <c r="S851" s="2" t="s">
        <v>7323</v>
      </c>
      <c r="V851" s="2" t="s">
        <v>7324</v>
      </c>
      <c r="W851" s="2" t="s">
        <v>7325</v>
      </c>
      <c r="Y851" s="2" t="s">
        <v>7326</v>
      </c>
      <c r="Z851" s="2" t="s">
        <v>7327</v>
      </c>
      <c r="AA851" s="2" t="s">
        <v>92</v>
      </c>
      <c r="AB851" s="2" t="s">
        <v>7328</v>
      </c>
      <c r="AC851" s="2" t="s">
        <v>7329</v>
      </c>
      <c r="AD851" s="2" t="s">
        <v>7330</v>
      </c>
      <c r="AE851" s="2" t="s">
        <v>69</v>
      </c>
      <c r="AF851" s="2" t="s">
        <v>70</v>
      </c>
      <c r="AK851" s="2" t="s">
        <v>7331</v>
      </c>
      <c r="AL851" s="2" t="s">
        <v>7332</v>
      </c>
      <c r="AM851" s="2" t="s">
        <v>72</v>
      </c>
      <c r="AN851" s="2" t="s">
        <v>344</v>
      </c>
      <c r="AP851" s="2" t="s">
        <v>3144</v>
      </c>
      <c r="AT851" s="2" t="s">
        <v>114</v>
      </c>
      <c r="AU851" s="2" t="s">
        <v>75</v>
      </c>
      <c r="AW851" s="2" t="s">
        <v>7333</v>
      </c>
      <c r="AZ851" s="2" t="s">
        <v>116</v>
      </c>
    </row>
    <row r="852" spans="1:52" s="3" customFormat="1" x14ac:dyDescent="0.35">
      <c r="A852" s="2" t="s">
        <v>7334</v>
      </c>
      <c r="B852" s="4">
        <v>242472</v>
      </c>
      <c r="C852" s="2" t="s">
        <v>7335</v>
      </c>
      <c r="D852" s="2">
        <f t="shared" si="13"/>
        <v>2</v>
      </c>
      <c r="F852" s="2" t="s">
        <v>6590</v>
      </c>
      <c r="G852" s="2" t="s">
        <v>53</v>
      </c>
      <c r="H852" s="4">
        <v>1</v>
      </c>
      <c r="I852" s="4">
        <v>0</v>
      </c>
      <c r="J852" s="4">
        <v>0</v>
      </c>
      <c r="L852" s="4">
        <v>0</v>
      </c>
      <c r="N852" s="2" t="s">
        <v>56</v>
      </c>
      <c r="O852" s="2" t="s">
        <v>57</v>
      </c>
      <c r="P852" s="2" t="s">
        <v>3131</v>
      </c>
      <c r="Q852" s="2" t="s">
        <v>3132</v>
      </c>
      <c r="R852" s="2" t="s">
        <v>7322</v>
      </c>
      <c r="S852" s="2" t="s">
        <v>7323</v>
      </c>
      <c r="V852" s="2" t="s">
        <v>7324</v>
      </c>
      <c r="W852" s="2" t="s">
        <v>7325</v>
      </c>
      <c r="Y852" s="2" t="s">
        <v>7326</v>
      </c>
      <c r="Z852" s="2" t="s">
        <v>7327</v>
      </c>
      <c r="AA852" s="2" t="s">
        <v>92</v>
      </c>
      <c r="AB852" s="2" t="s">
        <v>7328</v>
      </c>
      <c r="AC852" s="2" t="s">
        <v>7329</v>
      </c>
      <c r="AD852" s="2" t="s">
        <v>7330</v>
      </c>
      <c r="AE852" s="2" t="s">
        <v>69</v>
      </c>
      <c r="AF852" s="2" t="s">
        <v>70</v>
      </c>
      <c r="AK852" s="2" t="s">
        <v>7336</v>
      </c>
      <c r="AL852" s="2" t="s">
        <v>7332</v>
      </c>
      <c r="AM852" s="2" t="s">
        <v>72</v>
      </c>
      <c r="AN852" s="2" t="s">
        <v>344</v>
      </c>
      <c r="AP852" s="2" t="s">
        <v>3144</v>
      </c>
      <c r="AT852" s="2" t="s">
        <v>114</v>
      </c>
      <c r="AU852" s="2" t="s">
        <v>75</v>
      </c>
      <c r="AW852" s="2" t="s">
        <v>7333</v>
      </c>
      <c r="AZ852" s="2" t="s">
        <v>116</v>
      </c>
    </row>
    <row r="853" spans="1:52" s="3" customFormat="1" x14ac:dyDescent="0.35">
      <c r="A853" s="2" t="s">
        <v>7337</v>
      </c>
      <c r="B853" s="4">
        <v>242470</v>
      </c>
      <c r="C853" s="2" t="s">
        <v>7338</v>
      </c>
      <c r="D853" s="2">
        <f t="shared" si="13"/>
        <v>2</v>
      </c>
      <c r="F853" s="2" t="s">
        <v>6590</v>
      </c>
      <c r="G853" s="2" t="s">
        <v>53</v>
      </c>
      <c r="H853" s="4">
        <v>1</v>
      </c>
      <c r="I853" s="4">
        <v>0</v>
      </c>
      <c r="J853" s="4">
        <v>0</v>
      </c>
      <c r="L853" s="4">
        <v>0</v>
      </c>
      <c r="N853" s="2" t="s">
        <v>56</v>
      </c>
      <c r="O853" s="2" t="s">
        <v>57</v>
      </c>
      <c r="P853" s="2" t="s">
        <v>3131</v>
      </c>
      <c r="Q853" s="2" t="s">
        <v>3132</v>
      </c>
      <c r="R853" s="2" t="s">
        <v>7322</v>
      </c>
      <c r="S853" s="2" t="s">
        <v>7323</v>
      </c>
      <c r="V853" s="2" t="s">
        <v>7324</v>
      </c>
      <c r="W853" s="2" t="s">
        <v>7325</v>
      </c>
      <c r="Y853" s="2" t="s">
        <v>7326</v>
      </c>
      <c r="Z853" s="2" t="s">
        <v>7327</v>
      </c>
      <c r="AA853" s="2" t="s">
        <v>92</v>
      </c>
      <c r="AB853" s="2" t="s">
        <v>7328</v>
      </c>
      <c r="AC853" s="2" t="s">
        <v>7329</v>
      </c>
      <c r="AD853" s="2" t="s">
        <v>7330</v>
      </c>
      <c r="AE853" s="2" t="s">
        <v>69</v>
      </c>
      <c r="AF853" s="2" t="s">
        <v>70</v>
      </c>
      <c r="AK853" s="2" t="s">
        <v>7339</v>
      </c>
      <c r="AL853" s="2" t="s">
        <v>7332</v>
      </c>
      <c r="AM853" s="2" t="s">
        <v>72</v>
      </c>
      <c r="AN853" s="2" t="s">
        <v>344</v>
      </c>
      <c r="AP853" s="2" t="s">
        <v>3144</v>
      </c>
      <c r="AT853" s="2" t="s">
        <v>114</v>
      </c>
      <c r="AU853" s="2" t="s">
        <v>75</v>
      </c>
      <c r="AW853" s="2" t="s">
        <v>7333</v>
      </c>
      <c r="AZ853" s="2" t="s">
        <v>116</v>
      </c>
    </row>
    <row r="854" spans="1:52" s="3" customFormat="1" x14ac:dyDescent="0.35">
      <c r="A854" s="2" t="s">
        <v>7340</v>
      </c>
      <c r="B854" s="4">
        <v>242455</v>
      </c>
      <c r="C854" s="2" t="s">
        <v>7341</v>
      </c>
      <c r="D854" s="2">
        <f t="shared" si="13"/>
        <v>2</v>
      </c>
      <c r="F854" s="2" t="s">
        <v>6590</v>
      </c>
      <c r="G854" s="2" t="s">
        <v>53</v>
      </c>
      <c r="H854" s="4">
        <v>2</v>
      </c>
      <c r="I854" s="4">
        <v>1</v>
      </c>
      <c r="J854" s="4">
        <v>0</v>
      </c>
      <c r="L854" s="4">
        <v>0</v>
      </c>
      <c r="M854" s="2" t="s">
        <v>55</v>
      </c>
      <c r="N854" s="2" t="s">
        <v>56</v>
      </c>
      <c r="O854" s="2" t="s">
        <v>57</v>
      </c>
      <c r="P854" s="2" t="s">
        <v>6234</v>
      </c>
      <c r="Q854" s="2" t="s">
        <v>6235</v>
      </c>
      <c r="R854" s="2" t="s">
        <v>7342</v>
      </c>
      <c r="S854" s="2" t="s">
        <v>7343</v>
      </c>
      <c r="V854" s="2" t="s">
        <v>7344</v>
      </c>
      <c r="W854" s="2" t="s">
        <v>7345</v>
      </c>
      <c r="Y854" s="2" t="s">
        <v>64</v>
      </c>
      <c r="Z854" s="2" t="s">
        <v>65</v>
      </c>
      <c r="AA854" s="2" t="s">
        <v>66</v>
      </c>
      <c r="AC854" s="2" t="s">
        <v>67</v>
      </c>
      <c r="AD854" s="2" t="s">
        <v>68</v>
      </c>
      <c r="AE854" s="2" t="s">
        <v>69</v>
      </c>
      <c r="AF854" s="2" t="s">
        <v>70</v>
      </c>
      <c r="AG854" s="2" t="s">
        <v>6234</v>
      </c>
      <c r="AK854" s="2" t="s">
        <v>7346</v>
      </c>
      <c r="AM854" s="2" t="s">
        <v>72</v>
      </c>
      <c r="AN854" s="2" t="s">
        <v>283</v>
      </c>
      <c r="AP854" s="2" t="s">
        <v>4546</v>
      </c>
      <c r="AU854" s="2" t="s">
        <v>75</v>
      </c>
      <c r="AW854" s="2" t="s">
        <v>7347</v>
      </c>
      <c r="AZ854" s="2" t="s">
        <v>116</v>
      </c>
    </row>
    <row r="855" spans="1:52" s="3" customFormat="1" x14ac:dyDescent="0.35">
      <c r="A855" s="2" t="s">
        <v>7348</v>
      </c>
      <c r="B855" s="4">
        <v>242454</v>
      </c>
      <c r="C855" s="2" t="s">
        <v>7349</v>
      </c>
      <c r="D855" s="2">
        <f t="shared" si="13"/>
        <v>2</v>
      </c>
      <c r="F855" s="2" t="s">
        <v>6590</v>
      </c>
      <c r="G855" s="2" t="s">
        <v>53</v>
      </c>
      <c r="H855" s="4">
        <v>1</v>
      </c>
      <c r="I855" s="4">
        <v>1</v>
      </c>
      <c r="J855" s="4">
        <v>0</v>
      </c>
      <c r="L855" s="4">
        <v>0</v>
      </c>
      <c r="M855" s="2" t="s">
        <v>55</v>
      </c>
      <c r="N855" s="2" t="s">
        <v>56</v>
      </c>
      <c r="O855" s="2" t="s">
        <v>57</v>
      </c>
      <c r="P855" s="2" t="s">
        <v>6234</v>
      </c>
      <c r="Q855" s="2" t="s">
        <v>6235</v>
      </c>
      <c r="R855" s="2" t="s">
        <v>7350</v>
      </c>
      <c r="S855" s="2" t="s">
        <v>7351</v>
      </c>
      <c r="V855" s="2" t="s">
        <v>7352</v>
      </c>
      <c r="W855" s="2" t="s">
        <v>7353</v>
      </c>
      <c r="Y855" s="2" t="s">
        <v>64</v>
      </c>
      <c r="Z855" s="2" t="s">
        <v>65</v>
      </c>
      <c r="AA855" s="2" t="s">
        <v>66</v>
      </c>
      <c r="AC855" s="2" t="s">
        <v>67</v>
      </c>
      <c r="AD855" s="2" t="s">
        <v>68</v>
      </c>
      <c r="AE855" s="2" t="s">
        <v>69</v>
      </c>
      <c r="AF855" s="2" t="s">
        <v>70</v>
      </c>
      <c r="AG855" s="2" t="s">
        <v>6234</v>
      </c>
      <c r="AK855" s="2" t="s">
        <v>7354</v>
      </c>
      <c r="AM855" s="2" t="s">
        <v>72</v>
      </c>
      <c r="AN855" s="2" t="s">
        <v>283</v>
      </c>
      <c r="AP855" s="2" t="s">
        <v>4546</v>
      </c>
      <c r="AU855" s="2" t="s">
        <v>75</v>
      </c>
      <c r="AW855" s="2" t="s">
        <v>7355</v>
      </c>
      <c r="AZ855" s="2" t="s">
        <v>116</v>
      </c>
    </row>
    <row r="856" spans="1:52" s="3" customFormat="1" x14ac:dyDescent="0.35">
      <c r="A856" s="2" t="s">
        <v>7356</v>
      </c>
      <c r="B856" s="4">
        <v>242441</v>
      </c>
      <c r="C856" s="2" t="s">
        <v>7357</v>
      </c>
      <c r="D856" s="2">
        <f t="shared" si="13"/>
        <v>2</v>
      </c>
      <c r="F856" s="2" t="s">
        <v>6590</v>
      </c>
      <c r="G856" s="2" t="s">
        <v>53</v>
      </c>
      <c r="H856" s="4">
        <v>1</v>
      </c>
      <c r="I856" s="4">
        <v>1</v>
      </c>
      <c r="J856" s="4">
        <v>0</v>
      </c>
      <c r="L856" s="4">
        <v>0</v>
      </c>
      <c r="M856" s="2" t="s">
        <v>55</v>
      </c>
      <c r="N856" s="2" t="s">
        <v>56</v>
      </c>
      <c r="O856" s="2" t="s">
        <v>57</v>
      </c>
      <c r="P856" s="2" t="s">
        <v>7285</v>
      </c>
      <c r="Q856" s="2" t="s">
        <v>7286</v>
      </c>
      <c r="R856" s="2" t="s">
        <v>7358</v>
      </c>
      <c r="S856" s="2" t="s">
        <v>7359</v>
      </c>
      <c r="V856" s="2" t="s">
        <v>7360</v>
      </c>
      <c r="W856" s="2" t="s">
        <v>5142</v>
      </c>
      <c r="Y856" s="2" t="s">
        <v>64</v>
      </c>
      <c r="Z856" s="2" t="s">
        <v>65</v>
      </c>
      <c r="AA856" s="2" t="s">
        <v>66</v>
      </c>
      <c r="AC856" s="2" t="s">
        <v>67</v>
      </c>
      <c r="AD856" s="2" t="s">
        <v>68</v>
      </c>
      <c r="AE856" s="2" t="s">
        <v>69</v>
      </c>
      <c r="AF856" s="2" t="s">
        <v>70</v>
      </c>
      <c r="AG856" s="2" t="s">
        <v>7285</v>
      </c>
      <c r="AK856" s="2" t="s">
        <v>7361</v>
      </c>
      <c r="AM856" s="2" t="s">
        <v>72</v>
      </c>
      <c r="AN856" s="2" t="s">
        <v>1383</v>
      </c>
      <c r="AP856" s="2" t="s">
        <v>7236</v>
      </c>
      <c r="AT856" s="2" t="s">
        <v>114</v>
      </c>
      <c r="AU856" s="2" t="s">
        <v>75</v>
      </c>
      <c r="AW856" s="2" t="s">
        <v>7362</v>
      </c>
      <c r="AZ856" s="2" t="s">
        <v>116</v>
      </c>
    </row>
    <row r="857" spans="1:52" s="3" customFormat="1" x14ac:dyDescent="0.35">
      <c r="A857" s="2" t="s">
        <v>7363</v>
      </c>
      <c r="B857" s="4">
        <v>242422</v>
      </c>
      <c r="C857" s="2" t="s">
        <v>7364</v>
      </c>
      <c r="D857" s="2">
        <f t="shared" si="13"/>
        <v>2</v>
      </c>
      <c r="F857" s="2" t="s">
        <v>6590</v>
      </c>
      <c r="G857" s="2" t="s">
        <v>53</v>
      </c>
      <c r="H857" s="4">
        <v>1</v>
      </c>
      <c r="I857" s="4">
        <v>1</v>
      </c>
      <c r="J857" s="4">
        <v>0</v>
      </c>
      <c r="L857" s="4">
        <v>0</v>
      </c>
      <c r="M857" s="2" t="s">
        <v>55</v>
      </c>
      <c r="N857" s="2" t="s">
        <v>56</v>
      </c>
      <c r="O857" s="2" t="s">
        <v>57</v>
      </c>
      <c r="P857" s="2" t="s">
        <v>4877</v>
      </c>
      <c r="Q857" s="2" t="s">
        <v>4878</v>
      </c>
      <c r="R857" s="2" t="s">
        <v>7365</v>
      </c>
      <c r="S857" s="2" t="s">
        <v>7366</v>
      </c>
      <c r="V857" s="2" t="s">
        <v>7367</v>
      </c>
      <c r="W857" s="2" t="s">
        <v>7368</v>
      </c>
      <c r="Y857" s="2" t="s">
        <v>64</v>
      </c>
      <c r="Z857" s="2" t="s">
        <v>65</v>
      </c>
      <c r="AA857" s="2" t="s">
        <v>66</v>
      </c>
      <c r="AC857" s="2" t="s">
        <v>67</v>
      </c>
      <c r="AD857" s="2" t="s">
        <v>68</v>
      </c>
      <c r="AE857" s="2" t="s">
        <v>69</v>
      </c>
      <c r="AF857" s="2" t="s">
        <v>70</v>
      </c>
      <c r="AG857" s="2" t="s">
        <v>4877</v>
      </c>
      <c r="AK857" s="2" t="s">
        <v>7369</v>
      </c>
      <c r="AM857" s="2" t="s">
        <v>72</v>
      </c>
      <c r="AN857" s="2" t="s">
        <v>283</v>
      </c>
      <c r="AP857" s="2" t="s">
        <v>3758</v>
      </c>
      <c r="AU857" s="2" t="s">
        <v>75</v>
      </c>
      <c r="AW857" s="2" t="s">
        <v>7370</v>
      </c>
      <c r="AZ857" s="2" t="s">
        <v>116</v>
      </c>
    </row>
    <row r="858" spans="1:52" s="3" customFormat="1" x14ac:dyDescent="0.35">
      <c r="A858" s="2" t="s">
        <v>7371</v>
      </c>
      <c r="B858" s="4">
        <v>242420</v>
      </c>
      <c r="C858" s="2" t="s">
        <v>7372</v>
      </c>
      <c r="D858" s="2">
        <f t="shared" si="13"/>
        <v>2</v>
      </c>
      <c r="F858" s="2" t="s">
        <v>6590</v>
      </c>
      <c r="G858" s="2" t="s">
        <v>53</v>
      </c>
      <c r="H858" s="4">
        <v>1</v>
      </c>
      <c r="I858" s="4">
        <v>1</v>
      </c>
      <c r="J858" s="4">
        <v>0</v>
      </c>
      <c r="L858" s="4">
        <v>0</v>
      </c>
      <c r="M858" s="2" t="s">
        <v>55</v>
      </c>
      <c r="N858" s="2" t="s">
        <v>56</v>
      </c>
      <c r="O858" s="2" t="s">
        <v>57</v>
      </c>
      <c r="P858" s="2" t="s">
        <v>6473</v>
      </c>
      <c r="Q858" s="2" t="s">
        <v>6474</v>
      </c>
      <c r="R858" s="2" t="s">
        <v>7373</v>
      </c>
      <c r="S858" s="2" t="s">
        <v>7374</v>
      </c>
      <c r="V858" s="2" t="s">
        <v>7375</v>
      </c>
      <c r="W858" s="2" t="s">
        <v>7376</v>
      </c>
      <c r="Y858" s="2" t="s">
        <v>64</v>
      </c>
      <c r="Z858" s="2" t="s">
        <v>65</v>
      </c>
      <c r="AA858" s="2" t="s">
        <v>66</v>
      </c>
      <c r="AC858" s="2" t="s">
        <v>67</v>
      </c>
      <c r="AD858" s="2" t="s">
        <v>68</v>
      </c>
      <c r="AE858" s="2" t="s">
        <v>69</v>
      </c>
      <c r="AF858" s="2" t="s">
        <v>70</v>
      </c>
      <c r="AG858" s="2" t="s">
        <v>6473</v>
      </c>
      <c r="AK858" s="2" t="s">
        <v>7377</v>
      </c>
      <c r="AM858" s="2" t="s">
        <v>72</v>
      </c>
      <c r="AN858" s="2" t="s">
        <v>73</v>
      </c>
      <c r="AP858" s="2" t="s">
        <v>6384</v>
      </c>
      <c r="AU858" s="2" t="s">
        <v>75</v>
      </c>
      <c r="AW858" s="2" t="s">
        <v>7378</v>
      </c>
      <c r="AZ858" s="2" t="s">
        <v>116</v>
      </c>
    </row>
    <row r="859" spans="1:52" s="3" customFormat="1" x14ac:dyDescent="0.35">
      <c r="A859" s="2" t="s">
        <v>7379</v>
      </c>
      <c r="B859" s="4">
        <v>242419</v>
      </c>
      <c r="C859" s="2" t="s">
        <v>7380</v>
      </c>
      <c r="D859" s="2">
        <f t="shared" si="13"/>
        <v>2</v>
      </c>
      <c r="F859" s="2" t="s">
        <v>6590</v>
      </c>
      <c r="G859" s="2" t="s">
        <v>53</v>
      </c>
      <c r="H859" s="4">
        <v>1</v>
      </c>
      <c r="I859" s="4">
        <v>1</v>
      </c>
      <c r="J859" s="4">
        <v>0</v>
      </c>
      <c r="L859" s="4">
        <v>0</v>
      </c>
      <c r="M859" s="2" t="s">
        <v>55</v>
      </c>
      <c r="N859" s="2" t="s">
        <v>56</v>
      </c>
      <c r="O859" s="2" t="s">
        <v>57</v>
      </c>
      <c r="P859" s="2" t="s">
        <v>7285</v>
      </c>
      <c r="Q859" s="2" t="s">
        <v>7286</v>
      </c>
      <c r="R859" s="2" t="s">
        <v>6702</v>
      </c>
      <c r="S859" s="2" t="s">
        <v>6703</v>
      </c>
      <c r="V859" s="2" t="s">
        <v>6704</v>
      </c>
      <c r="W859" s="2" t="s">
        <v>6705</v>
      </c>
      <c r="Y859" s="2" t="s">
        <v>64</v>
      </c>
      <c r="Z859" s="2" t="s">
        <v>65</v>
      </c>
      <c r="AA859" s="2" t="s">
        <v>66</v>
      </c>
      <c r="AC859" s="2" t="s">
        <v>67</v>
      </c>
      <c r="AD859" s="2" t="s">
        <v>68</v>
      </c>
      <c r="AE859" s="2" t="s">
        <v>69</v>
      </c>
      <c r="AF859" s="2" t="s">
        <v>70</v>
      </c>
      <c r="AG859" s="2" t="s">
        <v>7285</v>
      </c>
      <c r="AK859" s="2" t="s">
        <v>7381</v>
      </c>
      <c r="AM859" s="2" t="s">
        <v>72</v>
      </c>
      <c r="AN859" s="2" t="s">
        <v>73</v>
      </c>
      <c r="AP859" s="2" t="s">
        <v>7236</v>
      </c>
      <c r="AT859" s="2" t="s">
        <v>114</v>
      </c>
      <c r="AU859" s="2" t="s">
        <v>75</v>
      </c>
      <c r="AV859" s="2" t="s">
        <v>6707</v>
      </c>
      <c r="AW859" s="2" t="s">
        <v>6708</v>
      </c>
      <c r="AZ859" s="2" t="s">
        <v>116</v>
      </c>
    </row>
    <row r="860" spans="1:52" s="3" customFormat="1" x14ac:dyDescent="0.35">
      <c r="A860" s="2" t="s">
        <v>7382</v>
      </c>
      <c r="B860" s="4">
        <v>242418</v>
      </c>
      <c r="C860" s="2" t="s">
        <v>7380</v>
      </c>
      <c r="D860" s="2">
        <f t="shared" si="13"/>
        <v>2</v>
      </c>
      <c r="F860" s="2" t="s">
        <v>6590</v>
      </c>
      <c r="G860" s="2" t="s">
        <v>53</v>
      </c>
      <c r="H860" s="4">
        <v>1</v>
      </c>
      <c r="I860" s="4">
        <v>1</v>
      </c>
      <c r="J860" s="4">
        <v>0</v>
      </c>
      <c r="L860" s="4">
        <v>0</v>
      </c>
      <c r="M860" s="2" t="s">
        <v>55</v>
      </c>
      <c r="N860" s="2" t="s">
        <v>56</v>
      </c>
      <c r="O860" s="2" t="s">
        <v>57</v>
      </c>
      <c r="P860" s="2" t="s">
        <v>7285</v>
      </c>
      <c r="Q860" s="2" t="s">
        <v>7286</v>
      </c>
      <c r="R860" s="2" t="s">
        <v>6702</v>
      </c>
      <c r="S860" s="2" t="s">
        <v>6703</v>
      </c>
      <c r="V860" s="2" t="s">
        <v>6704</v>
      </c>
      <c r="W860" s="2" t="s">
        <v>6705</v>
      </c>
      <c r="Y860" s="2" t="s">
        <v>64</v>
      </c>
      <c r="Z860" s="2" t="s">
        <v>65</v>
      </c>
      <c r="AA860" s="2" t="s">
        <v>66</v>
      </c>
      <c r="AC860" s="2" t="s">
        <v>67</v>
      </c>
      <c r="AD860" s="2" t="s">
        <v>68</v>
      </c>
      <c r="AE860" s="2" t="s">
        <v>69</v>
      </c>
      <c r="AF860" s="2" t="s">
        <v>70</v>
      </c>
      <c r="AG860" s="2" t="s">
        <v>7285</v>
      </c>
      <c r="AK860" s="2" t="s">
        <v>7383</v>
      </c>
      <c r="AM860" s="2" t="s">
        <v>72</v>
      </c>
      <c r="AN860" s="2" t="s">
        <v>73</v>
      </c>
      <c r="AP860" s="2" t="s">
        <v>7236</v>
      </c>
      <c r="AT860" s="2" t="s">
        <v>114</v>
      </c>
      <c r="AU860" s="2" t="s">
        <v>75</v>
      </c>
      <c r="AV860" s="2" t="s">
        <v>6707</v>
      </c>
      <c r="AW860" s="2" t="s">
        <v>6708</v>
      </c>
      <c r="AZ860" s="2" t="s">
        <v>116</v>
      </c>
    </row>
    <row r="861" spans="1:52" s="3" customFormat="1" x14ac:dyDescent="0.35">
      <c r="A861" s="2" t="s">
        <v>7384</v>
      </c>
      <c r="B861" s="4">
        <v>242416</v>
      </c>
      <c r="C861" s="2" t="s">
        <v>7385</v>
      </c>
      <c r="D861" s="2">
        <f t="shared" si="13"/>
        <v>2</v>
      </c>
      <c r="F861" s="2" t="s">
        <v>6590</v>
      </c>
      <c r="G861" s="2" t="s">
        <v>53</v>
      </c>
      <c r="H861" s="4">
        <v>1</v>
      </c>
      <c r="I861" s="4">
        <v>1</v>
      </c>
      <c r="J861" s="4">
        <v>0</v>
      </c>
      <c r="L861" s="4">
        <v>0</v>
      </c>
      <c r="M861" s="2" t="s">
        <v>55</v>
      </c>
      <c r="N861" s="2" t="s">
        <v>56</v>
      </c>
      <c r="O861" s="2" t="s">
        <v>57</v>
      </c>
      <c r="P861" s="2" t="s">
        <v>7285</v>
      </c>
      <c r="Q861" s="2" t="s">
        <v>7286</v>
      </c>
      <c r="R861" s="2" t="s">
        <v>7386</v>
      </c>
      <c r="S861" s="2" t="s">
        <v>7387</v>
      </c>
      <c r="V861" s="2" t="s">
        <v>7388</v>
      </c>
      <c r="W861" s="2" t="s">
        <v>7389</v>
      </c>
      <c r="Y861" s="2" t="s">
        <v>64</v>
      </c>
      <c r="Z861" s="2" t="s">
        <v>65</v>
      </c>
      <c r="AA861" s="2" t="s">
        <v>66</v>
      </c>
      <c r="AC861" s="2" t="s">
        <v>67</v>
      </c>
      <c r="AD861" s="2" t="s">
        <v>68</v>
      </c>
      <c r="AE861" s="2" t="s">
        <v>69</v>
      </c>
      <c r="AF861" s="2" t="s">
        <v>70</v>
      </c>
      <c r="AG861" s="2" t="s">
        <v>7285</v>
      </c>
      <c r="AK861" s="2" t="s">
        <v>7390</v>
      </c>
      <c r="AM861" s="2" t="s">
        <v>72</v>
      </c>
      <c r="AN861" s="2" t="s">
        <v>73</v>
      </c>
      <c r="AP861" s="2" t="s">
        <v>7236</v>
      </c>
      <c r="AT861" s="2" t="s">
        <v>114</v>
      </c>
      <c r="AU861" s="2" t="s">
        <v>75</v>
      </c>
      <c r="AW861" s="2" t="s">
        <v>7391</v>
      </c>
      <c r="AZ861" s="2" t="s">
        <v>116</v>
      </c>
    </row>
    <row r="862" spans="1:52" s="3" customFormat="1" x14ac:dyDescent="0.35">
      <c r="A862" s="2" t="s">
        <v>7392</v>
      </c>
      <c r="B862" s="4">
        <v>242415</v>
      </c>
      <c r="C862" s="2" t="s">
        <v>7385</v>
      </c>
      <c r="D862" s="2">
        <f t="shared" si="13"/>
        <v>2</v>
      </c>
      <c r="F862" s="2" t="s">
        <v>6590</v>
      </c>
      <c r="G862" s="2" t="s">
        <v>53</v>
      </c>
      <c r="H862" s="4">
        <v>1</v>
      </c>
      <c r="I862" s="4">
        <v>1</v>
      </c>
      <c r="J862" s="4">
        <v>0</v>
      </c>
      <c r="L862" s="4">
        <v>0</v>
      </c>
      <c r="M862" s="2" t="s">
        <v>55</v>
      </c>
      <c r="N862" s="2" t="s">
        <v>56</v>
      </c>
      <c r="O862" s="2" t="s">
        <v>57</v>
      </c>
      <c r="P862" s="2" t="s">
        <v>7285</v>
      </c>
      <c r="Q862" s="2" t="s">
        <v>7286</v>
      </c>
      <c r="R862" s="2" t="s">
        <v>7386</v>
      </c>
      <c r="S862" s="2" t="s">
        <v>7387</v>
      </c>
      <c r="V862" s="2" t="s">
        <v>7388</v>
      </c>
      <c r="W862" s="2" t="s">
        <v>7389</v>
      </c>
      <c r="Y862" s="2" t="s">
        <v>64</v>
      </c>
      <c r="Z862" s="2" t="s">
        <v>65</v>
      </c>
      <c r="AA862" s="2" t="s">
        <v>66</v>
      </c>
      <c r="AC862" s="2" t="s">
        <v>67</v>
      </c>
      <c r="AD862" s="2" t="s">
        <v>68</v>
      </c>
      <c r="AE862" s="2" t="s">
        <v>69</v>
      </c>
      <c r="AF862" s="2" t="s">
        <v>70</v>
      </c>
      <c r="AG862" s="2" t="s">
        <v>7285</v>
      </c>
      <c r="AK862" s="2" t="s">
        <v>7393</v>
      </c>
      <c r="AM862" s="2" t="s">
        <v>72</v>
      </c>
      <c r="AN862" s="2" t="s">
        <v>73</v>
      </c>
      <c r="AP862" s="2" t="s">
        <v>7236</v>
      </c>
      <c r="AT862" s="2" t="s">
        <v>114</v>
      </c>
      <c r="AU862" s="2" t="s">
        <v>75</v>
      </c>
      <c r="AW862" s="2" t="s">
        <v>7391</v>
      </c>
      <c r="AZ862" s="2" t="s">
        <v>116</v>
      </c>
    </row>
    <row r="863" spans="1:52" s="3" customFormat="1" x14ac:dyDescent="0.35">
      <c r="A863" s="2" t="s">
        <v>7394</v>
      </c>
      <c r="B863" s="4">
        <v>242026</v>
      </c>
      <c r="C863" s="2" t="s">
        <v>7395</v>
      </c>
      <c r="D863" s="2">
        <f t="shared" si="13"/>
        <v>2</v>
      </c>
      <c r="F863" s="2" t="s">
        <v>7143</v>
      </c>
      <c r="G863" s="2" t="s">
        <v>53</v>
      </c>
      <c r="H863" s="4">
        <v>3</v>
      </c>
      <c r="I863" s="4">
        <v>1</v>
      </c>
      <c r="J863" s="5">
        <v>104999.98</v>
      </c>
      <c r="K863" s="2" t="s">
        <v>2726</v>
      </c>
      <c r="L863" s="5">
        <v>90000</v>
      </c>
      <c r="N863" s="2" t="s">
        <v>2726</v>
      </c>
      <c r="O863" s="2" t="s">
        <v>2727</v>
      </c>
      <c r="P863" s="2" t="s">
        <v>3075</v>
      </c>
      <c r="Q863" s="2" t="s">
        <v>3076</v>
      </c>
      <c r="R863" s="2" t="s">
        <v>7396</v>
      </c>
      <c r="S863" s="2" t="s">
        <v>7397</v>
      </c>
      <c r="T863" s="2" t="s">
        <v>7398</v>
      </c>
      <c r="U863" s="2" t="s">
        <v>7399</v>
      </c>
      <c r="V863" s="2" t="s">
        <v>7400</v>
      </c>
      <c r="W863" s="2" t="s">
        <v>7401</v>
      </c>
      <c r="X863" s="2" t="s">
        <v>7402</v>
      </c>
      <c r="Y863" s="2" t="s">
        <v>7403</v>
      </c>
      <c r="Z863" s="2" t="s">
        <v>7404</v>
      </c>
      <c r="AA863" s="2" t="s">
        <v>7405</v>
      </c>
      <c r="AC863" s="2" t="s">
        <v>7406</v>
      </c>
      <c r="AD863" s="2" t="s">
        <v>68</v>
      </c>
      <c r="AE863" s="2" t="s">
        <v>69</v>
      </c>
      <c r="AF863" s="2" t="s">
        <v>97</v>
      </c>
      <c r="AG863" s="2" t="s">
        <v>3075</v>
      </c>
      <c r="AK863" s="2" t="s">
        <v>7407</v>
      </c>
      <c r="AL863" s="2" t="s">
        <v>4485</v>
      </c>
      <c r="AM863" s="2" t="s">
        <v>72</v>
      </c>
      <c r="AN863" s="2" t="s">
        <v>73</v>
      </c>
      <c r="AP863" s="2" t="s">
        <v>3088</v>
      </c>
      <c r="AS863" s="2" t="s">
        <v>7408</v>
      </c>
      <c r="AT863" s="2" t="s">
        <v>102</v>
      </c>
      <c r="AU863" s="2" t="s">
        <v>75</v>
      </c>
      <c r="AV863" s="2" t="s">
        <v>6590</v>
      </c>
      <c r="AW863" s="2" t="s">
        <v>7409</v>
      </c>
      <c r="AX863" s="2" t="s">
        <v>4670</v>
      </c>
      <c r="AZ863" s="2" t="s">
        <v>77</v>
      </c>
    </row>
    <row r="864" spans="1:52" s="3" customFormat="1" x14ac:dyDescent="0.35">
      <c r="A864" s="2" t="s">
        <v>7410</v>
      </c>
      <c r="B864" s="4">
        <v>242408</v>
      </c>
      <c r="C864" s="2" t="s">
        <v>7411</v>
      </c>
      <c r="D864" s="2">
        <f t="shared" si="13"/>
        <v>2</v>
      </c>
      <c r="F864" s="2" t="s">
        <v>6590</v>
      </c>
      <c r="G864" s="2" t="s">
        <v>53</v>
      </c>
      <c r="H864" s="4">
        <v>23</v>
      </c>
      <c r="I864" s="4">
        <v>1</v>
      </c>
      <c r="J864" s="5">
        <v>28300</v>
      </c>
      <c r="L864" s="5">
        <v>25625.65</v>
      </c>
      <c r="M864" s="2" t="s">
        <v>55</v>
      </c>
      <c r="N864" s="2" t="s">
        <v>458</v>
      </c>
      <c r="O864" s="2" t="s">
        <v>459</v>
      </c>
      <c r="P864" s="2" t="s">
        <v>6234</v>
      </c>
      <c r="Q864" s="2" t="s">
        <v>6235</v>
      </c>
      <c r="R864" s="2" t="s">
        <v>7412</v>
      </c>
      <c r="T864" s="2" t="s">
        <v>7413</v>
      </c>
      <c r="U864" s="2" t="s">
        <v>3359</v>
      </c>
      <c r="V864" s="2" t="s">
        <v>6329</v>
      </c>
      <c r="W864" s="2" t="s">
        <v>7414</v>
      </c>
      <c r="X864" s="2" t="s">
        <v>7414</v>
      </c>
      <c r="Y864" s="2" t="s">
        <v>7415</v>
      </c>
      <c r="Z864" s="2" t="s">
        <v>3210</v>
      </c>
      <c r="AA864" s="2" t="s">
        <v>7416</v>
      </c>
      <c r="AC864" s="2" t="s">
        <v>3213</v>
      </c>
      <c r="AD864" s="2" t="s">
        <v>68</v>
      </c>
      <c r="AE864" s="2" t="s">
        <v>69</v>
      </c>
      <c r="AF864" s="2" t="s">
        <v>70</v>
      </c>
      <c r="AG864" s="2" t="s">
        <v>7417</v>
      </c>
      <c r="AK864" s="2" t="s">
        <v>7418</v>
      </c>
      <c r="AM864" s="2" t="s">
        <v>72</v>
      </c>
      <c r="AN864" s="2" t="s">
        <v>473</v>
      </c>
      <c r="AP864" s="2" t="s">
        <v>4546</v>
      </c>
      <c r="AU864" s="2" t="s">
        <v>75</v>
      </c>
      <c r="AV864" s="2" t="s">
        <v>7419</v>
      </c>
      <c r="AW864" s="2" t="s">
        <v>7420</v>
      </c>
      <c r="AX864" s="2" t="s">
        <v>477</v>
      </c>
      <c r="AZ864" s="2" t="s">
        <v>1256</v>
      </c>
    </row>
    <row r="865" spans="1:52" s="3" customFormat="1" x14ac:dyDescent="0.35">
      <c r="A865" s="2" t="s">
        <v>7421</v>
      </c>
      <c r="B865" s="4">
        <v>242203</v>
      </c>
      <c r="C865" s="2" t="s">
        <v>7422</v>
      </c>
      <c r="D865" s="2">
        <f t="shared" si="13"/>
        <v>2</v>
      </c>
      <c r="F865" s="2" t="s">
        <v>7423</v>
      </c>
      <c r="G865" s="2" t="s">
        <v>53</v>
      </c>
      <c r="H865" s="4">
        <v>2</v>
      </c>
      <c r="I865" s="4">
        <v>12</v>
      </c>
      <c r="J865" s="5">
        <v>69999.98</v>
      </c>
      <c r="K865" s="2" t="s">
        <v>80</v>
      </c>
      <c r="L865" s="5">
        <v>69999.98</v>
      </c>
      <c r="M865" s="2" t="s">
        <v>7424</v>
      </c>
      <c r="N865" s="2" t="s">
        <v>82</v>
      </c>
      <c r="O865" s="2" t="s">
        <v>83</v>
      </c>
      <c r="P865" s="2" t="s">
        <v>3075</v>
      </c>
      <c r="Q865" s="2" t="s">
        <v>3076</v>
      </c>
      <c r="R865" s="2" t="s">
        <v>7425</v>
      </c>
      <c r="S865" s="2" t="s">
        <v>7426</v>
      </c>
      <c r="T865" s="2" t="s">
        <v>7427</v>
      </c>
      <c r="U865" s="2" t="s">
        <v>7428</v>
      </c>
      <c r="V865" s="2" t="s">
        <v>7429</v>
      </c>
      <c r="W865" s="2" t="s">
        <v>7430</v>
      </c>
      <c r="X865" s="2" t="s">
        <v>7431</v>
      </c>
      <c r="Y865" s="2" t="s">
        <v>7432</v>
      </c>
      <c r="Z865" s="2" t="s">
        <v>7433</v>
      </c>
      <c r="AA865" s="2" t="s">
        <v>7434</v>
      </c>
      <c r="AC865" s="2" t="s">
        <v>7435</v>
      </c>
      <c r="AD865" s="2" t="s">
        <v>7436</v>
      </c>
      <c r="AE865" s="2" t="s">
        <v>69</v>
      </c>
      <c r="AF865" s="2" t="s">
        <v>97</v>
      </c>
      <c r="AG865" s="2" t="s">
        <v>3075</v>
      </c>
      <c r="AK865" s="2" t="s">
        <v>7437</v>
      </c>
      <c r="AL865" s="2" t="s">
        <v>4485</v>
      </c>
      <c r="AM865" s="2" t="s">
        <v>72</v>
      </c>
      <c r="AN865" s="2" t="s">
        <v>73</v>
      </c>
      <c r="AP865" s="2" t="s">
        <v>3088</v>
      </c>
      <c r="AS865" s="2" t="s">
        <v>7438</v>
      </c>
      <c r="AT865" s="2" t="s">
        <v>102</v>
      </c>
      <c r="AU865" s="2" t="s">
        <v>75</v>
      </c>
      <c r="AV865" s="2" t="s">
        <v>7423</v>
      </c>
      <c r="AW865" s="2" t="s">
        <v>7439</v>
      </c>
      <c r="AX865" s="2" t="s">
        <v>4670</v>
      </c>
      <c r="AZ865" s="2" t="s">
        <v>77</v>
      </c>
    </row>
    <row r="866" spans="1:52" s="3" customFormat="1" x14ac:dyDescent="0.35">
      <c r="A866" s="2" t="s">
        <v>7440</v>
      </c>
      <c r="B866" s="4">
        <v>242366</v>
      </c>
      <c r="C866" s="2" t="s">
        <v>7441</v>
      </c>
      <c r="D866" s="2">
        <f t="shared" si="13"/>
        <v>2</v>
      </c>
      <c r="F866" s="2" t="s">
        <v>6590</v>
      </c>
      <c r="G866" s="2" t="s">
        <v>53</v>
      </c>
      <c r="H866" s="4">
        <v>1</v>
      </c>
      <c r="I866" s="4">
        <v>1</v>
      </c>
      <c r="J866" s="5">
        <v>12000</v>
      </c>
      <c r="K866" s="2" t="s">
        <v>1252</v>
      </c>
      <c r="L866" s="5">
        <v>11262</v>
      </c>
      <c r="M866" s="2" t="s">
        <v>55</v>
      </c>
      <c r="N866" s="2" t="s">
        <v>1253</v>
      </c>
      <c r="O866" s="2" t="s">
        <v>1254</v>
      </c>
      <c r="P866" s="2" t="s">
        <v>7442</v>
      </c>
      <c r="Q866" s="2" t="s">
        <v>7443</v>
      </c>
      <c r="R866" s="2" t="s">
        <v>7444</v>
      </c>
      <c r="T866" s="2" t="s">
        <v>7445</v>
      </c>
      <c r="U866" s="2" t="s">
        <v>7446</v>
      </c>
      <c r="V866" s="2" t="s">
        <v>7447</v>
      </c>
      <c r="W866" s="2" t="s">
        <v>7448</v>
      </c>
      <c r="X866" s="2" t="s">
        <v>7449</v>
      </c>
      <c r="Y866" s="2" t="s">
        <v>7450</v>
      </c>
      <c r="Z866" s="2" t="s">
        <v>3263</v>
      </c>
      <c r="AA866" s="2" t="s">
        <v>7451</v>
      </c>
      <c r="AB866" s="2" t="s">
        <v>7452</v>
      </c>
      <c r="AC866" s="2" t="s">
        <v>3266</v>
      </c>
      <c r="AD866" s="2" t="s">
        <v>68</v>
      </c>
      <c r="AE866" s="2" t="s">
        <v>69</v>
      </c>
      <c r="AF866" s="2" t="s">
        <v>70</v>
      </c>
      <c r="AG866" s="2" t="s">
        <v>7442</v>
      </c>
      <c r="AK866" s="2" t="s">
        <v>7453</v>
      </c>
      <c r="AM866" s="2" t="s">
        <v>72</v>
      </c>
      <c r="AN866" s="2" t="s">
        <v>249</v>
      </c>
      <c r="AP866" s="2" t="s">
        <v>6590</v>
      </c>
      <c r="AU866" s="2" t="s">
        <v>75</v>
      </c>
      <c r="AV866" s="2" t="s">
        <v>7454</v>
      </c>
      <c r="AW866" s="2" t="s">
        <v>7455</v>
      </c>
      <c r="AX866" s="2" t="s">
        <v>77</v>
      </c>
      <c r="AZ866" s="2" t="s">
        <v>77</v>
      </c>
    </row>
    <row r="867" spans="1:52" s="3" customFormat="1" x14ac:dyDescent="0.35">
      <c r="A867" s="2" t="s">
        <v>7456</v>
      </c>
      <c r="B867" s="4">
        <v>242365</v>
      </c>
      <c r="C867" s="2" t="s">
        <v>7457</v>
      </c>
      <c r="D867" s="2">
        <f t="shared" si="13"/>
        <v>2</v>
      </c>
      <c r="F867" s="2" t="s">
        <v>6590</v>
      </c>
      <c r="G867" s="2" t="s">
        <v>53</v>
      </c>
      <c r="H867" s="4">
        <v>1</v>
      </c>
      <c r="I867" s="4">
        <v>1</v>
      </c>
      <c r="J867" s="5">
        <v>18000</v>
      </c>
      <c r="K867" s="2" t="s">
        <v>1252</v>
      </c>
      <c r="L867" s="5">
        <v>16893</v>
      </c>
      <c r="M867" s="2" t="s">
        <v>55</v>
      </c>
      <c r="N867" s="2" t="s">
        <v>1253</v>
      </c>
      <c r="O867" s="2" t="s">
        <v>1254</v>
      </c>
      <c r="P867" s="2" t="s">
        <v>7442</v>
      </c>
      <c r="Q867" s="2" t="s">
        <v>7443</v>
      </c>
      <c r="R867" s="2" t="s">
        <v>7444</v>
      </c>
      <c r="T867" s="2" t="s">
        <v>7458</v>
      </c>
      <c r="U867" s="2" t="s">
        <v>7459</v>
      </c>
      <c r="V867" s="2" t="s">
        <v>7447</v>
      </c>
      <c r="W867" s="2" t="s">
        <v>7448</v>
      </c>
      <c r="X867" s="2" t="s">
        <v>7449</v>
      </c>
      <c r="Y867" s="2" t="s">
        <v>7450</v>
      </c>
      <c r="Z867" s="2" t="s">
        <v>3263</v>
      </c>
      <c r="AA867" s="2" t="s">
        <v>7451</v>
      </c>
      <c r="AB867" s="2" t="s">
        <v>7460</v>
      </c>
      <c r="AC867" s="2" t="s">
        <v>3266</v>
      </c>
      <c r="AD867" s="2" t="s">
        <v>68</v>
      </c>
      <c r="AE867" s="2" t="s">
        <v>69</v>
      </c>
      <c r="AF867" s="2" t="s">
        <v>70</v>
      </c>
      <c r="AG867" s="2" t="s">
        <v>7442</v>
      </c>
      <c r="AK867" s="2" t="s">
        <v>7461</v>
      </c>
      <c r="AM867" s="2" t="s">
        <v>72</v>
      </c>
      <c r="AN867" s="2" t="s">
        <v>249</v>
      </c>
      <c r="AP867" s="2" t="s">
        <v>6590</v>
      </c>
      <c r="AU867" s="2" t="s">
        <v>75</v>
      </c>
      <c r="AV867" s="2" t="s">
        <v>7454</v>
      </c>
      <c r="AW867" s="2" t="s">
        <v>7462</v>
      </c>
      <c r="AX867" s="2" t="s">
        <v>77</v>
      </c>
      <c r="AZ867" s="2" t="s">
        <v>77</v>
      </c>
    </row>
    <row r="868" spans="1:52" s="3" customFormat="1" x14ac:dyDescent="0.35">
      <c r="A868" s="2" t="s">
        <v>7463</v>
      </c>
      <c r="B868" s="4">
        <v>242333</v>
      </c>
      <c r="C868" s="2" t="s">
        <v>7464</v>
      </c>
      <c r="D868" s="2">
        <f t="shared" si="13"/>
        <v>2</v>
      </c>
      <c r="F868" s="2" t="s">
        <v>7423</v>
      </c>
      <c r="G868" s="2" t="s">
        <v>53</v>
      </c>
      <c r="H868" s="4">
        <v>1</v>
      </c>
      <c r="I868" s="4">
        <v>0</v>
      </c>
      <c r="J868" s="4">
        <v>0</v>
      </c>
      <c r="L868" s="4">
        <v>0</v>
      </c>
      <c r="N868" s="2" t="s">
        <v>56</v>
      </c>
      <c r="O868" s="2" t="s">
        <v>57</v>
      </c>
      <c r="P868" s="2" t="s">
        <v>3131</v>
      </c>
      <c r="Q868" s="2" t="s">
        <v>3132</v>
      </c>
      <c r="R868" s="2" t="s">
        <v>7465</v>
      </c>
      <c r="S868" s="2" t="s">
        <v>7466</v>
      </c>
      <c r="V868" s="2" t="s">
        <v>7467</v>
      </c>
      <c r="W868" s="2" t="s">
        <v>7468</v>
      </c>
      <c r="Y868" s="2" t="s">
        <v>7469</v>
      </c>
      <c r="Z868" s="2" t="s">
        <v>7470</v>
      </c>
      <c r="AA868" s="2" t="s">
        <v>7471</v>
      </c>
      <c r="AB868" s="2" t="s">
        <v>7472</v>
      </c>
      <c r="AC868" s="2" t="s">
        <v>7473</v>
      </c>
      <c r="AD868" s="2" t="s">
        <v>68</v>
      </c>
      <c r="AE868" s="2" t="s">
        <v>69</v>
      </c>
      <c r="AF868" s="2" t="s">
        <v>70</v>
      </c>
      <c r="AK868" s="2" t="s">
        <v>7474</v>
      </c>
      <c r="AL868" s="2" t="s">
        <v>7332</v>
      </c>
      <c r="AM868" s="2" t="s">
        <v>72</v>
      </c>
      <c r="AN868" s="2" t="s">
        <v>344</v>
      </c>
      <c r="AP868" s="2" t="s">
        <v>3144</v>
      </c>
      <c r="AT868" s="2" t="s">
        <v>114</v>
      </c>
      <c r="AU868" s="2" t="s">
        <v>75</v>
      </c>
      <c r="AV868" s="2" t="s">
        <v>5179</v>
      </c>
      <c r="AW868" s="2" t="s">
        <v>7475</v>
      </c>
      <c r="AZ868" s="2" t="s">
        <v>116</v>
      </c>
    </row>
    <row r="869" spans="1:52" s="3" customFormat="1" x14ac:dyDescent="0.35">
      <c r="A869" s="2" t="s">
        <v>7476</v>
      </c>
      <c r="B869" s="4">
        <v>242328</v>
      </c>
      <c r="C869" s="2" t="s">
        <v>7477</v>
      </c>
      <c r="D869" s="2">
        <f t="shared" si="13"/>
        <v>2</v>
      </c>
      <c r="F869" s="2" t="s">
        <v>7423</v>
      </c>
      <c r="G869" s="2" t="s">
        <v>53</v>
      </c>
      <c r="H869" s="4">
        <v>1</v>
      </c>
      <c r="I869" s="4">
        <v>0</v>
      </c>
      <c r="J869" s="4">
        <v>0</v>
      </c>
      <c r="L869" s="4">
        <v>0</v>
      </c>
      <c r="N869" s="2" t="s">
        <v>56</v>
      </c>
      <c r="O869" s="2" t="s">
        <v>57</v>
      </c>
      <c r="P869" s="2" t="s">
        <v>3131</v>
      </c>
      <c r="Q869" s="2" t="s">
        <v>3132</v>
      </c>
      <c r="R869" s="2" t="s">
        <v>7478</v>
      </c>
      <c r="S869" s="2" t="s">
        <v>7479</v>
      </c>
      <c r="V869" s="2" t="s">
        <v>7480</v>
      </c>
      <c r="W869" s="2" t="s">
        <v>7481</v>
      </c>
      <c r="Y869" s="2" t="s">
        <v>7482</v>
      </c>
      <c r="Z869" s="2" t="s">
        <v>7483</v>
      </c>
      <c r="AA869" s="2" t="s">
        <v>7484</v>
      </c>
      <c r="AB869" s="2" t="s">
        <v>7485</v>
      </c>
      <c r="AC869" s="2" t="s">
        <v>3230</v>
      </c>
      <c r="AD869" s="2" t="s">
        <v>68</v>
      </c>
      <c r="AE869" s="2" t="s">
        <v>69</v>
      </c>
      <c r="AF869" s="2" t="s">
        <v>70</v>
      </c>
      <c r="AK869" s="2" t="s">
        <v>7486</v>
      </c>
      <c r="AL869" s="2" t="s">
        <v>7332</v>
      </c>
      <c r="AM869" s="2" t="s">
        <v>72</v>
      </c>
      <c r="AN869" s="2" t="s">
        <v>344</v>
      </c>
      <c r="AP869" s="2" t="s">
        <v>3144</v>
      </c>
      <c r="AT869" s="2" t="s">
        <v>114</v>
      </c>
      <c r="AU869" s="2" t="s">
        <v>75</v>
      </c>
      <c r="AW869" s="2" t="s">
        <v>7487</v>
      </c>
      <c r="AZ869" s="2" t="s">
        <v>116</v>
      </c>
    </row>
    <row r="870" spans="1:52" s="3" customFormat="1" x14ac:dyDescent="0.35">
      <c r="A870" s="2" t="s">
        <v>7488</v>
      </c>
      <c r="B870" s="4">
        <v>242326</v>
      </c>
      <c r="C870" s="2" t="s">
        <v>7489</v>
      </c>
      <c r="D870" s="2">
        <f t="shared" si="13"/>
        <v>2</v>
      </c>
      <c r="F870" s="2" t="s">
        <v>7423</v>
      </c>
      <c r="G870" s="2" t="s">
        <v>53</v>
      </c>
      <c r="H870" s="4">
        <v>1</v>
      </c>
      <c r="I870" s="4">
        <v>1</v>
      </c>
      <c r="J870" s="4">
        <v>0</v>
      </c>
      <c r="L870" s="4">
        <v>0</v>
      </c>
      <c r="M870" s="2" t="s">
        <v>55</v>
      </c>
      <c r="N870" s="2" t="s">
        <v>56</v>
      </c>
      <c r="O870" s="2" t="s">
        <v>57</v>
      </c>
      <c r="P870" s="2" t="s">
        <v>7285</v>
      </c>
      <c r="Q870" s="2" t="s">
        <v>7286</v>
      </c>
      <c r="R870" s="2" t="s">
        <v>7490</v>
      </c>
      <c r="S870" s="2" t="s">
        <v>7491</v>
      </c>
      <c r="V870" s="2" t="s">
        <v>7492</v>
      </c>
      <c r="W870" s="2" t="s">
        <v>7493</v>
      </c>
      <c r="Y870" s="2" t="s">
        <v>64</v>
      </c>
      <c r="Z870" s="2" t="s">
        <v>65</v>
      </c>
      <c r="AA870" s="2" t="s">
        <v>66</v>
      </c>
      <c r="AB870" s="2" t="s">
        <v>7494</v>
      </c>
      <c r="AC870" s="2" t="s">
        <v>67</v>
      </c>
      <c r="AD870" s="2" t="s">
        <v>68</v>
      </c>
      <c r="AE870" s="2" t="s">
        <v>69</v>
      </c>
      <c r="AF870" s="2" t="s">
        <v>70</v>
      </c>
      <c r="AG870" s="2" t="s">
        <v>7285</v>
      </c>
      <c r="AK870" s="2" t="s">
        <v>7495</v>
      </c>
      <c r="AM870" s="2" t="s">
        <v>72</v>
      </c>
      <c r="AN870" s="2" t="s">
        <v>249</v>
      </c>
      <c r="AP870" s="2" t="s">
        <v>7236</v>
      </c>
      <c r="AT870" s="2" t="s">
        <v>114</v>
      </c>
      <c r="AU870" s="2" t="s">
        <v>75</v>
      </c>
      <c r="AW870" s="2" t="s">
        <v>7496</v>
      </c>
      <c r="AZ870" s="2" t="s">
        <v>116</v>
      </c>
    </row>
    <row r="871" spans="1:52" s="3" customFormat="1" x14ac:dyDescent="0.35">
      <c r="A871" s="2" t="s">
        <v>7497</v>
      </c>
      <c r="B871" s="4">
        <v>242325</v>
      </c>
      <c r="C871" s="2" t="s">
        <v>7498</v>
      </c>
      <c r="D871" s="2">
        <f t="shared" si="13"/>
        <v>2</v>
      </c>
      <c r="F871" s="2" t="s">
        <v>7423</v>
      </c>
      <c r="G871" s="2" t="s">
        <v>53</v>
      </c>
      <c r="H871" s="4">
        <v>1</v>
      </c>
      <c r="I871" s="4">
        <v>0</v>
      </c>
      <c r="J871" s="4">
        <v>0</v>
      </c>
      <c r="L871" s="4">
        <v>0</v>
      </c>
      <c r="N871" s="2" t="s">
        <v>56</v>
      </c>
      <c r="O871" s="2" t="s">
        <v>57</v>
      </c>
      <c r="P871" s="2" t="s">
        <v>3131</v>
      </c>
      <c r="Q871" s="2" t="s">
        <v>3132</v>
      </c>
      <c r="R871" s="2" t="s">
        <v>7499</v>
      </c>
      <c r="S871" s="2" t="s">
        <v>7500</v>
      </c>
      <c r="V871" s="2" t="s">
        <v>7501</v>
      </c>
      <c r="W871" s="2" t="s">
        <v>7502</v>
      </c>
      <c r="Y871" s="2" t="s">
        <v>7503</v>
      </c>
      <c r="Z871" s="2" t="s">
        <v>7504</v>
      </c>
      <c r="AA871" s="2" t="s">
        <v>7505</v>
      </c>
      <c r="AB871" s="2" t="s">
        <v>7506</v>
      </c>
      <c r="AC871" s="2" t="s">
        <v>7507</v>
      </c>
      <c r="AD871" s="2" t="s">
        <v>2441</v>
      </c>
      <c r="AE871" s="2" t="s">
        <v>1825</v>
      </c>
      <c r="AF871" s="2" t="s">
        <v>70</v>
      </c>
      <c r="AK871" s="2" t="s">
        <v>7508</v>
      </c>
      <c r="AL871" s="2" t="s">
        <v>7332</v>
      </c>
      <c r="AM871" s="2" t="s">
        <v>72</v>
      </c>
      <c r="AN871" s="2" t="s">
        <v>344</v>
      </c>
      <c r="AP871" s="2" t="s">
        <v>3144</v>
      </c>
      <c r="AT871" s="2" t="s">
        <v>114</v>
      </c>
      <c r="AU871" s="2" t="s">
        <v>75</v>
      </c>
      <c r="AW871" s="2" t="s">
        <v>7509</v>
      </c>
      <c r="AZ871" s="2" t="s">
        <v>116</v>
      </c>
    </row>
    <row r="872" spans="1:52" s="3" customFormat="1" x14ac:dyDescent="0.35">
      <c r="A872" s="2" t="s">
        <v>7510</v>
      </c>
      <c r="B872" s="4">
        <v>242324</v>
      </c>
      <c r="C872" s="2" t="s">
        <v>7498</v>
      </c>
      <c r="D872" s="2">
        <f t="shared" si="13"/>
        <v>2</v>
      </c>
      <c r="F872" s="2" t="s">
        <v>7423</v>
      </c>
      <c r="G872" s="2" t="s">
        <v>53</v>
      </c>
      <c r="H872" s="4">
        <v>1</v>
      </c>
      <c r="I872" s="4">
        <v>0</v>
      </c>
      <c r="J872" s="4">
        <v>0</v>
      </c>
      <c r="L872" s="4">
        <v>0</v>
      </c>
      <c r="N872" s="2" t="s">
        <v>56</v>
      </c>
      <c r="O872" s="2" t="s">
        <v>57</v>
      </c>
      <c r="P872" s="2" t="s">
        <v>3131</v>
      </c>
      <c r="Q872" s="2" t="s">
        <v>3132</v>
      </c>
      <c r="R872" s="2" t="s">
        <v>7511</v>
      </c>
      <c r="S872" s="2" t="s">
        <v>7512</v>
      </c>
      <c r="V872" s="2" t="s">
        <v>7513</v>
      </c>
      <c r="W872" s="2" t="s">
        <v>7514</v>
      </c>
      <c r="Y872" s="2" t="s">
        <v>7515</v>
      </c>
      <c r="Z872" s="2" t="s">
        <v>7516</v>
      </c>
      <c r="AA872" s="2" t="s">
        <v>2811</v>
      </c>
      <c r="AB872" s="2" t="s">
        <v>7517</v>
      </c>
      <c r="AC872" s="2" t="s">
        <v>7518</v>
      </c>
      <c r="AD872" s="2" t="s">
        <v>1402</v>
      </c>
      <c r="AE872" s="2" t="s">
        <v>1403</v>
      </c>
      <c r="AF872" s="2" t="s">
        <v>70</v>
      </c>
      <c r="AK872" s="2" t="s">
        <v>7519</v>
      </c>
      <c r="AL872" s="2" t="s">
        <v>7332</v>
      </c>
      <c r="AM872" s="2" t="s">
        <v>72</v>
      </c>
      <c r="AN872" s="2" t="s">
        <v>344</v>
      </c>
      <c r="AP872" s="2" t="s">
        <v>3144</v>
      </c>
      <c r="AT872" s="2" t="s">
        <v>114</v>
      </c>
      <c r="AU872" s="2" t="s">
        <v>75</v>
      </c>
      <c r="AW872" s="2" t="s">
        <v>7520</v>
      </c>
      <c r="AZ872" s="2" t="s">
        <v>116</v>
      </c>
    </row>
    <row r="873" spans="1:52" s="3" customFormat="1" x14ac:dyDescent="0.35">
      <c r="A873" s="2" t="s">
        <v>7521</v>
      </c>
      <c r="B873" s="4">
        <v>242323</v>
      </c>
      <c r="C873" s="2" t="s">
        <v>7522</v>
      </c>
      <c r="D873" s="2">
        <f t="shared" si="13"/>
        <v>2</v>
      </c>
      <c r="F873" s="2" t="s">
        <v>7423</v>
      </c>
      <c r="G873" s="2" t="s">
        <v>53</v>
      </c>
      <c r="H873" s="4">
        <v>1</v>
      </c>
      <c r="I873" s="4">
        <v>0</v>
      </c>
      <c r="J873" s="4">
        <v>0</v>
      </c>
      <c r="L873" s="4">
        <v>0</v>
      </c>
      <c r="N873" s="2" t="s">
        <v>56</v>
      </c>
      <c r="O873" s="2" t="s">
        <v>57</v>
      </c>
      <c r="P873" s="2" t="s">
        <v>3131</v>
      </c>
      <c r="Q873" s="2" t="s">
        <v>3132</v>
      </c>
      <c r="R873" s="2" t="s">
        <v>7511</v>
      </c>
      <c r="S873" s="2" t="s">
        <v>7512</v>
      </c>
      <c r="V873" s="2" t="s">
        <v>7513</v>
      </c>
      <c r="W873" s="2" t="s">
        <v>7514</v>
      </c>
      <c r="Y873" s="2" t="s">
        <v>7515</v>
      </c>
      <c r="Z873" s="2" t="s">
        <v>7516</v>
      </c>
      <c r="AA873" s="2" t="s">
        <v>2811</v>
      </c>
      <c r="AB873" s="2" t="s">
        <v>7517</v>
      </c>
      <c r="AC873" s="2" t="s">
        <v>7518</v>
      </c>
      <c r="AD873" s="2" t="s">
        <v>1402</v>
      </c>
      <c r="AE873" s="2" t="s">
        <v>1403</v>
      </c>
      <c r="AF873" s="2" t="s">
        <v>70</v>
      </c>
      <c r="AK873" s="2" t="s">
        <v>7523</v>
      </c>
      <c r="AL873" s="2" t="s">
        <v>7332</v>
      </c>
      <c r="AM873" s="2" t="s">
        <v>72</v>
      </c>
      <c r="AN873" s="2" t="s">
        <v>344</v>
      </c>
      <c r="AP873" s="2" t="s">
        <v>3144</v>
      </c>
      <c r="AT873" s="2" t="s">
        <v>114</v>
      </c>
      <c r="AU873" s="2" t="s">
        <v>75</v>
      </c>
      <c r="AW873" s="2" t="s">
        <v>7520</v>
      </c>
      <c r="AZ873" s="2" t="s">
        <v>116</v>
      </c>
    </row>
    <row r="874" spans="1:52" s="3" customFormat="1" x14ac:dyDescent="0.35">
      <c r="A874" s="2" t="s">
        <v>7524</v>
      </c>
      <c r="B874" s="4">
        <v>242321</v>
      </c>
      <c r="C874" s="2" t="s">
        <v>7525</v>
      </c>
      <c r="D874" s="2">
        <f t="shared" si="13"/>
        <v>2</v>
      </c>
      <c r="F874" s="2" t="s">
        <v>7423</v>
      </c>
      <c r="G874" s="2" t="s">
        <v>53</v>
      </c>
      <c r="H874" s="4">
        <v>1</v>
      </c>
      <c r="I874" s="4">
        <v>0</v>
      </c>
      <c r="J874" s="4">
        <v>0</v>
      </c>
      <c r="L874" s="4">
        <v>0</v>
      </c>
      <c r="N874" s="2" t="s">
        <v>56</v>
      </c>
      <c r="O874" s="2" t="s">
        <v>57</v>
      </c>
      <c r="P874" s="2" t="s">
        <v>3131</v>
      </c>
      <c r="Q874" s="2" t="s">
        <v>3132</v>
      </c>
      <c r="R874" s="2" t="s">
        <v>7526</v>
      </c>
      <c r="S874" s="2" t="s">
        <v>7527</v>
      </c>
      <c r="V874" s="2" t="s">
        <v>7528</v>
      </c>
      <c r="W874" s="2" t="s">
        <v>7529</v>
      </c>
      <c r="Y874" s="2" t="s">
        <v>7530</v>
      </c>
      <c r="Z874" s="2" t="s">
        <v>7531</v>
      </c>
      <c r="AA874" s="2" t="s">
        <v>7532</v>
      </c>
      <c r="AB874" s="2" t="s">
        <v>7533</v>
      </c>
      <c r="AC874" s="2" t="s">
        <v>7534</v>
      </c>
      <c r="AD874" s="2" t="s">
        <v>7535</v>
      </c>
      <c r="AE874" s="2" t="s">
        <v>69</v>
      </c>
      <c r="AF874" s="2" t="s">
        <v>70</v>
      </c>
      <c r="AK874" s="2" t="s">
        <v>7536</v>
      </c>
      <c r="AL874" s="2" t="s">
        <v>7332</v>
      </c>
      <c r="AM874" s="2" t="s">
        <v>72</v>
      </c>
      <c r="AN874" s="2" t="s">
        <v>344</v>
      </c>
      <c r="AP874" s="2" t="s">
        <v>3144</v>
      </c>
      <c r="AT874" s="2" t="s">
        <v>114</v>
      </c>
      <c r="AU874" s="2" t="s">
        <v>75</v>
      </c>
      <c r="AW874" s="2" t="s">
        <v>7537</v>
      </c>
      <c r="AZ874" s="2" t="s">
        <v>116</v>
      </c>
    </row>
    <row r="875" spans="1:52" s="3" customFormat="1" x14ac:dyDescent="0.35">
      <c r="A875" s="2" t="s">
        <v>7538</v>
      </c>
      <c r="B875" s="4">
        <v>242320</v>
      </c>
      <c r="C875" s="2" t="s">
        <v>7539</v>
      </c>
      <c r="D875" s="2">
        <f t="shared" si="13"/>
        <v>2</v>
      </c>
      <c r="F875" s="2" t="s">
        <v>7423</v>
      </c>
      <c r="G875" s="2" t="s">
        <v>53</v>
      </c>
      <c r="H875" s="4">
        <v>1</v>
      </c>
      <c r="I875" s="4">
        <v>0</v>
      </c>
      <c r="J875" s="4">
        <v>0</v>
      </c>
      <c r="L875" s="4">
        <v>0</v>
      </c>
      <c r="N875" s="2" t="s">
        <v>56</v>
      </c>
      <c r="O875" s="2" t="s">
        <v>57</v>
      </c>
      <c r="P875" s="2" t="s">
        <v>3131</v>
      </c>
      <c r="Q875" s="2" t="s">
        <v>3132</v>
      </c>
      <c r="R875" s="2" t="s">
        <v>7540</v>
      </c>
      <c r="S875" s="2" t="s">
        <v>7541</v>
      </c>
      <c r="V875" s="2" t="s">
        <v>7542</v>
      </c>
      <c r="W875" s="2" t="s">
        <v>7543</v>
      </c>
      <c r="Y875" s="2" t="s">
        <v>7544</v>
      </c>
      <c r="Z875" s="2" t="s">
        <v>7545</v>
      </c>
      <c r="AA875" s="2" t="s">
        <v>6894</v>
      </c>
      <c r="AC875" s="2" t="s">
        <v>7546</v>
      </c>
      <c r="AD875" s="2" t="s">
        <v>7535</v>
      </c>
      <c r="AE875" s="2" t="s">
        <v>69</v>
      </c>
      <c r="AF875" s="2" t="s">
        <v>70</v>
      </c>
      <c r="AK875" s="2" t="s">
        <v>7547</v>
      </c>
      <c r="AL875" s="2" t="s">
        <v>7332</v>
      </c>
      <c r="AM875" s="2" t="s">
        <v>72</v>
      </c>
      <c r="AN875" s="2" t="s">
        <v>344</v>
      </c>
      <c r="AP875" s="2" t="s">
        <v>3144</v>
      </c>
      <c r="AT875" s="2" t="s">
        <v>114</v>
      </c>
      <c r="AU875" s="2" t="s">
        <v>75</v>
      </c>
      <c r="AW875" s="2" t="s">
        <v>7548</v>
      </c>
      <c r="AZ875" s="2" t="s">
        <v>116</v>
      </c>
    </row>
    <row r="876" spans="1:52" s="3" customFormat="1" x14ac:dyDescent="0.35">
      <c r="A876" s="2" t="s">
        <v>7549</v>
      </c>
      <c r="B876" s="4">
        <v>242319</v>
      </c>
      <c r="C876" s="2" t="s">
        <v>7550</v>
      </c>
      <c r="D876" s="2">
        <f t="shared" si="13"/>
        <v>2</v>
      </c>
      <c r="F876" s="2" t="s">
        <v>7423</v>
      </c>
      <c r="G876" s="2" t="s">
        <v>53</v>
      </c>
      <c r="H876" s="4">
        <v>1</v>
      </c>
      <c r="I876" s="4">
        <v>0</v>
      </c>
      <c r="J876" s="4">
        <v>0</v>
      </c>
      <c r="L876" s="4">
        <v>0</v>
      </c>
      <c r="N876" s="2" t="s">
        <v>56</v>
      </c>
      <c r="O876" s="2" t="s">
        <v>57</v>
      </c>
      <c r="P876" s="2" t="s">
        <v>3131</v>
      </c>
      <c r="Q876" s="2" t="s">
        <v>3132</v>
      </c>
      <c r="R876" s="2" t="s">
        <v>7540</v>
      </c>
      <c r="S876" s="2" t="s">
        <v>7541</v>
      </c>
      <c r="V876" s="2" t="s">
        <v>7542</v>
      </c>
      <c r="W876" s="2" t="s">
        <v>7543</v>
      </c>
      <c r="Y876" s="2" t="s">
        <v>7544</v>
      </c>
      <c r="Z876" s="2" t="s">
        <v>7545</v>
      </c>
      <c r="AA876" s="2" t="s">
        <v>6894</v>
      </c>
      <c r="AC876" s="2" t="s">
        <v>7546</v>
      </c>
      <c r="AD876" s="2" t="s">
        <v>7535</v>
      </c>
      <c r="AE876" s="2" t="s">
        <v>69</v>
      </c>
      <c r="AF876" s="2" t="s">
        <v>70</v>
      </c>
      <c r="AK876" s="2" t="s">
        <v>7551</v>
      </c>
      <c r="AL876" s="2" t="s">
        <v>7332</v>
      </c>
      <c r="AM876" s="2" t="s">
        <v>72</v>
      </c>
      <c r="AN876" s="2" t="s">
        <v>344</v>
      </c>
      <c r="AP876" s="2" t="s">
        <v>3144</v>
      </c>
      <c r="AT876" s="2" t="s">
        <v>114</v>
      </c>
      <c r="AU876" s="2" t="s">
        <v>75</v>
      </c>
      <c r="AW876" s="2" t="s">
        <v>7548</v>
      </c>
      <c r="AZ876" s="2" t="s">
        <v>116</v>
      </c>
    </row>
    <row r="877" spans="1:52" s="3" customFormat="1" x14ac:dyDescent="0.35">
      <c r="A877" s="2" t="s">
        <v>7552</v>
      </c>
      <c r="B877" s="4">
        <v>242315</v>
      </c>
      <c r="C877" s="2" t="s">
        <v>7553</v>
      </c>
      <c r="D877" s="2">
        <f t="shared" si="13"/>
        <v>2</v>
      </c>
      <c r="F877" s="2" t="s">
        <v>7423</v>
      </c>
      <c r="G877" s="2" t="s">
        <v>53</v>
      </c>
      <c r="H877" s="4">
        <v>1</v>
      </c>
      <c r="I877" s="4">
        <v>0</v>
      </c>
      <c r="J877" s="4">
        <v>0</v>
      </c>
      <c r="L877" s="4">
        <v>0</v>
      </c>
      <c r="N877" s="2" t="s">
        <v>56</v>
      </c>
      <c r="O877" s="2" t="s">
        <v>57</v>
      </c>
      <c r="P877" s="2" t="s">
        <v>3131</v>
      </c>
      <c r="Q877" s="2" t="s">
        <v>3132</v>
      </c>
      <c r="R877" s="2" t="s">
        <v>7554</v>
      </c>
      <c r="S877" s="2" t="s">
        <v>7555</v>
      </c>
      <c r="V877" s="2" t="s">
        <v>7556</v>
      </c>
      <c r="W877" s="2" t="s">
        <v>7557</v>
      </c>
      <c r="Y877" s="2" t="s">
        <v>7558</v>
      </c>
      <c r="Z877" s="2" t="s">
        <v>7559</v>
      </c>
      <c r="AC877" s="2" t="s">
        <v>7560</v>
      </c>
      <c r="AD877" s="2" t="s">
        <v>7561</v>
      </c>
      <c r="AE877" s="2" t="s">
        <v>69</v>
      </c>
      <c r="AF877" s="2" t="s">
        <v>70</v>
      </c>
      <c r="AK877" s="2" t="s">
        <v>7562</v>
      </c>
      <c r="AL877" s="2" t="s">
        <v>7332</v>
      </c>
      <c r="AM877" s="2" t="s">
        <v>72</v>
      </c>
      <c r="AN877" s="2" t="s">
        <v>344</v>
      </c>
      <c r="AP877" s="2" t="s">
        <v>3144</v>
      </c>
      <c r="AT877" s="2" t="s">
        <v>114</v>
      </c>
      <c r="AU877" s="2" t="s">
        <v>75</v>
      </c>
      <c r="AW877" s="2" t="s">
        <v>7563</v>
      </c>
      <c r="AZ877" s="2" t="s">
        <v>116</v>
      </c>
    </row>
    <row r="878" spans="1:52" s="3" customFormat="1" x14ac:dyDescent="0.35">
      <c r="A878" s="2" t="s">
        <v>7564</v>
      </c>
      <c r="B878" s="4">
        <v>242314</v>
      </c>
      <c r="C878" s="2" t="s">
        <v>7553</v>
      </c>
      <c r="D878" s="2">
        <f t="shared" si="13"/>
        <v>2</v>
      </c>
      <c r="F878" s="2" t="s">
        <v>7423</v>
      </c>
      <c r="G878" s="2" t="s">
        <v>53</v>
      </c>
      <c r="H878" s="4">
        <v>1</v>
      </c>
      <c r="I878" s="4">
        <v>0</v>
      </c>
      <c r="J878" s="4">
        <v>0</v>
      </c>
      <c r="L878" s="4">
        <v>0</v>
      </c>
      <c r="N878" s="2" t="s">
        <v>56</v>
      </c>
      <c r="O878" s="2" t="s">
        <v>57</v>
      </c>
      <c r="P878" s="2" t="s">
        <v>3131</v>
      </c>
      <c r="Q878" s="2" t="s">
        <v>3132</v>
      </c>
      <c r="R878" s="2" t="s">
        <v>7565</v>
      </c>
      <c r="S878" s="2" t="s">
        <v>7566</v>
      </c>
      <c r="V878" s="2" t="s">
        <v>7567</v>
      </c>
      <c r="W878" s="2" t="s">
        <v>7568</v>
      </c>
      <c r="Y878" s="2" t="s">
        <v>7569</v>
      </c>
      <c r="Z878" s="2" t="s">
        <v>7570</v>
      </c>
      <c r="AA878" s="2" t="s">
        <v>7571</v>
      </c>
      <c r="AC878" s="2" t="s">
        <v>7572</v>
      </c>
      <c r="AD878" s="2" t="s">
        <v>7573</v>
      </c>
      <c r="AE878" s="2" t="s">
        <v>69</v>
      </c>
      <c r="AF878" s="2" t="s">
        <v>70</v>
      </c>
      <c r="AK878" s="2" t="s">
        <v>7574</v>
      </c>
      <c r="AL878" s="2" t="s">
        <v>7332</v>
      </c>
      <c r="AM878" s="2" t="s">
        <v>72</v>
      </c>
      <c r="AN878" s="2" t="s">
        <v>344</v>
      </c>
      <c r="AP878" s="2" t="s">
        <v>3144</v>
      </c>
      <c r="AT878" s="2" t="s">
        <v>114</v>
      </c>
      <c r="AU878" s="2" t="s">
        <v>75</v>
      </c>
      <c r="AW878" s="2" t="s">
        <v>7575</v>
      </c>
      <c r="AZ878" s="2" t="s">
        <v>116</v>
      </c>
    </row>
    <row r="879" spans="1:52" s="3" customFormat="1" x14ac:dyDescent="0.35">
      <c r="A879" s="2" t="s">
        <v>7576</v>
      </c>
      <c r="B879" s="4">
        <v>242313</v>
      </c>
      <c r="C879" s="2" t="s">
        <v>7553</v>
      </c>
      <c r="D879" s="2">
        <f t="shared" si="13"/>
        <v>2</v>
      </c>
      <c r="F879" s="2" t="s">
        <v>7423</v>
      </c>
      <c r="G879" s="2" t="s">
        <v>53</v>
      </c>
      <c r="H879" s="4">
        <v>1</v>
      </c>
      <c r="I879" s="4">
        <v>0</v>
      </c>
      <c r="J879" s="4">
        <v>0</v>
      </c>
      <c r="L879" s="4">
        <v>0</v>
      </c>
      <c r="N879" s="2" t="s">
        <v>56</v>
      </c>
      <c r="O879" s="2" t="s">
        <v>57</v>
      </c>
      <c r="P879" s="2" t="s">
        <v>3131</v>
      </c>
      <c r="Q879" s="2" t="s">
        <v>3132</v>
      </c>
      <c r="R879" s="2" t="s">
        <v>7577</v>
      </c>
      <c r="S879" s="2" t="s">
        <v>7578</v>
      </c>
      <c r="V879" s="2" t="s">
        <v>7579</v>
      </c>
      <c r="W879" s="2" t="s">
        <v>7580</v>
      </c>
      <c r="Y879" s="2" t="s">
        <v>7581</v>
      </c>
      <c r="Z879" s="2" t="s">
        <v>7582</v>
      </c>
      <c r="AA879" s="2" t="s">
        <v>7583</v>
      </c>
      <c r="AB879" s="2" t="s">
        <v>7584</v>
      </c>
      <c r="AC879" s="2" t="s">
        <v>7585</v>
      </c>
      <c r="AD879" s="2" t="s">
        <v>7586</v>
      </c>
      <c r="AE879" s="2" t="s">
        <v>69</v>
      </c>
      <c r="AF879" s="2" t="s">
        <v>70</v>
      </c>
      <c r="AK879" s="2" t="s">
        <v>7587</v>
      </c>
      <c r="AL879" s="2" t="s">
        <v>7332</v>
      </c>
      <c r="AM879" s="2" t="s">
        <v>72</v>
      </c>
      <c r="AN879" s="2" t="s">
        <v>344</v>
      </c>
      <c r="AP879" s="2" t="s">
        <v>3144</v>
      </c>
      <c r="AT879" s="2" t="s">
        <v>114</v>
      </c>
      <c r="AU879" s="2" t="s">
        <v>75</v>
      </c>
      <c r="AW879" s="2" t="s">
        <v>7588</v>
      </c>
      <c r="AZ879" s="2" t="s">
        <v>116</v>
      </c>
    </row>
    <row r="880" spans="1:52" s="3" customFormat="1" x14ac:dyDescent="0.35">
      <c r="A880" s="2" t="s">
        <v>7594</v>
      </c>
      <c r="B880" s="4">
        <v>242308</v>
      </c>
      <c r="C880" s="2" t="s">
        <v>7595</v>
      </c>
      <c r="D880" s="2">
        <f t="shared" si="13"/>
        <v>2</v>
      </c>
      <c r="F880" s="2" t="s">
        <v>7423</v>
      </c>
      <c r="G880" s="2" t="s">
        <v>53</v>
      </c>
      <c r="H880" s="4">
        <v>1</v>
      </c>
      <c r="I880" s="4">
        <v>1</v>
      </c>
      <c r="J880" s="4">
        <v>0</v>
      </c>
      <c r="L880" s="4">
        <v>0</v>
      </c>
      <c r="M880" s="2" t="s">
        <v>55</v>
      </c>
      <c r="N880" s="2" t="s">
        <v>56</v>
      </c>
      <c r="O880" s="2" t="s">
        <v>57</v>
      </c>
      <c r="P880" s="2" t="s">
        <v>4877</v>
      </c>
      <c r="Q880" s="2" t="s">
        <v>4878</v>
      </c>
      <c r="R880" s="2" t="s">
        <v>7589</v>
      </c>
      <c r="S880" s="2" t="s">
        <v>7590</v>
      </c>
      <c r="V880" s="2" t="s">
        <v>7591</v>
      </c>
      <c r="W880" s="2" t="s">
        <v>7592</v>
      </c>
      <c r="Y880" s="2" t="s">
        <v>64</v>
      </c>
      <c r="Z880" s="2" t="s">
        <v>65</v>
      </c>
      <c r="AA880" s="2" t="s">
        <v>66</v>
      </c>
      <c r="AC880" s="2" t="s">
        <v>67</v>
      </c>
      <c r="AD880" s="2" t="s">
        <v>68</v>
      </c>
      <c r="AE880" s="2" t="s">
        <v>69</v>
      </c>
      <c r="AF880" s="2" t="s">
        <v>70</v>
      </c>
      <c r="AG880" s="2" t="s">
        <v>4877</v>
      </c>
      <c r="AK880" s="2" t="s">
        <v>7596</v>
      </c>
      <c r="AM880" s="2" t="s">
        <v>72</v>
      </c>
      <c r="AN880" s="2" t="s">
        <v>283</v>
      </c>
      <c r="AP880" s="2" t="s">
        <v>3758</v>
      </c>
      <c r="AU880" s="2" t="s">
        <v>75</v>
      </c>
      <c r="AW880" s="2" t="s">
        <v>7593</v>
      </c>
      <c r="AZ880" s="2" t="s">
        <v>116</v>
      </c>
    </row>
    <row r="881" spans="1:52" s="3" customFormat="1" x14ac:dyDescent="0.35">
      <c r="A881" s="2" t="s">
        <v>7597</v>
      </c>
      <c r="B881" s="4">
        <v>242302</v>
      </c>
      <c r="C881" s="2" t="s">
        <v>7598</v>
      </c>
      <c r="D881" s="2">
        <f t="shared" si="13"/>
        <v>2</v>
      </c>
      <c r="F881" s="2" t="s">
        <v>7423</v>
      </c>
      <c r="G881" s="2" t="s">
        <v>53</v>
      </c>
      <c r="H881" s="4">
        <v>1</v>
      </c>
      <c r="I881" s="4">
        <v>1</v>
      </c>
      <c r="J881" s="4">
        <v>0</v>
      </c>
      <c r="L881" s="4">
        <v>0</v>
      </c>
      <c r="M881" s="2" t="s">
        <v>55</v>
      </c>
      <c r="N881" s="2" t="s">
        <v>56</v>
      </c>
      <c r="O881" s="2" t="s">
        <v>57</v>
      </c>
      <c r="P881" s="2" t="s">
        <v>6234</v>
      </c>
      <c r="Q881" s="2" t="s">
        <v>6235</v>
      </c>
      <c r="R881" s="2" t="s">
        <v>7599</v>
      </c>
      <c r="S881" s="2" t="s">
        <v>7600</v>
      </c>
      <c r="V881" s="2" t="s">
        <v>7601</v>
      </c>
      <c r="W881" s="2" t="s">
        <v>7602</v>
      </c>
      <c r="Y881" s="2" t="s">
        <v>64</v>
      </c>
      <c r="Z881" s="2" t="s">
        <v>65</v>
      </c>
      <c r="AA881" s="2" t="s">
        <v>66</v>
      </c>
      <c r="AC881" s="2" t="s">
        <v>67</v>
      </c>
      <c r="AD881" s="2" t="s">
        <v>68</v>
      </c>
      <c r="AE881" s="2" t="s">
        <v>69</v>
      </c>
      <c r="AF881" s="2" t="s">
        <v>70</v>
      </c>
      <c r="AG881" s="2" t="s">
        <v>6234</v>
      </c>
      <c r="AK881" s="2" t="s">
        <v>7603</v>
      </c>
      <c r="AM881" s="2" t="s">
        <v>72</v>
      </c>
      <c r="AN881" s="2" t="s">
        <v>73</v>
      </c>
      <c r="AP881" s="2" t="s">
        <v>4546</v>
      </c>
      <c r="AU881" s="2" t="s">
        <v>75</v>
      </c>
      <c r="AW881" s="2" t="s">
        <v>7604</v>
      </c>
      <c r="AZ881" s="2" t="s">
        <v>116</v>
      </c>
    </row>
    <row r="882" spans="1:52" s="3" customFormat="1" x14ac:dyDescent="0.35">
      <c r="A882" s="2" t="s">
        <v>7605</v>
      </c>
      <c r="B882" s="4">
        <v>242299</v>
      </c>
      <c r="C882" s="2" t="s">
        <v>7606</v>
      </c>
      <c r="D882" s="2">
        <f t="shared" si="13"/>
        <v>2</v>
      </c>
      <c r="F882" s="2" t="s">
        <v>7423</v>
      </c>
      <c r="G882" s="2" t="s">
        <v>53</v>
      </c>
      <c r="H882" s="4">
        <v>1</v>
      </c>
      <c r="I882" s="4">
        <v>1</v>
      </c>
      <c r="J882" s="4">
        <v>0</v>
      </c>
      <c r="L882" s="4">
        <v>0</v>
      </c>
      <c r="M882" s="2" t="s">
        <v>55</v>
      </c>
      <c r="N882" s="2" t="s">
        <v>56</v>
      </c>
      <c r="O882" s="2" t="s">
        <v>57</v>
      </c>
      <c r="P882" s="2" t="s">
        <v>7285</v>
      </c>
      <c r="Q882" s="2" t="s">
        <v>7286</v>
      </c>
      <c r="R882" s="2" t="s">
        <v>7607</v>
      </c>
      <c r="S882" s="2" t="s">
        <v>7608</v>
      </c>
      <c r="V882" s="2" t="s">
        <v>7609</v>
      </c>
      <c r="W882" s="2" t="s">
        <v>7610</v>
      </c>
      <c r="Y882" s="2" t="s">
        <v>64</v>
      </c>
      <c r="Z882" s="2" t="s">
        <v>65</v>
      </c>
      <c r="AA882" s="2" t="s">
        <v>66</v>
      </c>
      <c r="AC882" s="2" t="s">
        <v>67</v>
      </c>
      <c r="AD882" s="2" t="s">
        <v>68</v>
      </c>
      <c r="AE882" s="2" t="s">
        <v>69</v>
      </c>
      <c r="AF882" s="2" t="s">
        <v>70</v>
      </c>
      <c r="AG882" s="2" t="s">
        <v>7285</v>
      </c>
      <c r="AK882" s="2" t="s">
        <v>7611</v>
      </c>
      <c r="AM882" s="2" t="s">
        <v>72</v>
      </c>
      <c r="AN882" s="2" t="s">
        <v>73</v>
      </c>
      <c r="AP882" s="2" t="s">
        <v>7236</v>
      </c>
      <c r="AT882" s="2" t="s">
        <v>114</v>
      </c>
      <c r="AU882" s="2" t="s">
        <v>75</v>
      </c>
      <c r="AW882" s="2" t="s">
        <v>7612</v>
      </c>
      <c r="AZ882" s="2" t="s">
        <v>116</v>
      </c>
    </row>
    <row r="883" spans="1:52" s="3" customFormat="1" x14ac:dyDescent="0.35">
      <c r="A883" s="2" t="s">
        <v>7613</v>
      </c>
      <c r="B883" s="4">
        <v>242296</v>
      </c>
      <c r="C883" s="2" t="s">
        <v>7614</v>
      </c>
      <c r="D883" s="2">
        <f t="shared" si="13"/>
        <v>2</v>
      </c>
      <c r="F883" s="2" t="s">
        <v>7423</v>
      </c>
      <c r="G883" s="2" t="s">
        <v>53</v>
      </c>
      <c r="H883" s="4">
        <v>1</v>
      </c>
      <c r="I883" s="4">
        <v>1</v>
      </c>
      <c r="J883" s="4">
        <v>0</v>
      </c>
      <c r="L883" s="4">
        <v>0</v>
      </c>
      <c r="M883" s="2" t="s">
        <v>55</v>
      </c>
      <c r="N883" s="2" t="s">
        <v>56</v>
      </c>
      <c r="O883" s="2" t="s">
        <v>57</v>
      </c>
      <c r="P883" s="2" t="s">
        <v>7285</v>
      </c>
      <c r="Q883" s="2" t="s">
        <v>7286</v>
      </c>
      <c r="R883" s="2" t="s">
        <v>7615</v>
      </c>
      <c r="S883" s="2" t="s">
        <v>7616</v>
      </c>
      <c r="V883" s="2" t="s">
        <v>7617</v>
      </c>
      <c r="W883" s="2" t="s">
        <v>7618</v>
      </c>
      <c r="Y883" s="2" t="s">
        <v>64</v>
      </c>
      <c r="Z883" s="2" t="s">
        <v>65</v>
      </c>
      <c r="AA883" s="2" t="s">
        <v>66</v>
      </c>
      <c r="AC883" s="2" t="s">
        <v>67</v>
      </c>
      <c r="AD883" s="2" t="s">
        <v>68</v>
      </c>
      <c r="AE883" s="2" t="s">
        <v>69</v>
      </c>
      <c r="AF883" s="2" t="s">
        <v>70</v>
      </c>
      <c r="AG883" s="2" t="s">
        <v>7285</v>
      </c>
      <c r="AK883" s="2" t="s">
        <v>7619</v>
      </c>
      <c r="AM883" s="2" t="s">
        <v>72</v>
      </c>
      <c r="AN883" s="2" t="s">
        <v>73</v>
      </c>
      <c r="AP883" s="2" t="s">
        <v>7236</v>
      </c>
      <c r="AT883" s="2" t="s">
        <v>114</v>
      </c>
      <c r="AU883" s="2" t="s">
        <v>75</v>
      </c>
      <c r="AW883" s="2" t="s">
        <v>7620</v>
      </c>
      <c r="AZ883" s="2" t="s">
        <v>116</v>
      </c>
    </row>
    <row r="884" spans="1:52" s="3" customFormat="1" x14ac:dyDescent="0.35">
      <c r="A884" s="2" t="s">
        <v>7622</v>
      </c>
      <c r="B884" s="4">
        <v>242225</v>
      </c>
      <c r="C884" s="2" t="s">
        <v>7623</v>
      </c>
      <c r="D884" s="2">
        <f t="shared" si="13"/>
        <v>2</v>
      </c>
      <c r="F884" s="2" t="s">
        <v>7621</v>
      </c>
      <c r="G884" s="2" t="s">
        <v>53</v>
      </c>
      <c r="H884" s="4">
        <v>1</v>
      </c>
      <c r="I884" s="4">
        <v>1</v>
      </c>
      <c r="J884" s="5">
        <v>35000</v>
      </c>
      <c r="K884" s="2" t="s">
        <v>1252</v>
      </c>
      <c r="L884" s="5">
        <v>32847.5</v>
      </c>
      <c r="M884" s="2" t="s">
        <v>55</v>
      </c>
      <c r="N884" s="2" t="s">
        <v>1253</v>
      </c>
      <c r="O884" s="2" t="s">
        <v>1254</v>
      </c>
      <c r="P884" s="2" t="s">
        <v>7624</v>
      </c>
      <c r="Q884" s="2" t="s">
        <v>7625</v>
      </c>
      <c r="R884" s="2" t="s">
        <v>7626</v>
      </c>
      <c r="T884" s="2" t="s">
        <v>7627</v>
      </c>
      <c r="U884" s="2" t="s">
        <v>7628</v>
      </c>
      <c r="V884" s="2" t="s">
        <v>7629</v>
      </c>
      <c r="W884" s="2" t="s">
        <v>7630</v>
      </c>
      <c r="X884" s="2" t="s">
        <v>7631</v>
      </c>
      <c r="Y884" s="2" t="s">
        <v>7632</v>
      </c>
      <c r="Z884" s="2" t="s">
        <v>7633</v>
      </c>
      <c r="AA884" s="2" t="s">
        <v>1624</v>
      </c>
      <c r="AB884" s="2" t="s">
        <v>7634</v>
      </c>
      <c r="AC884" s="2" t="s">
        <v>7635</v>
      </c>
      <c r="AD884" s="2" t="s">
        <v>3424</v>
      </c>
      <c r="AE884" s="2" t="s">
        <v>3425</v>
      </c>
      <c r="AF884" s="2" t="s">
        <v>70</v>
      </c>
      <c r="AG884" s="2" t="s">
        <v>7624</v>
      </c>
      <c r="AK884" s="2" t="s">
        <v>7636</v>
      </c>
      <c r="AM884" s="2" t="s">
        <v>72</v>
      </c>
      <c r="AN884" s="2" t="s">
        <v>595</v>
      </c>
      <c r="AP884" s="2" t="s">
        <v>7423</v>
      </c>
      <c r="AU884" s="2" t="s">
        <v>75</v>
      </c>
      <c r="AV884" s="2" t="s">
        <v>7637</v>
      </c>
      <c r="AW884" s="2" t="s">
        <v>7638</v>
      </c>
      <c r="AX884" s="2" t="s">
        <v>77</v>
      </c>
      <c r="AZ884" s="2" t="s">
        <v>77</v>
      </c>
    </row>
    <row r="885" spans="1:52" s="3" customFormat="1" x14ac:dyDescent="0.35">
      <c r="A885" s="2" t="s">
        <v>7639</v>
      </c>
      <c r="B885" s="4">
        <v>242210</v>
      </c>
      <c r="C885" s="2" t="s">
        <v>7640</v>
      </c>
      <c r="D885" s="2">
        <f t="shared" si="13"/>
        <v>2</v>
      </c>
      <c r="F885" s="2" t="s">
        <v>7621</v>
      </c>
      <c r="G885" s="2" t="s">
        <v>53</v>
      </c>
      <c r="H885" s="4">
        <v>1</v>
      </c>
      <c r="I885" s="4">
        <v>1</v>
      </c>
      <c r="J885" s="4">
        <v>0</v>
      </c>
      <c r="L885" s="4">
        <v>0</v>
      </c>
      <c r="M885" s="2" t="s">
        <v>55</v>
      </c>
      <c r="N885" s="2" t="s">
        <v>56</v>
      </c>
      <c r="O885" s="2" t="s">
        <v>57</v>
      </c>
      <c r="P885" s="2" t="s">
        <v>3335</v>
      </c>
      <c r="Q885" s="2" t="s">
        <v>3336</v>
      </c>
      <c r="R885" s="2" t="s">
        <v>7641</v>
      </c>
      <c r="T885" s="2" t="s">
        <v>7642</v>
      </c>
      <c r="U885" s="2" t="s">
        <v>7643</v>
      </c>
      <c r="V885" s="2" t="s">
        <v>7644</v>
      </c>
      <c r="W885" s="2" t="s">
        <v>7645</v>
      </c>
      <c r="X885" s="2" t="s">
        <v>7646</v>
      </c>
      <c r="Y885" s="2" t="s">
        <v>7647</v>
      </c>
      <c r="Z885" s="2" t="s">
        <v>7648</v>
      </c>
      <c r="AA885" s="2" t="s">
        <v>7649</v>
      </c>
      <c r="AB885" s="2" t="s">
        <v>7650</v>
      </c>
      <c r="AC885" s="2" t="s">
        <v>7651</v>
      </c>
      <c r="AD885" s="2" t="s">
        <v>7652</v>
      </c>
      <c r="AE885" s="2" t="s">
        <v>1403</v>
      </c>
      <c r="AF885" s="2" t="s">
        <v>70</v>
      </c>
      <c r="AG885" s="2" t="s">
        <v>7653</v>
      </c>
      <c r="AK885" s="2" t="s">
        <v>7654</v>
      </c>
      <c r="AM885" s="2" t="s">
        <v>72</v>
      </c>
      <c r="AN885" s="2" t="s">
        <v>283</v>
      </c>
      <c r="AP885" s="2" t="s">
        <v>3341</v>
      </c>
      <c r="AT885" s="2" t="s">
        <v>114</v>
      </c>
      <c r="AU885" s="2" t="s">
        <v>75</v>
      </c>
      <c r="AW885" s="2" t="s">
        <v>7655</v>
      </c>
      <c r="AZ885" s="2" t="s">
        <v>116</v>
      </c>
    </row>
    <row r="886" spans="1:52" s="3" customFormat="1" x14ac:dyDescent="0.35">
      <c r="A886" s="2" t="s">
        <v>7672</v>
      </c>
      <c r="B886" s="4">
        <v>242199</v>
      </c>
      <c r="C886" s="2" t="s">
        <v>7656</v>
      </c>
      <c r="D886" s="2">
        <f t="shared" si="13"/>
        <v>2</v>
      </c>
      <c r="F886" s="2" t="s">
        <v>7621</v>
      </c>
      <c r="G886" s="2" t="s">
        <v>53</v>
      </c>
      <c r="H886" s="4">
        <v>1</v>
      </c>
      <c r="I886" s="4">
        <v>1</v>
      </c>
      <c r="J886" s="5">
        <v>102000</v>
      </c>
      <c r="K886" s="2" t="s">
        <v>1252</v>
      </c>
      <c r="L886" s="5">
        <v>239317.5</v>
      </c>
      <c r="M886" s="2" t="s">
        <v>55</v>
      </c>
      <c r="N886" s="2" t="s">
        <v>1253</v>
      </c>
      <c r="O886" s="2" t="s">
        <v>1254</v>
      </c>
      <c r="P886" s="2" t="s">
        <v>7657</v>
      </c>
      <c r="Q886" s="2" t="s">
        <v>7658</v>
      </c>
      <c r="R886" s="2" t="s">
        <v>7659</v>
      </c>
      <c r="T886" s="2" t="s">
        <v>7660</v>
      </c>
      <c r="U886" s="2" t="s">
        <v>7661</v>
      </c>
      <c r="V886" s="2" t="s">
        <v>7662</v>
      </c>
      <c r="W886" s="2" t="s">
        <v>7663</v>
      </c>
      <c r="X886" s="2" t="s">
        <v>7663</v>
      </c>
      <c r="Y886" s="2" t="s">
        <v>7664</v>
      </c>
      <c r="Z886" s="2" t="s">
        <v>7665</v>
      </c>
      <c r="AA886" s="2" t="s">
        <v>1624</v>
      </c>
      <c r="AB886" s="2" t="s">
        <v>7666</v>
      </c>
      <c r="AC886" s="2" t="s">
        <v>2151</v>
      </c>
      <c r="AD886" s="2" t="s">
        <v>68</v>
      </c>
      <c r="AE886" s="2" t="s">
        <v>69</v>
      </c>
      <c r="AF886" s="2" t="s">
        <v>70</v>
      </c>
      <c r="AG886" s="2" t="s">
        <v>7673</v>
      </c>
      <c r="AK886" s="2" t="s">
        <v>7674</v>
      </c>
      <c r="AM886" s="2" t="s">
        <v>72</v>
      </c>
      <c r="AN886" s="2" t="s">
        <v>595</v>
      </c>
      <c r="AP886" s="2" t="s">
        <v>7143</v>
      </c>
      <c r="AU886" s="2" t="s">
        <v>75</v>
      </c>
      <c r="AV886" s="2" t="s">
        <v>7667</v>
      </c>
      <c r="AW886" s="2" t="s">
        <v>7668</v>
      </c>
      <c r="AX886" s="2" t="s">
        <v>477</v>
      </c>
      <c r="AZ886" s="2" t="s">
        <v>4750</v>
      </c>
    </row>
    <row r="887" spans="1:52" s="3" customFormat="1" x14ac:dyDescent="0.35">
      <c r="A887" s="2" t="s">
        <v>7672</v>
      </c>
      <c r="B887" s="4">
        <v>242199</v>
      </c>
      <c r="C887" s="2" t="s">
        <v>7656</v>
      </c>
      <c r="D887" s="2">
        <f t="shared" si="13"/>
        <v>2</v>
      </c>
      <c r="F887" s="2" t="s">
        <v>7621</v>
      </c>
      <c r="G887" s="2" t="s">
        <v>53</v>
      </c>
      <c r="H887" s="4">
        <v>1</v>
      </c>
      <c r="I887" s="4">
        <v>1</v>
      </c>
      <c r="J887" s="5">
        <v>153000</v>
      </c>
      <c r="K887" s="2" t="s">
        <v>1252</v>
      </c>
      <c r="L887" s="5">
        <v>239317.5</v>
      </c>
      <c r="M887" s="2" t="s">
        <v>55</v>
      </c>
      <c r="N887" s="2" t="s">
        <v>1253</v>
      </c>
      <c r="O887" s="2" t="s">
        <v>1254</v>
      </c>
      <c r="P887" s="2" t="s">
        <v>7657</v>
      </c>
      <c r="Q887" s="2" t="s">
        <v>7669</v>
      </c>
      <c r="R887" s="2" t="s">
        <v>7659</v>
      </c>
      <c r="T887" s="2" t="s">
        <v>7660</v>
      </c>
      <c r="U887" s="2" t="s">
        <v>7661</v>
      </c>
      <c r="V887" s="2" t="s">
        <v>7662</v>
      </c>
      <c r="W887" s="2" t="s">
        <v>7663</v>
      </c>
      <c r="X887" s="2" t="s">
        <v>7663</v>
      </c>
      <c r="Y887" s="2" t="s">
        <v>7664</v>
      </c>
      <c r="Z887" s="2" t="s">
        <v>7665</v>
      </c>
      <c r="AA887" s="2" t="s">
        <v>1624</v>
      </c>
      <c r="AB887" s="2" t="s">
        <v>7666</v>
      </c>
      <c r="AC887" s="2" t="s">
        <v>2151</v>
      </c>
      <c r="AD887" s="2" t="s">
        <v>68</v>
      </c>
      <c r="AE887" s="2" t="s">
        <v>69</v>
      </c>
      <c r="AF887" s="2" t="s">
        <v>70</v>
      </c>
      <c r="AG887" s="2" t="s">
        <v>7673</v>
      </c>
      <c r="AK887" s="2" t="s">
        <v>7674</v>
      </c>
      <c r="AM887" s="2" t="s">
        <v>72</v>
      </c>
      <c r="AN887" s="2" t="s">
        <v>595</v>
      </c>
      <c r="AP887" s="2" t="s">
        <v>7670</v>
      </c>
      <c r="AU887" s="2" t="s">
        <v>75</v>
      </c>
      <c r="AV887" s="2" t="s">
        <v>7667</v>
      </c>
      <c r="AW887" s="2" t="s">
        <v>7668</v>
      </c>
      <c r="AX887" s="2" t="s">
        <v>477</v>
      </c>
      <c r="AZ887" s="2" t="s">
        <v>4750</v>
      </c>
    </row>
    <row r="888" spans="1:52" s="3" customFormat="1" x14ac:dyDescent="0.35">
      <c r="A888" s="2" t="s">
        <v>7672</v>
      </c>
      <c r="B888" s="4">
        <v>242199</v>
      </c>
      <c r="C888" s="2" t="s">
        <v>7656</v>
      </c>
      <c r="D888" s="2">
        <f t="shared" si="13"/>
        <v>2</v>
      </c>
      <c r="F888" s="2" t="s">
        <v>7621</v>
      </c>
      <c r="G888" s="2" t="s">
        <v>53</v>
      </c>
      <c r="H888" s="4">
        <v>1</v>
      </c>
      <c r="I888" s="4">
        <v>1</v>
      </c>
      <c r="J888" s="4">
        <v>0</v>
      </c>
      <c r="K888" s="2" t="s">
        <v>1252</v>
      </c>
      <c r="L888" s="5">
        <v>239317.5</v>
      </c>
      <c r="M888" s="2" t="s">
        <v>55</v>
      </c>
      <c r="N888" s="2" t="s">
        <v>1253</v>
      </c>
      <c r="O888" s="2" t="s">
        <v>1254</v>
      </c>
      <c r="P888" s="2" t="s">
        <v>7657</v>
      </c>
      <c r="Q888" s="2" t="s">
        <v>7671</v>
      </c>
      <c r="R888" s="2" t="s">
        <v>7659</v>
      </c>
      <c r="T888" s="2" t="s">
        <v>7660</v>
      </c>
      <c r="U888" s="2" t="s">
        <v>7661</v>
      </c>
      <c r="V888" s="2" t="s">
        <v>7662</v>
      </c>
      <c r="W888" s="2" t="s">
        <v>7663</v>
      </c>
      <c r="X888" s="2" t="s">
        <v>7663</v>
      </c>
      <c r="Y888" s="2" t="s">
        <v>7664</v>
      </c>
      <c r="Z888" s="2" t="s">
        <v>7665</v>
      </c>
      <c r="AA888" s="2" t="s">
        <v>1624</v>
      </c>
      <c r="AB888" s="2" t="s">
        <v>7666</v>
      </c>
      <c r="AC888" s="2" t="s">
        <v>2151</v>
      </c>
      <c r="AD888" s="2" t="s">
        <v>68</v>
      </c>
      <c r="AE888" s="2" t="s">
        <v>69</v>
      </c>
      <c r="AF888" s="2" t="s">
        <v>70</v>
      </c>
      <c r="AG888" s="2" t="s">
        <v>7673</v>
      </c>
      <c r="AK888" s="2" t="s">
        <v>7674</v>
      </c>
      <c r="AM888" s="2" t="s">
        <v>72</v>
      </c>
      <c r="AN888" s="2" t="s">
        <v>595</v>
      </c>
      <c r="AP888" s="2" t="s">
        <v>7670</v>
      </c>
      <c r="AU888" s="2" t="s">
        <v>75</v>
      </c>
      <c r="AV888" s="2" t="s">
        <v>7667</v>
      </c>
      <c r="AW888" s="2" t="s">
        <v>7668</v>
      </c>
      <c r="AX888" s="2" t="s">
        <v>477</v>
      </c>
      <c r="AZ888" s="2" t="s">
        <v>4750</v>
      </c>
    </row>
    <row r="889" spans="1:52" s="3" customFormat="1" x14ac:dyDescent="0.35">
      <c r="A889" s="2" t="s">
        <v>7675</v>
      </c>
      <c r="B889" s="4">
        <v>242179</v>
      </c>
      <c r="C889" s="2" t="s">
        <v>7676</v>
      </c>
      <c r="D889" s="2">
        <f t="shared" si="13"/>
        <v>2</v>
      </c>
      <c r="G889" s="2" t="s">
        <v>53</v>
      </c>
      <c r="H889" s="4">
        <v>1</v>
      </c>
      <c r="I889" s="4">
        <v>1</v>
      </c>
      <c r="J889" s="4">
        <v>0</v>
      </c>
      <c r="L889" s="4">
        <v>0</v>
      </c>
      <c r="M889" s="2" t="s">
        <v>55</v>
      </c>
      <c r="N889" s="2" t="s">
        <v>56</v>
      </c>
      <c r="O889" s="2" t="s">
        <v>57</v>
      </c>
      <c r="P889" s="2" t="s">
        <v>7677</v>
      </c>
      <c r="Q889" s="2" t="s">
        <v>7678</v>
      </c>
      <c r="R889" s="2" t="s">
        <v>7679</v>
      </c>
      <c r="S889" s="2" t="s">
        <v>3920</v>
      </c>
      <c r="V889" s="2" t="s">
        <v>7680</v>
      </c>
      <c r="W889" s="2" t="s">
        <v>3922</v>
      </c>
      <c r="Y889" s="2" t="s">
        <v>64</v>
      </c>
      <c r="Z889" s="2" t="s">
        <v>65</v>
      </c>
      <c r="AA889" s="2" t="s">
        <v>66</v>
      </c>
      <c r="AC889" s="2" t="s">
        <v>67</v>
      </c>
      <c r="AD889" s="2" t="s">
        <v>68</v>
      </c>
      <c r="AE889" s="2" t="s">
        <v>69</v>
      </c>
      <c r="AF889" s="2" t="s">
        <v>70</v>
      </c>
      <c r="AG889" s="2" t="s">
        <v>7677</v>
      </c>
      <c r="AK889" s="2" t="s">
        <v>7681</v>
      </c>
      <c r="AM889" s="2" t="s">
        <v>72</v>
      </c>
      <c r="AN889" s="2" t="s">
        <v>232</v>
      </c>
      <c r="AP889" s="2" t="s">
        <v>7682</v>
      </c>
      <c r="AU889" s="2" t="s">
        <v>75</v>
      </c>
      <c r="AW889" s="2" t="s">
        <v>3928</v>
      </c>
      <c r="AZ889" s="2" t="s">
        <v>116</v>
      </c>
    </row>
    <row r="890" spans="1:52" s="3" customFormat="1" x14ac:dyDescent="0.35">
      <c r="A890" s="2" t="s">
        <v>7683</v>
      </c>
      <c r="B890" s="4">
        <v>242178</v>
      </c>
      <c r="C890" s="2" t="s">
        <v>7684</v>
      </c>
      <c r="D890" s="2">
        <f t="shared" si="13"/>
        <v>2</v>
      </c>
      <c r="F890" s="2" t="s">
        <v>7621</v>
      </c>
      <c r="G890" s="2" t="s">
        <v>53</v>
      </c>
      <c r="H890" s="4">
        <v>2</v>
      </c>
      <c r="I890" s="4">
        <v>1</v>
      </c>
      <c r="J890" s="4">
        <v>0</v>
      </c>
      <c r="L890" s="4">
        <v>0</v>
      </c>
      <c r="M890" s="2" t="s">
        <v>55</v>
      </c>
      <c r="N890" s="2" t="s">
        <v>56</v>
      </c>
      <c r="O890" s="2" t="s">
        <v>57</v>
      </c>
      <c r="P890" s="2" t="s">
        <v>4633</v>
      </c>
      <c r="Q890" s="2" t="s">
        <v>4634</v>
      </c>
      <c r="R890" s="2" t="s">
        <v>7685</v>
      </c>
      <c r="T890" s="2" t="s">
        <v>1372</v>
      </c>
      <c r="U890" s="2" t="s">
        <v>1373</v>
      </c>
      <c r="V890" s="2" t="s">
        <v>7686</v>
      </c>
      <c r="W890" s="2" t="s">
        <v>4696</v>
      </c>
      <c r="X890" s="2" t="s">
        <v>4697</v>
      </c>
      <c r="Y890" s="2" t="s">
        <v>1377</v>
      </c>
      <c r="Z890" s="2" t="s">
        <v>1378</v>
      </c>
      <c r="AA890" s="2" t="s">
        <v>1379</v>
      </c>
      <c r="AC890" s="2" t="s">
        <v>1380</v>
      </c>
      <c r="AD890" s="2" t="s">
        <v>1381</v>
      </c>
      <c r="AE890" s="2" t="s">
        <v>69</v>
      </c>
      <c r="AF890" s="2" t="s">
        <v>70</v>
      </c>
      <c r="AG890" s="2" t="s">
        <v>2166</v>
      </c>
      <c r="AK890" s="2" t="s">
        <v>7687</v>
      </c>
      <c r="AM890" s="2" t="s">
        <v>72</v>
      </c>
      <c r="AN890" s="2" t="s">
        <v>1046</v>
      </c>
      <c r="AP890" s="2" t="s">
        <v>4546</v>
      </c>
      <c r="AU890" s="2" t="s">
        <v>75</v>
      </c>
      <c r="AV890" s="2" t="s">
        <v>1385</v>
      </c>
      <c r="AW890" s="2" t="s">
        <v>1386</v>
      </c>
      <c r="AZ890" s="2" t="s">
        <v>116</v>
      </c>
    </row>
    <row r="891" spans="1:52" s="3" customFormat="1" x14ac:dyDescent="0.35">
      <c r="A891" s="2" t="s">
        <v>7688</v>
      </c>
      <c r="B891" s="4">
        <v>242176</v>
      </c>
      <c r="C891" s="2" t="s">
        <v>7689</v>
      </c>
      <c r="D891" s="2">
        <f t="shared" si="13"/>
        <v>2</v>
      </c>
      <c r="F891" s="2" t="s">
        <v>7621</v>
      </c>
      <c r="G891" s="2" t="s">
        <v>53</v>
      </c>
      <c r="H891" s="4">
        <v>10</v>
      </c>
      <c r="I891" s="4">
        <v>1</v>
      </c>
      <c r="J891" s="4">
        <v>0</v>
      </c>
      <c r="L891" s="4">
        <v>0</v>
      </c>
      <c r="M891" s="2" t="s">
        <v>55</v>
      </c>
      <c r="N891" s="2" t="s">
        <v>56</v>
      </c>
      <c r="O891" s="2" t="s">
        <v>57</v>
      </c>
      <c r="P891" s="2" t="s">
        <v>4633</v>
      </c>
      <c r="Q891" s="2" t="s">
        <v>4634</v>
      </c>
      <c r="R891" s="2" t="s">
        <v>7690</v>
      </c>
      <c r="T891" s="2" t="s">
        <v>1619</v>
      </c>
      <c r="U891" s="2" t="s">
        <v>1353</v>
      </c>
      <c r="V891" s="2" t="s">
        <v>7691</v>
      </c>
      <c r="W891" s="2" t="s">
        <v>7692</v>
      </c>
      <c r="X891" s="2" t="s">
        <v>7693</v>
      </c>
      <c r="Y891" s="2" t="s">
        <v>1622</v>
      </c>
      <c r="Z891" s="2" t="s">
        <v>7694</v>
      </c>
      <c r="AA891" s="2" t="s">
        <v>1624</v>
      </c>
      <c r="AB891" s="2" t="s">
        <v>7695</v>
      </c>
      <c r="AC891" s="2" t="s">
        <v>7696</v>
      </c>
      <c r="AD891" s="2" t="s">
        <v>1627</v>
      </c>
      <c r="AE891" s="2" t="s">
        <v>69</v>
      </c>
      <c r="AF891" s="2" t="s">
        <v>70</v>
      </c>
      <c r="AG891" s="2" t="s">
        <v>7697</v>
      </c>
      <c r="AK891" s="2" t="s">
        <v>7698</v>
      </c>
      <c r="AM891" s="2" t="s">
        <v>72</v>
      </c>
      <c r="AN891" s="2" t="s">
        <v>1046</v>
      </c>
      <c r="AP891" s="2" t="s">
        <v>4546</v>
      </c>
      <c r="AU891" s="2" t="s">
        <v>75</v>
      </c>
      <c r="AV891" s="2" t="s">
        <v>1629</v>
      </c>
      <c r="AW891" s="2" t="s">
        <v>1630</v>
      </c>
      <c r="AZ891" s="2" t="s">
        <v>116</v>
      </c>
    </row>
    <row r="892" spans="1:52" s="3" customFormat="1" x14ac:dyDescent="0.35">
      <c r="A892" s="2" t="s">
        <v>7699</v>
      </c>
      <c r="B892" s="4">
        <v>242148</v>
      </c>
      <c r="C892" s="2" t="s">
        <v>7700</v>
      </c>
      <c r="D892" s="2">
        <f t="shared" si="13"/>
        <v>2</v>
      </c>
      <c r="F892" s="2" t="s">
        <v>7621</v>
      </c>
      <c r="G892" s="2" t="s">
        <v>53</v>
      </c>
      <c r="H892" s="4">
        <v>1</v>
      </c>
      <c r="I892" s="4">
        <v>0</v>
      </c>
      <c r="J892" s="4">
        <v>0</v>
      </c>
      <c r="L892" s="4">
        <v>0</v>
      </c>
      <c r="N892" s="2" t="s">
        <v>56</v>
      </c>
      <c r="O892" s="2" t="s">
        <v>57</v>
      </c>
      <c r="P892" s="2" t="s">
        <v>4619</v>
      </c>
      <c r="Q892" s="2" t="s">
        <v>4620</v>
      </c>
      <c r="R892" s="2" t="s">
        <v>7701</v>
      </c>
      <c r="S892" s="2" t="s">
        <v>7702</v>
      </c>
      <c r="V892" s="2" t="s">
        <v>7703</v>
      </c>
      <c r="W892" s="2" t="s">
        <v>7704</v>
      </c>
      <c r="Y892" s="2" t="s">
        <v>7705</v>
      </c>
      <c r="Z892" s="2" t="s">
        <v>7706</v>
      </c>
      <c r="AA892" s="2" t="s">
        <v>7707</v>
      </c>
      <c r="AB892" s="2" t="s">
        <v>7708</v>
      </c>
      <c r="AC892" s="2" t="s">
        <v>7709</v>
      </c>
      <c r="AD892" s="2" t="s">
        <v>68</v>
      </c>
      <c r="AE892" s="2" t="s">
        <v>69</v>
      </c>
      <c r="AF892" s="2" t="s">
        <v>70</v>
      </c>
      <c r="AK892" s="2" t="s">
        <v>7710</v>
      </c>
      <c r="AL892" s="2" t="s">
        <v>4629</v>
      </c>
      <c r="AM892" s="2" t="s">
        <v>72</v>
      </c>
      <c r="AN892" s="2" t="s">
        <v>73</v>
      </c>
      <c r="AP892" s="2" t="s">
        <v>3341</v>
      </c>
      <c r="AT892" s="2" t="s">
        <v>114</v>
      </c>
      <c r="AU892" s="2" t="s">
        <v>75</v>
      </c>
      <c r="AW892" s="2" t="s">
        <v>7711</v>
      </c>
      <c r="AZ892" s="2" t="s">
        <v>116</v>
      </c>
    </row>
    <row r="893" spans="1:52" s="3" customFormat="1" x14ac:dyDescent="0.35">
      <c r="A893" s="2" t="s">
        <v>7712</v>
      </c>
      <c r="B893" s="4">
        <v>242143</v>
      </c>
      <c r="C893" s="2" t="s">
        <v>7713</v>
      </c>
      <c r="D893" s="2">
        <f t="shared" si="13"/>
        <v>2</v>
      </c>
      <c r="F893" s="2" t="s">
        <v>7621</v>
      </c>
      <c r="G893" s="2" t="s">
        <v>53</v>
      </c>
      <c r="H893" s="4">
        <v>1</v>
      </c>
      <c r="I893" s="4">
        <v>0</v>
      </c>
      <c r="J893" s="4">
        <v>0</v>
      </c>
      <c r="L893" s="4">
        <v>0</v>
      </c>
      <c r="N893" s="2" t="s">
        <v>56</v>
      </c>
      <c r="O893" s="2" t="s">
        <v>57</v>
      </c>
      <c r="P893" s="2" t="s">
        <v>4619</v>
      </c>
      <c r="Q893" s="2" t="s">
        <v>4620</v>
      </c>
      <c r="R893" s="2" t="s">
        <v>7701</v>
      </c>
      <c r="S893" s="2" t="s">
        <v>7702</v>
      </c>
      <c r="V893" s="2" t="s">
        <v>7703</v>
      </c>
      <c r="W893" s="2" t="s">
        <v>7704</v>
      </c>
      <c r="Y893" s="2" t="s">
        <v>7705</v>
      </c>
      <c r="Z893" s="2" t="s">
        <v>7706</v>
      </c>
      <c r="AA893" s="2" t="s">
        <v>7707</v>
      </c>
      <c r="AB893" s="2" t="s">
        <v>7708</v>
      </c>
      <c r="AC893" s="2" t="s">
        <v>7709</v>
      </c>
      <c r="AD893" s="2" t="s">
        <v>68</v>
      </c>
      <c r="AE893" s="2" t="s">
        <v>69</v>
      </c>
      <c r="AF893" s="2" t="s">
        <v>70</v>
      </c>
      <c r="AK893" s="2" t="s">
        <v>7714</v>
      </c>
      <c r="AL893" s="2" t="s">
        <v>4629</v>
      </c>
      <c r="AM893" s="2" t="s">
        <v>72</v>
      </c>
      <c r="AN893" s="2" t="s">
        <v>73</v>
      </c>
      <c r="AP893" s="2" t="s">
        <v>3341</v>
      </c>
      <c r="AT893" s="2" t="s">
        <v>114</v>
      </c>
      <c r="AU893" s="2" t="s">
        <v>75</v>
      </c>
      <c r="AW893" s="2" t="s">
        <v>7711</v>
      </c>
      <c r="AZ893" s="2" t="s">
        <v>116</v>
      </c>
    </row>
    <row r="894" spans="1:52" s="3" customFormat="1" x14ac:dyDescent="0.35">
      <c r="A894" s="2" t="s">
        <v>7715</v>
      </c>
      <c r="B894" s="4">
        <v>242098</v>
      </c>
      <c r="C894" s="2" t="s">
        <v>7716</v>
      </c>
      <c r="D894" s="2">
        <f t="shared" si="13"/>
        <v>2</v>
      </c>
      <c r="F894" s="2" t="s">
        <v>7717</v>
      </c>
      <c r="G894" s="2" t="s">
        <v>53</v>
      </c>
      <c r="H894" s="4">
        <v>1</v>
      </c>
      <c r="I894" s="4">
        <v>0</v>
      </c>
      <c r="J894" s="4">
        <v>0</v>
      </c>
      <c r="L894" s="4">
        <v>0</v>
      </c>
      <c r="N894" s="2" t="s">
        <v>56</v>
      </c>
      <c r="O894" s="2" t="s">
        <v>57</v>
      </c>
      <c r="P894" s="2" t="s">
        <v>4619</v>
      </c>
      <c r="Q894" s="2" t="s">
        <v>4620</v>
      </c>
      <c r="R894" s="2" t="s">
        <v>7718</v>
      </c>
      <c r="S894" s="2" t="s">
        <v>7719</v>
      </c>
      <c r="V894" s="2" t="s">
        <v>7720</v>
      </c>
      <c r="W894" s="2" t="s">
        <v>7721</v>
      </c>
      <c r="Y894" s="2" t="s">
        <v>7722</v>
      </c>
      <c r="Z894" s="2" t="s">
        <v>7723</v>
      </c>
      <c r="AA894" s="2" t="s">
        <v>7724</v>
      </c>
      <c r="AB894" s="2" t="s">
        <v>7725</v>
      </c>
      <c r="AC894" s="2" t="s">
        <v>7726</v>
      </c>
      <c r="AD894" s="2" t="s">
        <v>3756</v>
      </c>
      <c r="AE894" s="2" t="s">
        <v>2980</v>
      </c>
      <c r="AF894" s="2" t="s">
        <v>70</v>
      </c>
      <c r="AK894" s="2" t="s">
        <v>7727</v>
      </c>
      <c r="AL894" s="2" t="s">
        <v>4629</v>
      </c>
      <c r="AM894" s="2" t="s">
        <v>72</v>
      </c>
      <c r="AN894" s="2" t="s">
        <v>73</v>
      </c>
      <c r="AP894" s="2" t="s">
        <v>3341</v>
      </c>
      <c r="AT894" s="2" t="s">
        <v>114</v>
      </c>
      <c r="AU894" s="2" t="s">
        <v>75</v>
      </c>
      <c r="AV894" s="2" t="s">
        <v>7728</v>
      </c>
      <c r="AW894" s="2" t="s">
        <v>7729</v>
      </c>
      <c r="AZ894" s="2" t="s">
        <v>116</v>
      </c>
    </row>
    <row r="895" spans="1:52" s="3" customFormat="1" x14ac:dyDescent="0.35">
      <c r="A895" s="2" t="s">
        <v>7730</v>
      </c>
      <c r="B895" s="4">
        <v>242090</v>
      </c>
      <c r="C895" s="2" t="s">
        <v>7731</v>
      </c>
      <c r="D895" s="2">
        <f t="shared" si="13"/>
        <v>2</v>
      </c>
      <c r="F895" s="2" t="s">
        <v>7717</v>
      </c>
      <c r="G895" s="2" t="s">
        <v>53</v>
      </c>
      <c r="H895" s="4">
        <v>1</v>
      </c>
      <c r="I895" s="4">
        <v>0</v>
      </c>
      <c r="J895" s="4">
        <v>0</v>
      </c>
      <c r="L895" s="4">
        <v>0</v>
      </c>
      <c r="N895" s="2" t="s">
        <v>56</v>
      </c>
      <c r="O895" s="2" t="s">
        <v>57</v>
      </c>
      <c r="P895" s="2" t="s">
        <v>4619</v>
      </c>
      <c r="Q895" s="2" t="s">
        <v>4620</v>
      </c>
      <c r="R895" s="2" t="s">
        <v>7732</v>
      </c>
      <c r="S895" s="2" t="s">
        <v>7733</v>
      </c>
      <c r="V895" s="2" t="s">
        <v>7734</v>
      </c>
      <c r="W895" s="2" t="s">
        <v>7735</v>
      </c>
      <c r="Y895" s="2" t="s">
        <v>7736</v>
      </c>
      <c r="Z895" s="2" t="s">
        <v>7737</v>
      </c>
      <c r="AA895" s="2" t="s">
        <v>7738</v>
      </c>
      <c r="AC895" s="2" t="s">
        <v>7739</v>
      </c>
      <c r="AD895" s="2" t="s">
        <v>3756</v>
      </c>
      <c r="AE895" s="2" t="s">
        <v>2980</v>
      </c>
      <c r="AF895" s="2" t="s">
        <v>70</v>
      </c>
      <c r="AK895" s="2" t="s">
        <v>7740</v>
      </c>
      <c r="AL895" s="2" t="s">
        <v>4629</v>
      </c>
      <c r="AM895" s="2" t="s">
        <v>72</v>
      </c>
      <c r="AN895" s="2" t="s">
        <v>73</v>
      </c>
      <c r="AP895" s="2" t="s">
        <v>3341</v>
      </c>
      <c r="AT895" s="2" t="s">
        <v>114</v>
      </c>
      <c r="AU895" s="2" t="s">
        <v>75</v>
      </c>
      <c r="AW895" s="2" t="s">
        <v>7741</v>
      </c>
      <c r="AZ895" s="2" t="s">
        <v>116</v>
      </c>
    </row>
    <row r="896" spans="1:52" s="3" customFormat="1" x14ac:dyDescent="0.35">
      <c r="A896" s="2" t="s">
        <v>7742</v>
      </c>
      <c r="B896" s="4">
        <v>242027</v>
      </c>
      <c r="C896" s="2" t="s">
        <v>7743</v>
      </c>
      <c r="D896" s="2">
        <f t="shared" si="13"/>
        <v>2</v>
      </c>
      <c r="F896" s="2" t="s">
        <v>7717</v>
      </c>
      <c r="G896" s="2" t="s">
        <v>53</v>
      </c>
      <c r="H896" s="4">
        <v>1</v>
      </c>
      <c r="I896" s="4">
        <v>1</v>
      </c>
      <c r="J896" s="4">
        <v>0</v>
      </c>
      <c r="L896" s="4">
        <v>0</v>
      </c>
      <c r="M896" s="2" t="s">
        <v>55</v>
      </c>
      <c r="N896" s="2" t="s">
        <v>56</v>
      </c>
      <c r="O896" s="2" t="s">
        <v>57</v>
      </c>
      <c r="P896" s="2" t="s">
        <v>4633</v>
      </c>
      <c r="Q896" s="2" t="s">
        <v>4634</v>
      </c>
      <c r="R896" s="2" t="s">
        <v>7744</v>
      </c>
      <c r="S896" s="2" t="s">
        <v>7745</v>
      </c>
      <c r="V896" s="2" t="s">
        <v>7746</v>
      </c>
      <c r="W896" s="2" t="s">
        <v>5142</v>
      </c>
      <c r="Y896" s="2" t="s">
        <v>64</v>
      </c>
      <c r="Z896" s="2" t="s">
        <v>65</v>
      </c>
      <c r="AA896" s="2" t="s">
        <v>66</v>
      </c>
      <c r="AC896" s="2" t="s">
        <v>67</v>
      </c>
      <c r="AD896" s="2" t="s">
        <v>68</v>
      </c>
      <c r="AE896" s="2" t="s">
        <v>69</v>
      </c>
      <c r="AF896" s="2" t="s">
        <v>70</v>
      </c>
      <c r="AG896" s="2" t="s">
        <v>4633</v>
      </c>
      <c r="AK896" s="2" t="s">
        <v>7747</v>
      </c>
      <c r="AM896" s="2" t="s">
        <v>72</v>
      </c>
      <c r="AN896" s="2" t="s">
        <v>1383</v>
      </c>
      <c r="AP896" s="2" t="s">
        <v>4546</v>
      </c>
      <c r="AU896" s="2" t="s">
        <v>75</v>
      </c>
      <c r="AW896" s="2" t="s">
        <v>7748</v>
      </c>
      <c r="AZ896" s="2" t="s">
        <v>116</v>
      </c>
    </row>
    <row r="897" spans="1:52" s="3" customFormat="1" x14ac:dyDescent="0.35">
      <c r="A897" s="2" t="s">
        <v>7749</v>
      </c>
      <c r="B897" s="4">
        <v>242023</v>
      </c>
      <c r="C897" s="2" t="s">
        <v>7750</v>
      </c>
      <c r="D897" s="2">
        <f t="shared" si="13"/>
        <v>2</v>
      </c>
      <c r="F897" s="2" t="s">
        <v>7717</v>
      </c>
      <c r="G897" s="2" t="s">
        <v>53</v>
      </c>
      <c r="H897" s="4">
        <v>1</v>
      </c>
      <c r="I897" s="4">
        <v>0</v>
      </c>
      <c r="J897" s="4">
        <v>0</v>
      </c>
      <c r="L897" s="4">
        <v>0</v>
      </c>
      <c r="N897" s="2" t="s">
        <v>56</v>
      </c>
      <c r="O897" s="2" t="s">
        <v>57</v>
      </c>
      <c r="P897" s="2" t="s">
        <v>4619</v>
      </c>
      <c r="Q897" s="2" t="s">
        <v>4620</v>
      </c>
      <c r="R897" s="2" t="s">
        <v>7751</v>
      </c>
      <c r="S897" s="2" t="s">
        <v>7752</v>
      </c>
      <c r="V897" s="2" t="s">
        <v>7753</v>
      </c>
      <c r="W897" s="2" t="s">
        <v>7754</v>
      </c>
      <c r="Y897" s="2" t="s">
        <v>7755</v>
      </c>
      <c r="Z897" s="2" t="s">
        <v>7756</v>
      </c>
      <c r="AA897" s="2" t="s">
        <v>7757</v>
      </c>
      <c r="AB897" s="2" t="s">
        <v>7758</v>
      </c>
      <c r="AC897" s="2" t="s">
        <v>7759</v>
      </c>
      <c r="AD897" s="2" t="s">
        <v>7760</v>
      </c>
      <c r="AE897" s="2" t="s">
        <v>69</v>
      </c>
      <c r="AF897" s="2" t="s">
        <v>70</v>
      </c>
      <c r="AK897" s="2" t="s">
        <v>7761</v>
      </c>
      <c r="AL897" s="2" t="s">
        <v>4629</v>
      </c>
      <c r="AM897" s="2" t="s">
        <v>72</v>
      </c>
      <c r="AN897" s="2" t="s">
        <v>73</v>
      </c>
      <c r="AP897" s="2" t="s">
        <v>3341</v>
      </c>
      <c r="AT897" s="2" t="s">
        <v>114</v>
      </c>
      <c r="AU897" s="2" t="s">
        <v>75</v>
      </c>
      <c r="AW897" s="2" t="s">
        <v>7762</v>
      </c>
      <c r="AZ897" s="2" t="s">
        <v>116</v>
      </c>
    </row>
    <row r="898" spans="1:52" s="3" customFormat="1" x14ac:dyDescent="0.35">
      <c r="A898" s="2" t="s">
        <v>7763</v>
      </c>
      <c r="B898" s="4">
        <v>246806</v>
      </c>
      <c r="C898" s="2" t="s">
        <v>7764</v>
      </c>
      <c r="D898" s="2">
        <f t="shared" si="13"/>
        <v>2</v>
      </c>
      <c r="F898" s="2" t="s">
        <v>6157</v>
      </c>
      <c r="G898" s="2" t="s">
        <v>53</v>
      </c>
      <c r="H898" s="4">
        <v>1</v>
      </c>
      <c r="I898" s="4">
        <v>1</v>
      </c>
      <c r="J898" s="5">
        <v>158780</v>
      </c>
      <c r="L898" s="5">
        <v>158780</v>
      </c>
      <c r="M898" s="2" t="s">
        <v>55</v>
      </c>
      <c r="N898" s="2" t="s">
        <v>458</v>
      </c>
      <c r="O898" s="2" t="s">
        <v>459</v>
      </c>
      <c r="P898" s="2" t="s">
        <v>3166</v>
      </c>
      <c r="Q898" s="2" t="s">
        <v>3167</v>
      </c>
      <c r="R898" s="2" t="s">
        <v>3168</v>
      </c>
      <c r="T898" s="2" t="s">
        <v>1035</v>
      </c>
      <c r="U898" s="2" t="s">
        <v>1036</v>
      </c>
      <c r="V898" s="2" t="s">
        <v>3169</v>
      </c>
      <c r="W898" s="2" t="s">
        <v>3170</v>
      </c>
      <c r="X898" s="2" t="s">
        <v>2420</v>
      </c>
      <c r="Y898" s="2" t="s">
        <v>1040</v>
      </c>
      <c r="Z898" s="2" t="s">
        <v>3171</v>
      </c>
      <c r="AA898" s="2" t="s">
        <v>1042</v>
      </c>
      <c r="AB898" s="2" t="s">
        <v>3172</v>
      </c>
      <c r="AC898" s="2" t="s">
        <v>3173</v>
      </c>
      <c r="AD898" s="2" t="s">
        <v>68</v>
      </c>
      <c r="AE898" s="2" t="s">
        <v>69</v>
      </c>
      <c r="AF898" s="2" t="s">
        <v>70</v>
      </c>
      <c r="AG898" s="2" t="s">
        <v>7765</v>
      </c>
      <c r="AK898" s="2" t="s">
        <v>7766</v>
      </c>
      <c r="AM898" s="2" t="s">
        <v>72</v>
      </c>
      <c r="AN898" s="2" t="s">
        <v>1046</v>
      </c>
      <c r="AP898" s="2" t="s">
        <v>3175</v>
      </c>
      <c r="AS898" s="2" t="s">
        <v>7767</v>
      </c>
      <c r="AU898" s="2" t="s">
        <v>75</v>
      </c>
      <c r="AV898" s="2" t="s">
        <v>1047</v>
      </c>
      <c r="AW898" s="2" t="s">
        <v>1048</v>
      </c>
      <c r="AX898" s="2" t="s">
        <v>77</v>
      </c>
      <c r="AZ898" s="2" t="s">
        <v>77</v>
      </c>
    </row>
    <row r="899" spans="1:52" s="3" customFormat="1" x14ac:dyDescent="0.35">
      <c r="A899" s="2" t="s">
        <v>7768</v>
      </c>
      <c r="B899" s="4">
        <v>242008</v>
      </c>
      <c r="C899" s="2" t="s">
        <v>7769</v>
      </c>
      <c r="D899" s="2">
        <f t="shared" ref="D899:D962" si="14">MONTH(C899)</f>
        <v>2</v>
      </c>
      <c r="F899" s="2" t="s">
        <v>7717</v>
      </c>
      <c r="G899" s="2" t="s">
        <v>53</v>
      </c>
      <c r="H899" s="4">
        <v>1</v>
      </c>
      <c r="I899" s="4">
        <v>0</v>
      </c>
      <c r="J899" s="4">
        <v>0</v>
      </c>
      <c r="L899" s="4">
        <v>0</v>
      </c>
      <c r="N899" s="2" t="s">
        <v>56</v>
      </c>
      <c r="O899" s="2" t="s">
        <v>57</v>
      </c>
      <c r="P899" s="2" t="s">
        <v>4619</v>
      </c>
      <c r="Q899" s="2" t="s">
        <v>4620</v>
      </c>
      <c r="R899" s="2" t="s">
        <v>7770</v>
      </c>
      <c r="S899" s="2" t="s">
        <v>7771</v>
      </c>
      <c r="V899" s="2" t="s">
        <v>7772</v>
      </c>
      <c r="W899" s="2" t="s">
        <v>7773</v>
      </c>
      <c r="Y899" s="2" t="s">
        <v>7774</v>
      </c>
      <c r="Z899" s="2" t="s">
        <v>7775</v>
      </c>
      <c r="AA899" s="2" t="s">
        <v>7776</v>
      </c>
      <c r="AB899" s="2" t="s">
        <v>7777</v>
      </c>
      <c r="AC899" s="2" t="s">
        <v>7778</v>
      </c>
      <c r="AD899" s="2" t="s">
        <v>3714</v>
      </c>
      <c r="AE899" s="2" t="s">
        <v>3425</v>
      </c>
      <c r="AF899" s="2" t="s">
        <v>70</v>
      </c>
      <c r="AK899" s="2" t="s">
        <v>7779</v>
      </c>
      <c r="AL899" s="2" t="s">
        <v>4629</v>
      </c>
      <c r="AM899" s="2" t="s">
        <v>72</v>
      </c>
      <c r="AN899" s="2" t="s">
        <v>73</v>
      </c>
      <c r="AP899" s="2" t="s">
        <v>3341</v>
      </c>
      <c r="AT899" s="2" t="s">
        <v>114</v>
      </c>
      <c r="AU899" s="2" t="s">
        <v>75</v>
      </c>
      <c r="AW899" s="2" t="s">
        <v>7780</v>
      </c>
      <c r="AZ899" s="2" t="s">
        <v>116</v>
      </c>
    </row>
    <row r="900" spans="1:52" s="3" customFormat="1" x14ac:dyDescent="0.35">
      <c r="A900" s="2" t="s">
        <v>7781</v>
      </c>
      <c r="B900" s="4">
        <v>241990</v>
      </c>
      <c r="C900" s="2" t="s">
        <v>7782</v>
      </c>
      <c r="D900" s="2">
        <f t="shared" si="14"/>
        <v>2</v>
      </c>
      <c r="F900" s="2" t="s">
        <v>7717</v>
      </c>
      <c r="G900" s="2" t="s">
        <v>53</v>
      </c>
      <c r="H900" s="4">
        <v>1</v>
      </c>
      <c r="I900" s="4">
        <v>0</v>
      </c>
      <c r="J900" s="4">
        <v>0</v>
      </c>
      <c r="L900" s="4">
        <v>0</v>
      </c>
      <c r="N900" s="2" t="s">
        <v>56</v>
      </c>
      <c r="O900" s="2" t="s">
        <v>57</v>
      </c>
      <c r="P900" s="2" t="s">
        <v>7285</v>
      </c>
      <c r="Q900" s="2" t="s">
        <v>7286</v>
      </c>
      <c r="R900" s="2" t="s">
        <v>5326</v>
      </c>
      <c r="S900" s="2" t="s">
        <v>5327</v>
      </c>
      <c r="V900" s="2" t="s">
        <v>5328</v>
      </c>
      <c r="W900" s="2" t="s">
        <v>5329</v>
      </c>
      <c r="Y900" s="2" t="s">
        <v>2853</v>
      </c>
      <c r="Z900" s="2" t="s">
        <v>7783</v>
      </c>
      <c r="AA900" s="2" t="s">
        <v>66</v>
      </c>
      <c r="AC900" s="2" t="s">
        <v>7784</v>
      </c>
      <c r="AD900" s="2" t="s">
        <v>68</v>
      </c>
      <c r="AE900" s="2" t="s">
        <v>69</v>
      </c>
      <c r="AF900" s="2" t="s">
        <v>70</v>
      </c>
      <c r="AK900" s="2" t="s">
        <v>7785</v>
      </c>
      <c r="AL900" s="2" t="s">
        <v>7786</v>
      </c>
      <c r="AM900" s="2" t="s">
        <v>72</v>
      </c>
      <c r="AN900" s="2" t="s">
        <v>344</v>
      </c>
      <c r="AP900" s="2" t="s">
        <v>7236</v>
      </c>
      <c r="AT900" s="2" t="s">
        <v>114</v>
      </c>
      <c r="AU900" s="2" t="s">
        <v>75</v>
      </c>
      <c r="AW900" s="2" t="s">
        <v>5331</v>
      </c>
      <c r="AZ900" s="2" t="s">
        <v>116</v>
      </c>
    </row>
    <row r="901" spans="1:52" s="3" customFormat="1" x14ac:dyDescent="0.35">
      <c r="A901" s="2" t="s">
        <v>7787</v>
      </c>
      <c r="B901" s="4">
        <v>241989</v>
      </c>
      <c r="C901" s="2" t="s">
        <v>7788</v>
      </c>
      <c r="D901" s="2">
        <f t="shared" si="14"/>
        <v>2</v>
      </c>
      <c r="F901" s="2" t="s">
        <v>7717</v>
      </c>
      <c r="G901" s="2" t="s">
        <v>53</v>
      </c>
      <c r="H901" s="4">
        <v>1</v>
      </c>
      <c r="I901" s="4">
        <v>0</v>
      </c>
      <c r="J901" s="4">
        <v>0</v>
      </c>
      <c r="L901" s="4">
        <v>0</v>
      </c>
      <c r="N901" s="2" t="s">
        <v>56</v>
      </c>
      <c r="O901" s="2" t="s">
        <v>57</v>
      </c>
      <c r="P901" s="2" t="s">
        <v>7285</v>
      </c>
      <c r="Q901" s="2" t="s">
        <v>7286</v>
      </c>
      <c r="R901" s="2" t="s">
        <v>5334</v>
      </c>
      <c r="S901" s="2" t="s">
        <v>5335</v>
      </c>
      <c r="V901" s="2" t="s">
        <v>5336</v>
      </c>
      <c r="W901" s="2" t="s">
        <v>5337</v>
      </c>
      <c r="Y901" s="2" t="s">
        <v>2853</v>
      </c>
      <c r="Z901" s="2" t="s">
        <v>7789</v>
      </c>
      <c r="AA901" s="2" t="s">
        <v>66</v>
      </c>
      <c r="AC901" s="2" t="s">
        <v>7784</v>
      </c>
      <c r="AD901" s="2" t="s">
        <v>68</v>
      </c>
      <c r="AE901" s="2" t="s">
        <v>69</v>
      </c>
      <c r="AF901" s="2" t="s">
        <v>70</v>
      </c>
      <c r="AK901" s="2" t="s">
        <v>7790</v>
      </c>
      <c r="AL901" s="2" t="s">
        <v>7786</v>
      </c>
      <c r="AM901" s="2" t="s">
        <v>72</v>
      </c>
      <c r="AN901" s="2" t="s">
        <v>344</v>
      </c>
      <c r="AP901" s="2" t="s">
        <v>7236</v>
      </c>
      <c r="AT901" s="2" t="s">
        <v>114</v>
      </c>
      <c r="AU901" s="2" t="s">
        <v>75</v>
      </c>
      <c r="AW901" s="2" t="s">
        <v>5339</v>
      </c>
      <c r="AZ901" s="2" t="s">
        <v>116</v>
      </c>
    </row>
    <row r="902" spans="1:52" s="3" customFormat="1" x14ac:dyDescent="0.35">
      <c r="A902" s="2" t="s">
        <v>7791</v>
      </c>
      <c r="B902" s="4">
        <v>241960</v>
      </c>
      <c r="C902" s="2" t="s">
        <v>7792</v>
      </c>
      <c r="D902" s="2">
        <f t="shared" si="14"/>
        <v>2</v>
      </c>
      <c r="F902" s="2" t="s">
        <v>7793</v>
      </c>
      <c r="G902" s="2" t="s">
        <v>53</v>
      </c>
      <c r="H902" s="4">
        <v>1</v>
      </c>
      <c r="I902" s="4">
        <v>0</v>
      </c>
      <c r="J902" s="4">
        <v>0</v>
      </c>
      <c r="L902" s="4">
        <v>0</v>
      </c>
      <c r="N902" s="2" t="s">
        <v>56</v>
      </c>
      <c r="O902" s="2" t="s">
        <v>57</v>
      </c>
      <c r="P902" s="2" t="s">
        <v>4619</v>
      </c>
      <c r="Q902" s="2" t="s">
        <v>4620</v>
      </c>
      <c r="R902" s="2" t="s">
        <v>7794</v>
      </c>
      <c r="S902" s="2" t="s">
        <v>7795</v>
      </c>
      <c r="V902" s="2" t="s">
        <v>7796</v>
      </c>
      <c r="W902" s="2" t="s">
        <v>7797</v>
      </c>
      <c r="Y902" s="2" t="s">
        <v>7798</v>
      </c>
      <c r="Z902" s="2" t="s">
        <v>7799</v>
      </c>
      <c r="AA902" s="2" t="s">
        <v>7800</v>
      </c>
      <c r="AB902" s="2" t="s">
        <v>7801</v>
      </c>
      <c r="AC902" s="2" t="s">
        <v>3735</v>
      </c>
      <c r="AD902" s="2" t="s">
        <v>3736</v>
      </c>
      <c r="AE902" s="2" t="s">
        <v>3737</v>
      </c>
      <c r="AF902" s="2" t="s">
        <v>70</v>
      </c>
      <c r="AK902" s="2" t="s">
        <v>7802</v>
      </c>
      <c r="AL902" s="2" t="s">
        <v>4629</v>
      </c>
      <c r="AM902" s="2" t="s">
        <v>72</v>
      </c>
      <c r="AN902" s="2" t="s">
        <v>73</v>
      </c>
      <c r="AP902" s="2" t="s">
        <v>3341</v>
      </c>
      <c r="AT902" s="2" t="s">
        <v>114</v>
      </c>
      <c r="AU902" s="2" t="s">
        <v>75</v>
      </c>
      <c r="AW902" s="2" t="s">
        <v>7803</v>
      </c>
      <c r="AZ902" s="2" t="s">
        <v>116</v>
      </c>
    </row>
    <row r="903" spans="1:52" s="3" customFormat="1" x14ac:dyDescent="0.35">
      <c r="A903" s="2" t="s">
        <v>7804</v>
      </c>
      <c r="B903" s="4">
        <v>241952</v>
      </c>
      <c r="C903" s="2" t="s">
        <v>7805</v>
      </c>
      <c r="D903" s="2">
        <f t="shared" si="14"/>
        <v>2</v>
      </c>
      <c r="F903" s="2" t="s">
        <v>7793</v>
      </c>
      <c r="G903" s="2" t="s">
        <v>53</v>
      </c>
      <c r="H903" s="4">
        <v>1</v>
      </c>
      <c r="I903" s="4">
        <v>1</v>
      </c>
      <c r="J903" s="4">
        <v>0</v>
      </c>
      <c r="L903" s="4">
        <v>0</v>
      </c>
      <c r="M903" s="2" t="s">
        <v>55</v>
      </c>
      <c r="N903" s="2" t="s">
        <v>56</v>
      </c>
      <c r="O903" s="2" t="s">
        <v>57</v>
      </c>
      <c r="P903" s="2" t="s">
        <v>7285</v>
      </c>
      <c r="Q903" s="2" t="s">
        <v>7286</v>
      </c>
      <c r="R903" s="2" t="s">
        <v>3447</v>
      </c>
      <c r="S903" s="2" t="s">
        <v>3448</v>
      </c>
      <c r="V903" s="2" t="s">
        <v>3449</v>
      </c>
      <c r="W903" s="2" t="s">
        <v>3450</v>
      </c>
      <c r="Y903" s="2" t="s">
        <v>64</v>
      </c>
      <c r="Z903" s="2" t="s">
        <v>65</v>
      </c>
      <c r="AA903" s="2" t="s">
        <v>66</v>
      </c>
      <c r="AC903" s="2" t="s">
        <v>67</v>
      </c>
      <c r="AD903" s="2" t="s">
        <v>68</v>
      </c>
      <c r="AE903" s="2" t="s">
        <v>69</v>
      </c>
      <c r="AF903" s="2" t="s">
        <v>70</v>
      </c>
      <c r="AG903" s="2" t="s">
        <v>7806</v>
      </c>
      <c r="AK903" s="2" t="s">
        <v>7807</v>
      </c>
      <c r="AM903" s="2" t="s">
        <v>72</v>
      </c>
      <c r="AN903" s="2" t="s">
        <v>403</v>
      </c>
      <c r="AP903" s="2" t="s">
        <v>7236</v>
      </c>
      <c r="AT903" s="2" t="s">
        <v>114</v>
      </c>
      <c r="AU903" s="2" t="s">
        <v>75</v>
      </c>
      <c r="AW903" s="2" t="s">
        <v>3452</v>
      </c>
      <c r="AZ903" s="2" t="s">
        <v>116</v>
      </c>
    </row>
    <row r="904" spans="1:52" s="3" customFormat="1" x14ac:dyDescent="0.35">
      <c r="A904" s="2" t="s">
        <v>7808</v>
      </c>
      <c r="B904" s="4">
        <v>241941</v>
      </c>
      <c r="C904" s="2" t="s">
        <v>7809</v>
      </c>
      <c r="D904" s="2">
        <f t="shared" si="14"/>
        <v>2</v>
      </c>
      <c r="F904" s="2" t="s">
        <v>7793</v>
      </c>
      <c r="G904" s="2" t="s">
        <v>53</v>
      </c>
      <c r="H904" s="4">
        <v>1</v>
      </c>
      <c r="I904" s="4">
        <v>0</v>
      </c>
      <c r="J904" s="4">
        <v>0</v>
      </c>
      <c r="L904" s="4">
        <v>0</v>
      </c>
      <c r="N904" s="2" t="s">
        <v>56</v>
      </c>
      <c r="O904" s="2" t="s">
        <v>57</v>
      </c>
      <c r="P904" s="2" t="s">
        <v>4619</v>
      </c>
      <c r="Q904" s="2" t="s">
        <v>4620</v>
      </c>
      <c r="R904" s="2" t="s">
        <v>7810</v>
      </c>
      <c r="S904" s="2" t="s">
        <v>7811</v>
      </c>
      <c r="V904" s="2" t="s">
        <v>7812</v>
      </c>
      <c r="W904" s="2" t="s">
        <v>7813</v>
      </c>
      <c r="Y904" s="2" t="s">
        <v>7814</v>
      </c>
      <c r="Z904" s="2" t="s">
        <v>7815</v>
      </c>
      <c r="AA904" s="2" t="s">
        <v>7816</v>
      </c>
      <c r="AB904" s="2" t="s">
        <v>7817</v>
      </c>
      <c r="AC904" s="2" t="s">
        <v>7818</v>
      </c>
      <c r="AD904" s="2" t="s">
        <v>7819</v>
      </c>
      <c r="AE904" s="2" t="s">
        <v>7820</v>
      </c>
      <c r="AF904" s="2" t="s">
        <v>70</v>
      </c>
      <c r="AK904" s="2" t="s">
        <v>7821</v>
      </c>
      <c r="AL904" s="2" t="s">
        <v>4629</v>
      </c>
      <c r="AM904" s="2" t="s">
        <v>72</v>
      </c>
      <c r="AN904" s="2" t="s">
        <v>73</v>
      </c>
      <c r="AP904" s="2" t="s">
        <v>3341</v>
      </c>
      <c r="AT904" s="2" t="s">
        <v>114</v>
      </c>
      <c r="AU904" s="2" t="s">
        <v>75</v>
      </c>
      <c r="AW904" s="2" t="s">
        <v>7822</v>
      </c>
      <c r="AZ904" s="2" t="s">
        <v>116</v>
      </c>
    </row>
    <row r="905" spans="1:52" s="3" customFormat="1" x14ac:dyDescent="0.35">
      <c r="A905" s="2" t="s">
        <v>7823</v>
      </c>
      <c r="B905" s="4">
        <v>241937</v>
      </c>
      <c r="C905" s="2" t="s">
        <v>7824</v>
      </c>
      <c r="D905" s="2">
        <f t="shared" si="14"/>
        <v>2</v>
      </c>
      <c r="F905" s="2" t="s">
        <v>7793</v>
      </c>
      <c r="G905" s="2" t="s">
        <v>53</v>
      </c>
      <c r="H905" s="4">
        <v>1</v>
      </c>
      <c r="I905" s="4">
        <v>0</v>
      </c>
      <c r="J905" s="4">
        <v>0</v>
      </c>
      <c r="L905" s="4">
        <v>0</v>
      </c>
      <c r="N905" s="2" t="s">
        <v>56</v>
      </c>
      <c r="O905" s="2" t="s">
        <v>57</v>
      </c>
      <c r="P905" s="2" t="s">
        <v>4619</v>
      </c>
      <c r="Q905" s="2" t="s">
        <v>4620</v>
      </c>
      <c r="R905" s="2" t="s">
        <v>7825</v>
      </c>
      <c r="S905" s="2" t="s">
        <v>7826</v>
      </c>
      <c r="V905" s="2" t="s">
        <v>7827</v>
      </c>
      <c r="W905" s="2" t="s">
        <v>7828</v>
      </c>
      <c r="Y905" s="2" t="s">
        <v>7829</v>
      </c>
      <c r="Z905" s="2" t="s">
        <v>7830</v>
      </c>
      <c r="AA905" s="2" t="s">
        <v>7831</v>
      </c>
      <c r="AB905" s="2" t="s">
        <v>7832</v>
      </c>
      <c r="AC905" s="2" t="s">
        <v>7833</v>
      </c>
      <c r="AD905" s="2" t="s">
        <v>3756</v>
      </c>
      <c r="AE905" s="2" t="s">
        <v>2980</v>
      </c>
      <c r="AF905" s="2" t="s">
        <v>70</v>
      </c>
      <c r="AK905" s="2" t="s">
        <v>7834</v>
      </c>
      <c r="AL905" s="2" t="s">
        <v>4629</v>
      </c>
      <c r="AM905" s="2" t="s">
        <v>72</v>
      </c>
      <c r="AN905" s="2" t="s">
        <v>73</v>
      </c>
      <c r="AP905" s="2" t="s">
        <v>3341</v>
      </c>
      <c r="AT905" s="2" t="s">
        <v>114</v>
      </c>
      <c r="AU905" s="2" t="s">
        <v>75</v>
      </c>
      <c r="AW905" s="2" t="s">
        <v>7835</v>
      </c>
      <c r="AZ905" s="2" t="s">
        <v>116</v>
      </c>
    </row>
    <row r="906" spans="1:52" s="3" customFormat="1" x14ac:dyDescent="0.35">
      <c r="A906" s="2" t="s">
        <v>7836</v>
      </c>
      <c r="B906" s="4">
        <v>241936</v>
      </c>
      <c r="C906" s="2" t="s">
        <v>7837</v>
      </c>
      <c r="D906" s="2">
        <f t="shared" si="14"/>
        <v>2</v>
      </c>
      <c r="F906" s="2" t="s">
        <v>7793</v>
      </c>
      <c r="G906" s="2" t="s">
        <v>53</v>
      </c>
      <c r="H906" s="4">
        <v>1</v>
      </c>
      <c r="I906" s="4">
        <v>2</v>
      </c>
      <c r="J906" s="5">
        <v>3900</v>
      </c>
      <c r="K906" s="2" t="s">
        <v>80</v>
      </c>
      <c r="L906" s="5">
        <v>3900</v>
      </c>
      <c r="M906" s="2" t="s">
        <v>7838</v>
      </c>
      <c r="N906" s="2" t="s">
        <v>82</v>
      </c>
      <c r="O906" s="2" t="s">
        <v>7145</v>
      </c>
      <c r="P906" s="2" t="s">
        <v>4887</v>
      </c>
      <c r="Q906" s="2" t="s">
        <v>4888</v>
      </c>
      <c r="R906" s="2" t="s">
        <v>7839</v>
      </c>
      <c r="S906" s="2" t="s">
        <v>7840</v>
      </c>
      <c r="V906" s="2" t="s">
        <v>7841</v>
      </c>
      <c r="W906" s="2" t="s">
        <v>7842</v>
      </c>
      <c r="Y906" s="2" t="s">
        <v>7843</v>
      </c>
      <c r="Z906" s="2" t="s">
        <v>7844</v>
      </c>
      <c r="AA906" s="2" t="s">
        <v>7845</v>
      </c>
      <c r="AB906" s="2" t="s">
        <v>7846</v>
      </c>
      <c r="AC906" s="2" t="s">
        <v>7847</v>
      </c>
      <c r="AD906" s="2" t="s">
        <v>3756</v>
      </c>
      <c r="AE906" s="2" t="s">
        <v>2980</v>
      </c>
      <c r="AF906" s="2" t="s">
        <v>70</v>
      </c>
      <c r="AK906" s="2" t="s">
        <v>7848</v>
      </c>
      <c r="AL906" s="2" t="s">
        <v>7849</v>
      </c>
      <c r="AM906" s="2" t="s">
        <v>72</v>
      </c>
      <c r="AN906" s="2" t="s">
        <v>403</v>
      </c>
      <c r="AP906" s="2" t="s">
        <v>4546</v>
      </c>
      <c r="AU906" s="2" t="s">
        <v>75</v>
      </c>
      <c r="AV906" s="2" t="s">
        <v>7793</v>
      </c>
      <c r="AW906" s="2" t="s">
        <v>7850</v>
      </c>
      <c r="AZ906" s="2" t="s">
        <v>77</v>
      </c>
    </row>
    <row r="907" spans="1:52" s="3" customFormat="1" x14ac:dyDescent="0.35">
      <c r="A907" s="2" t="s">
        <v>7851</v>
      </c>
      <c r="B907" s="4">
        <v>241909</v>
      </c>
      <c r="C907" s="2" t="s">
        <v>7852</v>
      </c>
      <c r="D907" s="2">
        <f t="shared" si="14"/>
        <v>2</v>
      </c>
      <c r="G907" s="2" t="s">
        <v>53</v>
      </c>
      <c r="H907" s="4">
        <v>1</v>
      </c>
      <c r="I907" s="4">
        <v>1</v>
      </c>
      <c r="J907" s="4">
        <v>0</v>
      </c>
      <c r="L907" s="4">
        <v>0</v>
      </c>
      <c r="M907" s="2" t="s">
        <v>55</v>
      </c>
      <c r="N907" s="2" t="s">
        <v>56</v>
      </c>
      <c r="O907" s="2" t="s">
        <v>57</v>
      </c>
      <c r="P907" s="2" t="s">
        <v>7677</v>
      </c>
      <c r="Q907" s="2" t="s">
        <v>7678</v>
      </c>
      <c r="R907" s="2" t="s">
        <v>7853</v>
      </c>
      <c r="S907" s="2" t="s">
        <v>7854</v>
      </c>
      <c r="V907" s="2" t="s">
        <v>7855</v>
      </c>
      <c r="W907" s="2" t="s">
        <v>7856</v>
      </c>
      <c r="Y907" s="2" t="s">
        <v>64</v>
      </c>
      <c r="Z907" s="2" t="s">
        <v>65</v>
      </c>
      <c r="AA907" s="2" t="s">
        <v>66</v>
      </c>
      <c r="AC907" s="2" t="s">
        <v>67</v>
      </c>
      <c r="AD907" s="2" t="s">
        <v>68</v>
      </c>
      <c r="AE907" s="2" t="s">
        <v>69</v>
      </c>
      <c r="AF907" s="2" t="s">
        <v>70</v>
      </c>
      <c r="AG907" s="2" t="s">
        <v>7677</v>
      </c>
      <c r="AK907" s="2" t="s">
        <v>7857</v>
      </c>
      <c r="AM907" s="2" t="s">
        <v>72</v>
      </c>
      <c r="AN907" s="2" t="s">
        <v>73</v>
      </c>
      <c r="AP907" s="2" t="s">
        <v>7682</v>
      </c>
      <c r="AU907" s="2" t="s">
        <v>75</v>
      </c>
      <c r="AV907" s="2" t="s">
        <v>7858</v>
      </c>
      <c r="AW907" s="2" t="s">
        <v>7859</v>
      </c>
      <c r="AZ907" s="2" t="s">
        <v>116</v>
      </c>
    </row>
    <row r="908" spans="1:52" s="3" customFormat="1" x14ac:dyDescent="0.35">
      <c r="A908" s="2" t="s">
        <v>7860</v>
      </c>
      <c r="B908" s="4">
        <v>241819</v>
      </c>
      <c r="C908" s="2" t="s">
        <v>7861</v>
      </c>
      <c r="D908" s="2">
        <f t="shared" si="14"/>
        <v>2</v>
      </c>
      <c r="F908" s="2" t="s">
        <v>7862</v>
      </c>
      <c r="G908" s="2" t="s">
        <v>53</v>
      </c>
      <c r="H908" s="4">
        <v>1</v>
      </c>
      <c r="I908" s="4">
        <v>0</v>
      </c>
      <c r="J908" s="4">
        <v>0</v>
      </c>
      <c r="L908" s="4">
        <v>0</v>
      </c>
      <c r="N908" s="2" t="s">
        <v>56</v>
      </c>
      <c r="O908" s="2" t="s">
        <v>57</v>
      </c>
      <c r="P908" s="2" t="s">
        <v>4619</v>
      </c>
      <c r="Q908" s="2" t="s">
        <v>4620</v>
      </c>
      <c r="R908" s="2" t="s">
        <v>7863</v>
      </c>
      <c r="S908" s="2" t="s">
        <v>7864</v>
      </c>
      <c r="V908" s="2" t="s">
        <v>7865</v>
      </c>
      <c r="W908" s="2" t="s">
        <v>7866</v>
      </c>
      <c r="Y908" s="2" t="s">
        <v>7867</v>
      </c>
      <c r="Z908" s="2" t="s">
        <v>7868</v>
      </c>
      <c r="AA908" s="2" t="s">
        <v>7869</v>
      </c>
      <c r="AB908" s="2" t="s">
        <v>7870</v>
      </c>
      <c r="AC908" s="2" t="s">
        <v>7871</v>
      </c>
      <c r="AD908" s="2" t="s">
        <v>2441</v>
      </c>
      <c r="AE908" s="2" t="s">
        <v>1825</v>
      </c>
      <c r="AF908" s="2" t="s">
        <v>70</v>
      </c>
      <c r="AK908" s="2" t="s">
        <v>7872</v>
      </c>
      <c r="AL908" s="2" t="s">
        <v>4629</v>
      </c>
      <c r="AM908" s="2" t="s">
        <v>72</v>
      </c>
      <c r="AN908" s="2" t="s">
        <v>73</v>
      </c>
      <c r="AP908" s="2" t="s">
        <v>3341</v>
      </c>
      <c r="AT908" s="2" t="s">
        <v>114</v>
      </c>
      <c r="AU908" s="2" t="s">
        <v>75</v>
      </c>
      <c r="AW908" s="2" t="s">
        <v>7873</v>
      </c>
      <c r="AZ908" s="2" t="s">
        <v>116</v>
      </c>
    </row>
    <row r="909" spans="1:52" s="3" customFormat="1" x14ac:dyDescent="0.35">
      <c r="A909" s="2" t="s">
        <v>7874</v>
      </c>
      <c r="B909" s="4">
        <v>241815</v>
      </c>
      <c r="C909" s="2" t="s">
        <v>7875</v>
      </c>
      <c r="D909" s="2">
        <f t="shared" si="14"/>
        <v>2</v>
      </c>
      <c r="G909" s="2" t="s">
        <v>53</v>
      </c>
      <c r="H909" s="4">
        <v>1</v>
      </c>
      <c r="I909" s="4">
        <v>1</v>
      </c>
      <c r="J909" s="4">
        <v>0</v>
      </c>
      <c r="L909" s="4">
        <v>0</v>
      </c>
      <c r="M909" s="2" t="s">
        <v>55</v>
      </c>
      <c r="N909" s="2" t="s">
        <v>56</v>
      </c>
      <c r="O909" s="2" t="s">
        <v>57</v>
      </c>
      <c r="P909" s="2" t="s">
        <v>5638</v>
      </c>
      <c r="Q909" s="2" t="s">
        <v>5639</v>
      </c>
      <c r="R909" s="2" t="s">
        <v>7876</v>
      </c>
      <c r="S909" s="2" t="s">
        <v>7877</v>
      </c>
      <c r="V909" s="2" t="s">
        <v>7878</v>
      </c>
      <c r="W909" s="2" t="s">
        <v>7879</v>
      </c>
      <c r="Y909" s="2" t="s">
        <v>7880</v>
      </c>
      <c r="Z909" s="2" t="s">
        <v>7881</v>
      </c>
      <c r="AA909" s="2" t="s">
        <v>7882</v>
      </c>
      <c r="AC909" s="2" t="s">
        <v>7883</v>
      </c>
      <c r="AD909" s="2" t="s">
        <v>7884</v>
      </c>
      <c r="AE909" s="2" t="s">
        <v>6739</v>
      </c>
      <c r="AF909" s="2" t="s">
        <v>70</v>
      </c>
      <c r="AG909" s="2" t="s">
        <v>6504</v>
      </c>
      <c r="AK909" s="2" t="s">
        <v>7885</v>
      </c>
      <c r="AM909" s="2" t="s">
        <v>72</v>
      </c>
      <c r="AN909" s="2" t="s">
        <v>232</v>
      </c>
      <c r="AP909" s="2" t="s">
        <v>4449</v>
      </c>
      <c r="AU909" s="2" t="s">
        <v>75</v>
      </c>
      <c r="AW909" s="2" t="s">
        <v>7886</v>
      </c>
      <c r="AZ909" s="2" t="s">
        <v>116</v>
      </c>
    </row>
    <row r="910" spans="1:52" s="3" customFormat="1" x14ac:dyDescent="0.35">
      <c r="A910" s="2" t="s">
        <v>7887</v>
      </c>
      <c r="B910" s="4">
        <v>241805</v>
      </c>
      <c r="C910" s="2" t="s">
        <v>7888</v>
      </c>
      <c r="D910" s="2">
        <f t="shared" si="14"/>
        <v>2</v>
      </c>
      <c r="F910" s="2" t="s">
        <v>7862</v>
      </c>
      <c r="G910" s="2" t="s">
        <v>53</v>
      </c>
      <c r="H910" s="4">
        <v>1</v>
      </c>
      <c r="I910" s="4">
        <v>0</v>
      </c>
      <c r="J910" s="4">
        <v>0</v>
      </c>
      <c r="L910" s="4">
        <v>0</v>
      </c>
      <c r="N910" s="2" t="s">
        <v>56</v>
      </c>
      <c r="O910" s="2" t="s">
        <v>57</v>
      </c>
      <c r="P910" s="2" t="s">
        <v>4619</v>
      </c>
      <c r="Q910" s="2" t="s">
        <v>4620</v>
      </c>
      <c r="R910" s="2" t="s">
        <v>7889</v>
      </c>
      <c r="S910" s="2" t="s">
        <v>7890</v>
      </c>
      <c r="V910" s="2" t="s">
        <v>7891</v>
      </c>
      <c r="W910" s="2" t="s">
        <v>7892</v>
      </c>
      <c r="Y910" s="2" t="s">
        <v>7893</v>
      </c>
      <c r="Z910" s="2" t="s">
        <v>7894</v>
      </c>
      <c r="AA910" s="2" t="s">
        <v>7895</v>
      </c>
      <c r="AC910" s="2" t="s">
        <v>7896</v>
      </c>
      <c r="AD910" s="2" t="s">
        <v>3756</v>
      </c>
      <c r="AE910" s="2" t="s">
        <v>2980</v>
      </c>
      <c r="AF910" s="2" t="s">
        <v>70</v>
      </c>
      <c r="AK910" s="2" t="s">
        <v>7897</v>
      </c>
      <c r="AL910" s="2" t="s">
        <v>4629</v>
      </c>
      <c r="AM910" s="2" t="s">
        <v>72</v>
      </c>
      <c r="AN910" s="2" t="s">
        <v>73</v>
      </c>
      <c r="AP910" s="2" t="s">
        <v>3341</v>
      </c>
      <c r="AT910" s="2" t="s">
        <v>114</v>
      </c>
      <c r="AU910" s="2" t="s">
        <v>75</v>
      </c>
      <c r="AW910" s="2" t="s">
        <v>7898</v>
      </c>
      <c r="AZ910" s="2" t="s">
        <v>116</v>
      </c>
    </row>
    <row r="911" spans="1:52" s="3" customFormat="1" x14ac:dyDescent="0.35">
      <c r="A911" s="2" t="s">
        <v>7899</v>
      </c>
      <c r="B911" s="4">
        <v>241737</v>
      </c>
      <c r="C911" s="2" t="s">
        <v>7900</v>
      </c>
      <c r="D911" s="2">
        <f t="shared" si="14"/>
        <v>2</v>
      </c>
      <c r="F911" s="2" t="s">
        <v>7901</v>
      </c>
      <c r="G911" s="2" t="s">
        <v>53</v>
      </c>
      <c r="H911" s="4">
        <v>1</v>
      </c>
      <c r="I911" s="4">
        <v>0</v>
      </c>
      <c r="J911" s="4">
        <v>0</v>
      </c>
      <c r="L911" s="4">
        <v>0</v>
      </c>
      <c r="N911" s="2" t="s">
        <v>56</v>
      </c>
      <c r="O911" s="2" t="s">
        <v>57</v>
      </c>
      <c r="P911" s="2" t="s">
        <v>4619</v>
      </c>
      <c r="Q911" s="2" t="s">
        <v>4620</v>
      </c>
      <c r="R911" s="2" t="s">
        <v>7902</v>
      </c>
      <c r="S911" s="2" t="s">
        <v>7903</v>
      </c>
      <c r="V911" s="2" t="s">
        <v>7904</v>
      </c>
      <c r="W911" s="2" t="s">
        <v>7905</v>
      </c>
      <c r="Y911" s="2" t="s">
        <v>7906</v>
      </c>
      <c r="Z911" s="2" t="s">
        <v>7907</v>
      </c>
      <c r="AA911" s="2" t="s">
        <v>7908</v>
      </c>
      <c r="AC911" s="2" t="s">
        <v>7909</v>
      </c>
      <c r="AD911" s="2" t="s">
        <v>3756</v>
      </c>
      <c r="AE911" s="2" t="s">
        <v>2980</v>
      </c>
      <c r="AF911" s="2" t="s">
        <v>70</v>
      </c>
      <c r="AK911" s="2" t="s">
        <v>7910</v>
      </c>
      <c r="AL911" s="2" t="s">
        <v>4629</v>
      </c>
      <c r="AM911" s="2" t="s">
        <v>72</v>
      </c>
      <c r="AN911" s="2" t="s">
        <v>73</v>
      </c>
      <c r="AP911" s="2" t="s">
        <v>3341</v>
      </c>
      <c r="AT911" s="2" t="s">
        <v>114</v>
      </c>
      <c r="AU911" s="2" t="s">
        <v>75</v>
      </c>
      <c r="AW911" s="2" t="s">
        <v>7911</v>
      </c>
      <c r="AZ911" s="2" t="s">
        <v>116</v>
      </c>
    </row>
    <row r="912" spans="1:52" s="3" customFormat="1" x14ac:dyDescent="0.35">
      <c r="A912" s="2" t="s">
        <v>7912</v>
      </c>
      <c r="B912" s="4">
        <v>241733</v>
      </c>
      <c r="C912" s="2" t="s">
        <v>7913</v>
      </c>
      <c r="D912" s="2">
        <f t="shared" si="14"/>
        <v>2</v>
      </c>
      <c r="F912" s="2" t="s">
        <v>7901</v>
      </c>
      <c r="G912" s="2" t="s">
        <v>53</v>
      </c>
      <c r="H912" s="4">
        <v>1</v>
      </c>
      <c r="I912" s="4">
        <v>1</v>
      </c>
      <c r="J912" s="4">
        <v>0</v>
      </c>
      <c r="L912" s="4">
        <v>0</v>
      </c>
      <c r="M912" s="2" t="s">
        <v>55</v>
      </c>
      <c r="N912" s="2" t="s">
        <v>56</v>
      </c>
      <c r="O912" s="2" t="s">
        <v>57</v>
      </c>
      <c r="P912" s="2" t="s">
        <v>3131</v>
      </c>
      <c r="Q912" s="2" t="s">
        <v>3132</v>
      </c>
      <c r="R912" s="2" t="s">
        <v>7914</v>
      </c>
      <c r="S912" s="2" t="s">
        <v>7915</v>
      </c>
      <c r="V912" s="2" t="s">
        <v>7916</v>
      </c>
      <c r="W912" s="2" t="s">
        <v>5142</v>
      </c>
      <c r="Y912" s="2" t="s">
        <v>64</v>
      </c>
      <c r="Z912" s="2" t="s">
        <v>65</v>
      </c>
      <c r="AA912" s="2" t="s">
        <v>66</v>
      </c>
      <c r="AB912" s="2" t="s">
        <v>7494</v>
      </c>
      <c r="AC912" s="2" t="s">
        <v>67</v>
      </c>
      <c r="AD912" s="2" t="s">
        <v>68</v>
      </c>
      <c r="AE912" s="2" t="s">
        <v>69</v>
      </c>
      <c r="AF912" s="2" t="s">
        <v>70</v>
      </c>
      <c r="AG912" s="2" t="s">
        <v>7917</v>
      </c>
      <c r="AK912" s="2" t="s">
        <v>7918</v>
      </c>
      <c r="AM912" s="2" t="s">
        <v>72</v>
      </c>
      <c r="AN912" s="2" t="s">
        <v>344</v>
      </c>
      <c r="AP912" s="2" t="s">
        <v>3144</v>
      </c>
      <c r="AT912" s="2" t="s">
        <v>114</v>
      </c>
      <c r="AU912" s="2" t="s">
        <v>75</v>
      </c>
      <c r="AW912" s="2" t="s">
        <v>7919</v>
      </c>
      <c r="AZ912" s="2" t="s">
        <v>116</v>
      </c>
    </row>
    <row r="913" spans="1:52" s="3" customFormat="1" x14ac:dyDescent="0.35">
      <c r="A913" s="2" t="s">
        <v>7920</v>
      </c>
      <c r="B913" s="4">
        <v>241732</v>
      </c>
      <c r="C913" s="2" t="s">
        <v>7921</v>
      </c>
      <c r="D913" s="2">
        <f t="shared" si="14"/>
        <v>2</v>
      </c>
      <c r="F913" s="2" t="s">
        <v>7901</v>
      </c>
      <c r="G913" s="2" t="s">
        <v>53</v>
      </c>
      <c r="H913" s="4">
        <v>1</v>
      </c>
      <c r="I913" s="4">
        <v>0</v>
      </c>
      <c r="J913" s="4">
        <v>0</v>
      </c>
      <c r="L913" s="4">
        <v>0</v>
      </c>
      <c r="N913" s="2" t="s">
        <v>56</v>
      </c>
      <c r="O913" s="2" t="s">
        <v>57</v>
      </c>
      <c r="P913" s="2" t="s">
        <v>4619</v>
      </c>
      <c r="Q913" s="2" t="s">
        <v>4620</v>
      </c>
      <c r="R913" s="2" t="s">
        <v>7922</v>
      </c>
      <c r="S913" s="2" t="s">
        <v>7923</v>
      </c>
      <c r="V913" s="2" t="s">
        <v>7924</v>
      </c>
      <c r="W913" s="2" t="s">
        <v>7925</v>
      </c>
      <c r="Y913" s="2" t="s">
        <v>7926</v>
      </c>
      <c r="Z913" s="2" t="s">
        <v>7927</v>
      </c>
      <c r="AA913" s="2" t="s">
        <v>7928</v>
      </c>
      <c r="AB913" s="2" t="s">
        <v>7929</v>
      </c>
      <c r="AC913" s="2" t="s">
        <v>7930</v>
      </c>
      <c r="AD913" s="2" t="s">
        <v>2756</v>
      </c>
      <c r="AE913" s="2" t="s">
        <v>2757</v>
      </c>
      <c r="AF913" s="2" t="s">
        <v>70</v>
      </c>
      <c r="AK913" s="2" t="s">
        <v>7931</v>
      </c>
      <c r="AL913" s="2" t="s">
        <v>4629</v>
      </c>
      <c r="AM913" s="2" t="s">
        <v>72</v>
      </c>
      <c r="AN913" s="2" t="s">
        <v>73</v>
      </c>
      <c r="AP913" s="2" t="s">
        <v>3341</v>
      </c>
      <c r="AT913" s="2" t="s">
        <v>114</v>
      </c>
      <c r="AU913" s="2" t="s">
        <v>75</v>
      </c>
      <c r="AW913" s="2" t="s">
        <v>7932</v>
      </c>
      <c r="AZ913" s="2" t="s">
        <v>116</v>
      </c>
    </row>
    <row r="914" spans="1:52" s="3" customFormat="1" x14ac:dyDescent="0.35">
      <c r="A914" s="2" t="s">
        <v>7933</v>
      </c>
      <c r="B914" s="4">
        <v>241716</v>
      </c>
      <c r="C914" s="2" t="s">
        <v>7934</v>
      </c>
      <c r="D914" s="2">
        <f t="shared" si="14"/>
        <v>2</v>
      </c>
      <c r="F914" s="2" t="s">
        <v>7901</v>
      </c>
      <c r="G914" s="2" t="s">
        <v>53</v>
      </c>
      <c r="H914" s="4">
        <v>1</v>
      </c>
      <c r="I914" s="4">
        <v>0</v>
      </c>
      <c r="J914" s="4">
        <v>0</v>
      </c>
      <c r="L914" s="4">
        <v>0</v>
      </c>
      <c r="N914" s="2" t="s">
        <v>56</v>
      </c>
      <c r="O914" s="2" t="s">
        <v>57</v>
      </c>
      <c r="P914" s="2" t="s">
        <v>4619</v>
      </c>
      <c r="Q914" s="2" t="s">
        <v>4620</v>
      </c>
      <c r="R914" s="2" t="s">
        <v>7902</v>
      </c>
      <c r="S914" s="2" t="s">
        <v>7903</v>
      </c>
      <c r="V914" s="2" t="s">
        <v>7935</v>
      </c>
      <c r="W914" s="2" t="s">
        <v>7905</v>
      </c>
      <c r="Y914" s="2" t="s">
        <v>7906</v>
      </c>
      <c r="Z914" s="2" t="s">
        <v>7907</v>
      </c>
      <c r="AA914" s="2" t="s">
        <v>7908</v>
      </c>
      <c r="AC914" s="2" t="s">
        <v>7909</v>
      </c>
      <c r="AD914" s="2" t="s">
        <v>3756</v>
      </c>
      <c r="AE914" s="2" t="s">
        <v>2980</v>
      </c>
      <c r="AF914" s="2" t="s">
        <v>70</v>
      </c>
      <c r="AK914" s="2" t="s">
        <v>7936</v>
      </c>
      <c r="AL914" s="2" t="s">
        <v>4629</v>
      </c>
      <c r="AM914" s="2" t="s">
        <v>72</v>
      </c>
      <c r="AN914" s="2" t="s">
        <v>73</v>
      </c>
      <c r="AP914" s="2" t="s">
        <v>3341</v>
      </c>
      <c r="AT914" s="2" t="s">
        <v>114</v>
      </c>
      <c r="AU914" s="2" t="s">
        <v>75</v>
      </c>
      <c r="AW914" s="2" t="s">
        <v>7911</v>
      </c>
      <c r="AZ914" s="2" t="s">
        <v>116</v>
      </c>
    </row>
    <row r="915" spans="1:52" s="3" customFormat="1" x14ac:dyDescent="0.35">
      <c r="A915" s="2" t="s">
        <v>7937</v>
      </c>
      <c r="B915" s="4">
        <v>241715</v>
      </c>
      <c r="C915" s="2" t="s">
        <v>7938</v>
      </c>
      <c r="D915" s="2">
        <f t="shared" si="14"/>
        <v>2</v>
      </c>
      <c r="F915" s="2" t="s">
        <v>7901</v>
      </c>
      <c r="G915" s="2" t="s">
        <v>53</v>
      </c>
      <c r="H915" s="4">
        <v>1</v>
      </c>
      <c r="I915" s="4">
        <v>0</v>
      </c>
      <c r="J915" s="4">
        <v>0</v>
      </c>
      <c r="L915" s="4">
        <v>0</v>
      </c>
      <c r="N915" s="2" t="s">
        <v>56</v>
      </c>
      <c r="O915" s="2" t="s">
        <v>57</v>
      </c>
      <c r="P915" s="2" t="s">
        <v>4619</v>
      </c>
      <c r="Q915" s="2" t="s">
        <v>4620</v>
      </c>
      <c r="R915" s="2" t="s">
        <v>7902</v>
      </c>
      <c r="S915" s="2" t="s">
        <v>7903</v>
      </c>
      <c r="V915" s="2" t="s">
        <v>7935</v>
      </c>
      <c r="W915" s="2" t="s">
        <v>7905</v>
      </c>
      <c r="Y915" s="2" t="s">
        <v>7906</v>
      </c>
      <c r="Z915" s="2" t="s">
        <v>7907</v>
      </c>
      <c r="AA915" s="2" t="s">
        <v>7908</v>
      </c>
      <c r="AC915" s="2" t="s">
        <v>7909</v>
      </c>
      <c r="AD915" s="2" t="s">
        <v>3756</v>
      </c>
      <c r="AE915" s="2" t="s">
        <v>2980</v>
      </c>
      <c r="AF915" s="2" t="s">
        <v>70</v>
      </c>
      <c r="AK915" s="2" t="s">
        <v>7939</v>
      </c>
      <c r="AL915" s="2" t="s">
        <v>4629</v>
      </c>
      <c r="AM915" s="2" t="s">
        <v>72</v>
      </c>
      <c r="AN915" s="2" t="s">
        <v>73</v>
      </c>
      <c r="AP915" s="2" t="s">
        <v>3341</v>
      </c>
      <c r="AT915" s="2" t="s">
        <v>114</v>
      </c>
      <c r="AU915" s="2" t="s">
        <v>75</v>
      </c>
      <c r="AW915" s="2" t="s">
        <v>7911</v>
      </c>
      <c r="AZ915" s="2" t="s">
        <v>116</v>
      </c>
    </row>
    <row r="916" spans="1:52" s="3" customFormat="1" x14ac:dyDescent="0.35">
      <c r="A916" s="2" t="s">
        <v>7940</v>
      </c>
      <c r="B916" s="4">
        <v>241709</v>
      </c>
      <c r="C916" s="2" t="s">
        <v>7941</v>
      </c>
      <c r="D916" s="2">
        <f t="shared" si="14"/>
        <v>2</v>
      </c>
      <c r="F916" s="2" t="s">
        <v>7901</v>
      </c>
      <c r="G916" s="2" t="s">
        <v>53</v>
      </c>
      <c r="H916" s="4">
        <v>1</v>
      </c>
      <c r="I916" s="4">
        <v>0</v>
      </c>
      <c r="J916" s="4">
        <v>0</v>
      </c>
      <c r="L916" s="4">
        <v>0</v>
      </c>
      <c r="N916" s="2" t="s">
        <v>56</v>
      </c>
      <c r="O916" s="2" t="s">
        <v>57</v>
      </c>
      <c r="P916" s="2" t="s">
        <v>4619</v>
      </c>
      <c r="Q916" s="2" t="s">
        <v>4620</v>
      </c>
      <c r="R916" s="2" t="s">
        <v>7942</v>
      </c>
      <c r="S916" s="2" t="s">
        <v>7943</v>
      </c>
      <c r="V916" s="2" t="s">
        <v>7944</v>
      </c>
      <c r="W916" s="2" t="s">
        <v>7945</v>
      </c>
      <c r="Y916" s="2" t="s">
        <v>7946</v>
      </c>
      <c r="Z916" s="2" t="s">
        <v>7947</v>
      </c>
      <c r="AA916" s="2" t="s">
        <v>7948</v>
      </c>
      <c r="AC916" s="2" t="s">
        <v>6994</v>
      </c>
      <c r="AD916" s="2" t="s">
        <v>3756</v>
      </c>
      <c r="AE916" s="2" t="s">
        <v>2980</v>
      </c>
      <c r="AF916" s="2" t="s">
        <v>70</v>
      </c>
      <c r="AK916" s="2" t="s">
        <v>7949</v>
      </c>
      <c r="AL916" s="2" t="s">
        <v>4629</v>
      </c>
      <c r="AM916" s="2" t="s">
        <v>72</v>
      </c>
      <c r="AN916" s="2" t="s">
        <v>73</v>
      </c>
      <c r="AP916" s="2" t="s">
        <v>3341</v>
      </c>
      <c r="AT916" s="2" t="s">
        <v>114</v>
      </c>
      <c r="AU916" s="2" t="s">
        <v>75</v>
      </c>
      <c r="AW916" s="2" t="s">
        <v>7950</v>
      </c>
      <c r="AZ916" s="2" t="s">
        <v>116</v>
      </c>
    </row>
    <row r="917" spans="1:52" s="3" customFormat="1" x14ac:dyDescent="0.35">
      <c r="A917" s="2" t="s">
        <v>7951</v>
      </c>
      <c r="B917" s="4">
        <v>241615</v>
      </c>
      <c r="C917" s="2" t="s">
        <v>7952</v>
      </c>
      <c r="D917" s="2">
        <f t="shared" si="14"/>
        <v>1</v>
      </c>
      <c r="F917" s="2" t="s">
        <v>7953</v>
      </c>
      <c r="G917" s="2" t="s">
        <v>53</v>
      </c>
      <c r="H917" s="4">
        <v>1</v>
      </c>
      <c r="I917" s="4">
        <v>1</v>
      </c>
      <c r="J917" s="4">
        <v>650.1</v>
      </c>
      <c r="K917" s="2" t="s">
        <v>80</v>
      </c>
      <c r="L917" s="4">
        <v>650.1</v>
      </c>
      <c r="M917" s="2" t="s">
        <v>7954</v>
      </c>
      <c r="N917" s="2" t="s">
        <v>1658</v>
      </c>
      <c r="O917" s="2" t="s">
        <v>484</v>
      </c>
      <c r="P917" s="2" t="s">
        <v>4633</v>
      </c>
      <c r="Q917" s="2" t="s">
        <v>4634</v>
      </c>
      <c r="R917" s="2" t="s">
        <v>7955</v>
      </c>
      <c r="S917" s="2" t="s">
        <v>7956</v>
      </c>
      <c r="V917" s="2" t="s">
        <v>7957</v>
      </c>
      <c r="W917" s="2" t="s">
        <v>7958</v>
      </c>
      <c r="Y917" s="2" t="s">
        <v>7959</v>
      </c>
      <c r="Z917" s="2" t="s">
        <v>7960</v>
      </c>
      <c r="AA917" s="2" t="s">
        <v>7961</v>
      </c>
      <c r="AB917" s="2" t="s">
        <v>7962</v>
      </c>
      <c r="AC917" s="2" t="s">
        <v>7963</v>
      </c>
      <c r="AD917" s="2" t="s">
        <v>7964</v>
      </c>
      <c r="AE917" s="2" t="s">
        <v>69</v>
      </c>
      <c r="AF917" s="2" t="s">
        <v>70</v>
      </c>
      <c r="AK917" s="2" t="s">
        <v>7965</v>
      </c>
      <c r="AL917" s="2" t="s">
        <v>7966</v>
      </c>
      <c r="AM917" s="2" t="s">
        <v>72</v>
      </c>
      <c r="AN917" s="2" t="s">
        <v>473</v>
      </c>
      <c r="AP917" s="2" t="s">
        <v>4546</v>
      </c>
      <c r="AU917" s="2" t="s">
        <v>75</v>
      </c>
      <c r="AV917" s="2" t="s">
        <v>7953</v>
      </c>
      <c r="AW917" s="2" t="s">
        <v>7967</v>
      </c>
      <c r="AZ917" s="2" t="s">
        <v>77</v>
      </c>
    </row>
    <row r="918" spans="1:52" s="3" customFormat="1" x14ac:dyDescent="0.35">
      <c r="A918" s="2" t="s">
        <v>7968</v>
      </c>
      <c r="B918" s="4">
        <v>241614</v>
      </c>
      <c r="C918" s="2" t="s">
        <v>7969</v>
      </c>
      <c r="D918" s="2">
        <f t="shared" si="14"/>
        <v>1</v>
      </c>
      <c r="F918" s="2" t="s">
        <v>7953</v>
      </c>
      <c r="G918" s="2" t="s">
        <v>53</v>
      </c>
      <c r="H918" s="4">
        <v>1</v>
      </c>
      <c r="I918" s="4">
        <v>0</v>
      </c>
      <c r="J918" s="4">
        <v>0</v>
      </c>
      <c r="L918" s="4">
        <v>0</v>
      </c>
      <c r="N918" s="2" t="s">
        <v>56</v>
      </c>
      <c r="O918" s="2" t="s">
        <v>57</v>
      </c>
      <c r="P918" s="2" t="s">
        <v>4619</v>
      </c>
      <c r="Q918" s="2" t="s">
        <v>4620</v>
      </c>
      <c r="R918" s="2" t="s">
        <v>7970</v>
      </c>
      <c r="S918" s="2" t="s">
        <v>7971</v>
      </c>
      <c r="V918" s="2" t="s">
        <v>7972</v>
      </c>
      <c r="W918" s="2" t="s">
        <v>7973</v>
      </c>
      <c r="Y918" s="2" t="s">
        <v>4625</v>
      </c>
      <c r="Z918" s="2" t="s">
        <v>7974</v>
      </c>
      <c r="AA918" s="2" t="s">
        <v>457</v>
      </c>
      <c r="AB918" s="2" t="s">
        <v>7975</v>
      </c>
      <c r="AC918" s="2" t="s">
        <v>4627</v>
      </c>
      <c r="AD918" s="2" t="s">
        <v>3140</v>
      </c>
      <c r="AE918" s="2" t="s">
        <v>3141</v>
      </c>
      <c r="AF918" s="2" t="s">
        <v>70</v>
      </c>
      <c r="AK918" s="2" t="s">
        <v>7976</v>
      </c>
      <c r="AL918" s="2" t="s">
        <v>4629</v>
      </c>
      <c r="AM918" s="2" t="s">
        <v>72</v>
      </c>
      <c r="AN918" s="2" t="s">
        <v>73</v>
      </c>
      <c r="AP918" s="2" t="s">
        <v>3341</v>
      </c>
      <c r="AT918" s="2" t="s">
        <v>114</v>
      </c>
      <c r="AU918" s="2" t="s">
        <v>75</v>
      </c>
      <c r="AW918" s="2" t="s">
        <v>7977</v>
      </c>
      <c r="AZ918" s="2" t="s">
        <v>116</v>
      </c>
    </row>
    <row r="919" spans="1:52" s="3" customFormat="1" x14ac:dyDescent="0.35">
      <c r="A919" s="2" t="s">
        <v>7978</v>
      </c>
      <c r="B919" s="4">
        <v>241613</v>
      </c>
      <c r="C919" s="2" t="s">
        <v>7979</v>
      </c>
      <c r="D919" s="2">
        <f t="shared" si="14"/>
        <v>1</v>
      </c>
      <c r="F919" s="2" t="s">
        <v>7980</v>
      </c>
      <c r="G919" s="2" t="s">
        <v>53</v>
      </c>
      <c r="H919" s="4">
        <v>6</v>
      </c>
      <c r="I919" s="4">
        <v>1</v>
      </c>
      <c r="J919" s="5">
        <v>197400</v>
      </c>
      <c r="K919" s="2" t="s">
        <v>1252</v>
      </c>
      <c r="L919" s="5">
        <v>197400</v>
      </c>
      <c r="M919" s="2" t="s">
        <v>55</v>
      </c>
      <c r="N919" s="2" t="s">
        <v>1253</v>
      </c>
      <c r="O919" s="2" t="s">
        <v>1254</v>
      </c>
      <c r="P919" s="2" t="s">
        <v>7981</v>
      </c>
      <c r="Q919" s="2" t="s">
        <v>7982</v>
      </c>
      <c r="R919" s="2" t="s">
        <v>5239</v>
      </c>
      <c r="T919" s="2" t="s">
        <v>7983</v>
      </c>
      <c r="U919" s="2" t="s">
        <v>7984</v>
      </c>
      <c r="V919" s="2" t="s">
        <v>5241</v>
      </c>
      <c r="W919" s="2" t="s">
        <v>7985</v>
      </c>
      <c r="X919" s="2" t="s">
        <v>7986</v>
      </c>
      <c r="Y919" s="2" t="s">
        <v>7987</v>
      </c>
      <c r="Z919" s="2" t="s">
        <v>7988</v>
      </c>
      <c r="AA919" s="2" t="s">
        <v>7989</v>
      </c>
      <c r="AB919" s="2" t="s">
        <v>7990</v>
      </c>
      <c r="AC919" s="2" t="s">
        <v>7991</v>
      </c>
      <c r="AD919" s="2" t="s">
        <v>68</v>
      </c>
      <c r="AE919" s="2" t="s">
        <v>69</v>
      </c>
      <c r="AF919" s="2" t="s">
        <v>97</v>
      </c>
      <c r="AG919" s="2" t="s">
        <v>7992</v>
      </c>
      <c r="AK919" s="2" t="s">
        <v>7993</v>
      </c>
      <c r="AM919" s="2" t="s">
        <v>72</v>
      </c>
      <c r="AN919" s="2" t="s">
        <v>73</v>
      </c>
      <c r="AP919" s="2" t="s">
        <v>7994</v>
      </c>
      <c r="AS919" s="2" t="s">
        <v>7995</v>
      </c>
      <c r="AU919" s="2" t="s">
        <v>75</v>
      </c>
      <c r="AV919" s="2" t="s">
        <v>7996</v>
      </c>
      <c r="AW919" s="2" t="s">
        <v>7997</v>
      </c>
      <c r="AX919" s="2" t="s">
        <v>477</v>
      </c>
      <c r="AZ919" s="2" t="s">
        <v>1256</v>
      </c>
    </row>
    <row r="920" spans="1:52" s="3" customFormat="1" x14ac:dyDescent="0.35">
      <c r="A920" s="2" t="s">
        <v>7998</v>
      </c>
      <c r="B920" s="4">
        <v>241611</v>
      </c>
      <c r="C920" s="2" t="s">
        <v>7999</v>
      </c>
      <c r="D920" s="2">
        <f t="shared" si="14"/>
        <v>1</v>
      </c>
      <c r="F920" s="2" t="s">
        <v>7980</v>
      </c>
      <c r="G920" s="2" t="s">
        <v>53</v>
      </c>
      <c r="H920" s="4">
        <v>3</v>
      </c>
      <c r="I920" s="4">
        <v>1</v>
      </c>
      <c r="J920" s="5">
        <v>88290</v>
      </c>
      <c r="K920" s="2" t="s">
        <v>1252</v>
      </c>
      <c r="L920" s="5">
        <v>88290</v>
      </c>
      <c r="M920" s="2" t="s">
        <v>55</v>
      </c>
      <c r="N920" s="2" t="s">
        <v>1253</v>
      </c>
      <c r="O920" s="2" t="s">
        <v>1254</v>
      </c>
      <c r="P920" s="2" t="s">
        <v>4413</v>
      </c>
      <c r="Q920" s="2" t="s">
        <v>4414</v>
      </c>
      <c r="R920" s="2" t="s">
        <v>8000</v>
      </c>
      <c r="T920" s="2" t="s">
        <v>8001</v>
      </c>
      <c r="U920" s="2" t="s">
        <v>8002</v>
      </c>
      <c r="V920" s="2" t="s">
        <v>8003</v>
      </c>
      <c r="W920" s="2" t="s">
        <v>8004</v>
      </c>
      <c r="X920" s="2" t="s">
        <v>8005</v>
      </c>
      <c r="Y920" s="2" t="s">
        <v>8006</v>
      </c>
      <c r="Z920" s="2" t="s">
        <v>8007</v>
      </c>
      <c r="AA920" s="2" t="s">
        <v>8008</v>
      </c>
      <c r="AC920" s="2" t="s">
        <v>8009</v>
      </c>
      <c r="AD920" s="2" t="s">
        <v>8010</v>
      </c>
      <c r="AE920" s="2" t="s">
        <v>69</v>
      </c>
      <c r="AF920" s="2" t="s">
        <v>97</v>
      </c>
      <c r="AG920" s="2" t="s">
        <v>8011</v>
      </c>
      <c r="AK920" s="2" t="s">
        <v>8012</v>
      </c>
      <c r="AM920" s="2" t="s">
        <v>72</v>
      </c>
      <c r="AN920" s="2" t="s">
        <v>73</v>
      </c>
      <c r="AP920" s="2" t="s">
        <v>4426</v>
      </c>
      <c r="AS920" s="2" t="s">
        <v>8013</v>
      </c>
      <c r="AT920" s="2" t="s">
        <v>102</v>
      </c>
      <c r="AU920" s="2" t="s">
        <v>75</v>
      </c>
      <c r="AV920" s="2" t="s">
        <v>7953</v>
      </c>
      <c r="AW920" s="2" t="s">
        <v>8014</v>
      </c>
      <c r="AX920" s="2" t="s">
        <v>477</v>
      </c>
      <c r="AZ920" s="2" t="s">
        <v>478</v>
      </c>
    </row>
    <row r="921" spans="1:52" s="3" customFormat="1" x14ac:dyDescent="0.35">
      <c r="A921" s="2" t="s">
        <v>8015</v>
      </c>
      <c r="B921" s="4">
        <v>241602</v>
      </c>
      <c r="C921" s="2" t="s">
        <v>8016</v>
      </c>
      <c r="D921" s="2">
        <f t="shared" si="14"/>
        <v>1</v>
      </c>
      <c r="F921" s="2" t="s">
        <v>7953</v>
      </c>
      <c r="G921" s="2" t="s">
        <v>53</v>
      </c>
      <c r="H921" s="4">
        <v>1</v>
      </c>
      <c r="I921" s="4">
        <v>1</v>
      </c>
      <c r="J921" s="5">
        <v>225000</v>
      </c>
      <c r="L921" s="5">
        <v>633487.5</v>
      </c>
      <c r="M921" s="2" t="s">
        <v>55</v>
      </c>
      <c r="N921" s="2" t="s">
        <v>458</v>
      </c>
      <c r="O921" s="2" t="s">
        <v>459</v>
      </c>
      <c r="P921" s="2" t="s">
        <v>8017</v>
      </c>
      <c r="Q921" s="2" t="s">
        <v>8018</v>
      </c>
      <c r="R921" s="2" t="s">
        <v>8019</v>
      </c>
      <c r="T921" s="2" t="s">
        <v>8020</v>
      </c>
      <c r="U921" s="2" t="s">
        <v>8021</v>
      </c>
      <c r="V921" s="2" t="s">
        <v>8022</v>
      </c>
      <c r="W921" s="2" t="s">
        <v>8023</v>
      </c>
      <c r="X921" s="2" t="s">
        <v>8024</v>
      </c>
      <c r="Y921" s="2" t="s">
        <v>2838</v>
      </c>
      <c r="Z921" s="2" t="s">
        <v>2839</v>
      </c>
      <c r="AA921" s="2" t="s">
        <v>2840</v>
      </c>
      <c r="AB921" s="2" t="s">
        <v>8025</v>
      </c>
      <c r="AC921" s="2" t="s">
        <v>2842</v>
      </c>
      <c r="AD921" s="2" t="s">
        <v>1402</v>
      </c>
      <c r="AE921" s="2" t="s">
        <v>1403</v>
      </c>
      <c r="AF921" s="2" t="s">
        <v>70</v>
      </c>
      <c r="AG921" s="2" t="s">
        <v>8017</v>
      </c>
      <c r="AK921" s="2" t="s">
        <v>8026</v>
      </c>
      <c r="AM921" s="2" t="s">
        <v>72</v>
      </c>
      <c r="AN921" s="2" t="s">
        <v>403</v>
      </c>
      <c r="AP921" s="2" t="s">
        <v>2705</v>
      </c>
      <c r="AU921" s="2" t="s">
        <v>75</v>
      </c>
      <c r="AV921" s="2" t="s">
        <v>8027</v>
      </c>
      <c r="AW921" s="2" t="s">
        <v>8028</v>
      </c>
      <c r="AX921" s="2" t="s">
        <v>477</v>
      </c>
      <c r="AZ921" s="2" t="s">
        <v>478</v>
      </c>
    </row>
    <row r="922" spans="1:52" s="3" customFormat="1" x14ac:dyDescent="0.35">
      <c r="A922" s="2" t="s">
        <v>8015</v>
      </c>
      <c r="B922" s="4">
        <v>241602</v>
      </c>
      <c r="C922" s="2" t="s">
        <v>8016</v>
      </c>
      <c r="D922" s="2">
        <f t="shared" si="14"/>
        <v>1</v>
      </c>
      <c r="F922" s="2" t="s">
        <v>7953</v>
      </c>
      <c r="G922" s="2" t="s">
        <v>53</v>
      </c>
      <c r="H922" s="4">
        <v>1</v>
      </c>
      <c r="I922" s="4">
        <v>1</v>
      </c>
      <c r="J922" s="5">
        <v>225000</v>
      </c>
      <c r="L922" s="5">
        <v>633487.5</v>
      </c>
      <c r="M922" s="2" t="s">
        <v>55</v>
      </c>
      <c r="N922" s="2" t="s">
        <v>458</v>
      </c>
      <c r="O922" s="2" t="s">
        <v>459</v>
      </c>
      <c r="P922" s="2" t="s">
        <v>8017</v>
      </c>
      <c r="Q922" s="2" t="s">
        <v>8029</v>
      </c>
      <c r="R922" s="2" t="s">
        <v>8019</v>
      </c>
      <c r="T922" s="2" t="s">
        <v>8020</v>
      </c>
      <c r="U922" s="2" t="s">
        <v>8021</v>
      </c>
      <c r="V922" s="2" t="s">
        <v>8022</v>
      </c>
      <c r="W922" s="2" t="s">
        <v>8023</v>
      </c>
      <c r="X922" s="2" t="s">
        <v>8024</v>
      </c>
      <c r="Y922" s="2" t="s">
        <v>2838</v>
      </c>
      <c r="Z922" s="2" t="s">
        <v>2839</v>
      </c>
      <c r="AA922" s="2" t="s">
        <v>2840</v>
      </c>
      <c r="AB922" s="2" t="s">
        <v>8025</v>
      </c>
      <c r="AC922" s="2" t="s">
        <v>2842</v>
      </c>
      <c r="AD922" s="2" t="s">
        <v>1402</v>
      </c>
      <c r="AE922" s="2" t="s">
        <v>1403</v>
      </c>
      <c r="AF922" s="2" t="s">
        <v>70</v>
      </c>
      <c r="AG922" s="2" t="s">
        <v>8017</v>
      </c>
      <c r="AK922" s="2" t="s">
        <v>8026</v>
      </c>
      <c r="AM922" s="2" t="s">
        <v>72</v>
      </c>
      <c r="AN922" s="2" t="s">
        <v>403</v>
      </c>
      <c r="AP922" s="2" t="s">
        <v>2705</v>
      </c>
      <c r="AU922" s="2" t="s">
        <v>75</v>
      </c>
      <c r="AV922" s="2" t="s">
        <v>8027</v>
      </c>
      <c r="AW922" s="2" t="s">
        <v>8028</v>
      </c>
      <c r="AX922" s="2" t="s">
        <v>477</v>
      </c>
      <c r="AZ922" s="2" t="s">
        <v>478</v>
      </c>
    </row>
    <row r="923" spans="1:52" s="3" customFormat="1" x14ac:dyDescent="0.35">
      <c r="A923" s="2" t="s">
        <v>8015</v>
      </c>
      <c r="B923" s="4">
        <v>241602</v>
      </c>
      <c r="C923" s="2" t="s">
        <v>8016</v>
      </c>
      <c r="D923" s="2">
        <f t="shared" si="14"/>
        <v>1</v>
      </c>
      <c r="F923" s="2" t="s">
        <v>7953</v>
      </c>
      <c r="G923" s="2" t="s">
        <v>53</v>
      </c>
      <c r="H923" s="4">
        <v>1</v>
      </c>
      <c r="I923" s="4">
        <v>1</v>
      </c>
      <c r="J923" s="5">
        <v>225000</v>
      </c>
      <c r="L923" s="5">
        <v>633487.5</v>
      </c>
      <c r="M923" s="2" t="s">
        <v>55</v>
      </c>
      <c r="N923" s="2" t="s">
        <v>458</v>
      </c>
      <c r="O923" s="2" t="s">
        <v>459</v>
      </c>
      <c r="P923" s="2" t="s">
        <v>8017</v>
      </c>
      <c r="Q923" s="2" t="s">
        <v>8030</v>
      </c>
      <c r="R923" s="2" t="s">
        <v>8019</v>
      </c>
      <c r="T923" s="2" t="s">
        <v>8020</v>
      </c>
      <c r="U923" s="2" t="s">
        <v>8021</v>
      </c>
      <c r="V923" s="2" t="s">
        <v>8022</v>
      </c>
      <c r="W923" s="2" t="s">
        <v>8023</v>
      </c>
      <c r="X923" s="2" t="s">
        <v>8024</v>
      </c>
      <c r="Y923" s="2" t="s">
        <v>2838</v>
      </c>
      <c r="Z923" s="2" t="s">
        <v>2839</v>
      </c>
      <c r="AA923" s="2" t="s">
        <v>2840</v>
      </c>
      <c r="AB923" s="2" t="s">
        <v>8025</v>
      </c>
      <c r="AC923" s="2" t="s">
        <v>2842</v>
      </c>
      <c r="AD923" s="2" t="s">
        <v>1402</v>
      </c>
      <c r="AE923" s="2" t="s">
        <v>1403</v>
      </c>
      <c r="AF923" s="2" t="s">
        <v>70</v>
      </c>
      <c r="AG923" s="2" t="s">
        <v>8017</v>
      </c>
      <c r="AK923" s="2" t="s">
        <v>8026</v>
      </c>
      <c r="AM923" s="2" t="s">
        <v>72</v>
      </c>
      <c r="AN923" s="2" t="s">
        <v>403</v>
      </c>
      <c r="AP923" s="2" t="s">
        <v>2705</v>
      </c>
      <c r="AU923" s="2" t="s">
        <v>75</v>
      </c>
      <c r="AV923" s="2" t="s">
        <v>8027</v>
      </c>
      <c r="AW923" s="2" t="s">
        <v>8028</v>
      </c>
      <c r="AX923" s="2" t="s">
        <v>477</v>
      </c>
      <c r="AZ923" s="2" t="s">
        <v>478</v>
      </c>
    </row>
    <row r="924" spans="1:52" s="3" customFormat="1" x14ac:dyDescent="0.35">
      <c r="A924" s="2" t="s">
        <v>8033</v>
      </c>
      <c r="B924" s="4">
        <v>241593</v>
      </c>
      <c r="C924" s="2" t="s">
        <v>8034</v>
      </c>
      <c r="D924" s="2">
        <f t="shared" si="14"/>
        <v>1</v>
      </c>
      <c r="F924" s="2" t="s">
        <v>7953</v>
      </c>
      <c r="G924" s="2" t="s">
        <v>53</v>
      </c>
      <c r="H924" s="4">
        <v>45</v>
      </c>
      <c r="I924" s="4">
        <v>1</v>
      </c>
      <c r="J924" s="5">
        <v>325675</v>
      </c>
      <c r="L924" s="5">
        <v>305645.99</v>
      </c>
      <c r="M924" s="2" t="s">
        <v>55</v>
      </c>
      <c r="N924" s="2" t="s">
        <v>458</v>
      </c>
      <c r="O924" s="2" t="s">
        <v>459</v>
      </c>
      <c r="P924" s="2" t="s">
        <v>8035</v>
      </c>
      <c r="Q924" s="2" t="s">
        <v>8036</v>
      </c>
      <c r="R924" s="2" t="s">
        <v>5862</v>
      </c>
      <c r="T924" s="2" t="s">
        <v>5863</v>
      </c>
      <c r="U924" s="2" t="s">
        <v>5864</v>
      </c>
      <c r="V924" s="2" t="s">
        <v>5865</v>
      </c>
      <c r="W924" s="2" t="s">
        <v>5866</v>
      </c>
      <c r="X924" s="2" t="s">
        <v>5867</v>
      </c>
      <c r="Y924" s="2" t="s">
        <v>5868</v>
      </c>
      <c r="Z924" s="2" t="s">
        <v>5869</v>
      </c>
      <c r="AA924" s="2" t="s">
        <v>1624</v>
      </c>
      <c r="AB924" s="2" t="s">
        <v>5870</v>
      </c>
      <c r="AC924" s="2" t="s">
        <v>5871</v>
      </c>
      <c r="AD924" s="2" t="s">
        <v>1903</v>
      </c>
      <c r="AE924" s="2" t="s">
        <v>69</v>
      </c>
      <c r="AF924" s="2" t="s">
        <v>70</v>
      </c>
      <c r="AG924" s="2" t="s">
        <v>8037</v>
      </c>
      <c r="AK924" s="2" t="s">
        <v>8038</v>
      </c>
      <c r="AM924" s="2" t="s">
        <v>72</v>
      </c>
      <c r="AN924" s="2" t="s">
        <v>403</v>
      </c>
      <c r="AP924" s="2" t="s">
        <v>2705</v>
      </c>
      <c r="AU924" s="2" t="s">
        <v>75</v>
      </c>
      <c r="AV924" s="2" t="s">
        <v>5874</v>
      </c>
      <c r="AW924" s="2" t="s">
        <v>5875</v>
      </c>
      <c r="AX924" s="2" t="s">
        <v>477</v>
      </c>
      <c r="AZ924" s="2" t="s">
        <v>478</v>
      </c>
    </row>
    <row r="925" spans="1:52" s="3" customFormat="1" x14ac:dyDescent="0.35">
      <c r="A925" s="2" t="s">
        <v>8039</v>
      </c>
      <c r="B925" s="4">
        <v>243356</v>
      </c>
      <c r="C925" s="2" t="s">
        <v>8034</v>
      </c>
      <c r="D925" s="2">
        <f t="shared" si="14"/>
        <v>1</v>
      </c>
      <c r="F925" s="2" t="s">
        <v>6174</v>
      </c>
      <c r="G925" s="2" t="s">
        <v>53</v>
      </c>
      <c r="H925" s="4">
        <v>45</v>
      </c>
      <c r="I925" s="4">
        <v>1</v>
      </c>
      <c r="J925" s="5">
        <v>80000</v>
      </c>
      <c r="K925" s="2" t="s">
        <v>1252</v>
      </c>
      <c r="L925" s="5">
        <v>75080</v>
      </c>
      <c r="M925" s="2" t="s">
        <v>55</v>
      </c>
      <c r="N925" s="2" t="s">
        <v>1253</v>
      </c>
      <c r="O925" s="2" t="s">
        <v>1254</v>
      </c>
      <c r="P925" s="2" t="s">
        <v>8040</v>
      </c>
      <c r="Q925" s="2" t="s">
        <v>8041</v>
      </c>
      <c r="R925" s="2" t="s">
        <v>5862</v>
      </c>
      <c r="T925" s="2" t="s">
        <v>5863</v>
      </c>
      <c r="U925" s="2" t="s">
        <v>5864</v>
      </c>
      <c r="V925" s="2" t="s">
        <v>5865</v>
      </c>
      <c r="W925" s="2" t="s">
        <v>5866</v>
      </c>
      <c r="X925" s="2" t="s">
        <v>5867</v>
      </c>
      <c r="Y925" s="2" t="s">
        <v>5868</v>
      </c>
      <c r="Z925" s="2" t="s">
        <v>5869</v>
      </c>
      <c r="AA925" s="2" t="s">
        <v>1624</v>
      </c>
      <c r="AB925" s="2" t="s">
        <v>5870</v>
      </c>
      <c r="AC925" s="2" t="s">
        <v>5871</v>
      </c>
      <c r="AD925" s="2" t="s">
        <v>1903</v>
      </c>
      <c r="AE925" s="2" t="s">
        <v>69</v>
      </c>
      <c r="AF925" s="2" t="s">
        <v>70</v>
      </c>
      <c r="AG925" s="2" t="s">
        <v>8042</v>
      </c>
      <c r="AK925" s="2" t="s">
        <v>8043</v>
      </c>
      <c r="AM925" s="2" t="s">
        <v>72</v>
      </c>
      <c r="AN925" s="2" t="s">
        <v>403</v>
      </c>
      <c r="AP925" s="2" t="s">
        <v>6174</v>
      </c>
      <c r="AU925" s="2" t="s">
        <v>75</v>
      </c>
      <c r="AV925" s="2" t="s">
        <v>5874</v>
      </c>
      <c r="AW925" s="2" t="s">
        <v>5875</v>
      </c>
      <c r="AX925" s="2" t="s">
        <v>77</v>
      </c>
      <c r="AZ925" s="2" t="s">
        <v>77</v>
      </c>
    </row>
    <row r="926" spans="1:52" s="3" customFormat="1" x14ac:dyDescent="0.35">
      <c r="A926" s="2" t="s">
        <v>8044</v>
      </c>
      <c r="B926" s="4">
        <v>244940</v>
      </c>
      <c r="C926" s="2" t="s">
        <v>8034</v>
      </c>
      <c r="D926" s="2">
        <f t="shared" si="14"/>
        <v>1</v>
      </c>
      <c r="F926" s="2" t="s">
        <v>4770</v>
      </c>
      <c r="G926" s="2" t="s">
        <v>53</v>
      </c>
      <c r="H926" s="4">
        <v>174</v>
      </c>
      <c r="I926" s="4">
        <v>1</v>
      </c>
      <c r="J926" s="5">
        <v>156000</v>
      </c>
      <c r="K926" s="2" t="s">
        <v>1252</v>
      </c>
      <c r="L926" s="5">
        <v>146406</v>
      </c>
      <c r="M926" s="2" t="s">
        <v>55</v>
      </c>
      <c r="N926" s="2" t="s">
        <v>1253</v>
      </c>
      <c r="O926" s="2" t="s">
        <v>1254</v>
      </c>
      <c r="P926" s="2" t="s">
        <v>8045</v>
      </c>
      <c r="Q926" s="2" t="s">
        <v>8046</v>
      </c>
      <c r="R926" s="2" t="s">
        <v>5862</v>
      </c>
      <c r="T926" s="2" t="s">
        <v>5863</v>
      </c>
      <c r="U926" s="2" t="s">
        <v>5864</v>
      </c>
      <c r="V926" s="2" t="s">
        <v>8047</v>
      </c>
      <c r="W926" s="2" t="s">
        <v>5866</v>
      </c>
      <c r="X926" s="2" t="s">
        <v>5867</v>
      </c>
      <c r="Y926" s="2" t="s">
        <v>5868</v>
      </c>
      <c r="Z926" s="2" t="s">
        <v>5869</v>
      </c>
      <c r="AA926" s="2" t="s">
        <v>1624</v>
      </c>
      <c r="AB926" s="2" t="s">
        <v>5870</v>
      </c>
      <c r="AC926" s="2" t="s">
        <v>5871</v>
      </c>
      <c r="AD926" s="2" t="s">
        <v>1903</v>
      </c>
      <c r="AE926" s="2" t="s">
        <v>69</v>
      </c>
      <c r="AF926" s="2" t="s">
        <v>70</v>
      </c>
      <c r="AG926" s="2" t="s">
        <v>8048</v>
      </c>
      <c r="AK926" s="2" t="s">
        <v>8049</v>
      </c>
      <c r="AM926" s="2" t="s">
        <v>72</v>
      </c>
      <c r="AN926" s="2" t="s">
        <v>403</v>
      </c>
      <c r="AP926" s="2" t="s">
        <v>4546</v>
      </c>
      <c r="AU926" s="2" t="s">
        <v>75</v>
      </c>
      <c r="AV926" s="2" t="s">
        <v>5874</v>
      </c>
      <c r="AW926" s="2" t="s">
        <v>5875</v>
      </c>
      <c r="AX926" s="2" t="s">
        <v>77</v>
      </c>
      <c r="AZ926" s="2" t="s">
        <v>77</v>
      </c>
    </row>
    <row r="927" spans="1:52" s="3" customFormat="1" x14ac:dyDescent="0.35">
      <c r="A927" s="2" t="s">
        <v>8050</v>
      </c>
      <c r="B927" s="4">
        <v>244959</v>
      </c>
      <c r="C927" s="2" t="s">
        <v>8034</v>
      </c>
      <c r="D927" s="2">
        <f t="shared" si="14"/>
        <v>1</v>
      </c>
      <c r="F927" s="2" t="s">
        <v>4770</v>
      </c>
      <c r="G927" s="2" t="s">
        <v>53</v>
      </c>
      <c r="H927" s="4">
        <v>15</v>
      </c>
      <c r="I927" s="4">
        <v>1</v>
      </c>
      <c r="J927" s="5">
        <v>20325</v>
      </c>
      <c r="K927" s="2" t="s">
        <v>1252</v>
      </c>
      <c r="L927" s="5">
        <v>19075.009999999998</v>
      </c>
      <c r="M927" s="2" t="s">
        <v>55</v>
      </c>
      <c r="N927" s="2" t="s">
        <v>1253</v>
      </c>
      <c r="O927" s="2" t="s">
        <v>1254</v>
      </c>
      <c r="P927" s="2" t="s">
        <v>6234</v>
      </c>
      <c r="Q927" s="2" t="s">
        <v>6235</v>
      </c>
      <c r="R927" s="2" t="s">
        <v>5862</v>
      </c>
      <c r="T927" s="2" t="s">
        <v>5863</v>
      </c>
      <c r="U927" s="2" t="s">
        <v>5864</v>
      </c>
      <c r="V927" s="2" t="s">
        <v>5865</v>
      </c>
      <c r="W927" s="2" t="s">
        <v>5866</v>
      </c>
      <c r="X927" s="2" t="s">
        <v>5867</v>
      </c>
      <c r="Y927" s="2" t="s">
        <v>5868</v>
      </c>
      <c r="Z927" s="2" t="s">
        <v>5869</v>
      </c>
      <c r="AA927" s="2" t="s">
        <v>1624</v>
      </c>
      <c r="AB927" s="2" t="s">
        <v>5870</v>
      </c>
      <c r="AC927" s="2" t="s">
        <v>5871</v>
      </c>
      <c r="AD927" s="2" t="s">
        <v>1903</v>
      </c>
      <c r="AE927" s="2" t="s">
        <v>69</v>
      </c>
      <c r="AF927" s="2" t="s">
        <v>70</v>
      </c>
      <c r="AG927" s="2" t="s">
        <v>6234</v>
      </c>
      <c r="AK927" s="2" t="s">
        <v>8051</v>
      </c>
      <c r="AM927" s="2" t="s">
        <v>72</v>
      </c>
      <c r="AN927" s="2" t="s">
        <v>403</v>
      </c>
      <c r="AP927" s="2" t="s">
        <v>4546</v>
      </c>
      <c r="AU927" s="2" t="s">
        <v>75</v>
      </c>
      <c r="AV927" s="2" t="s">
        <v>5874</v>
      </c>
      <c r="AW927" s="2" t="s">
        <v>5875</v>
      </c>
      <c r="AX927" s="2" t="s">
        <v>77</v>
      </c>
      <c r="AZ927" s="2" t="s">
        <v>77</v>
      </c>
    </row>
    <row r="928" spans="1:52" s="3" customFormat="1" x14ac:dyDescent="0.35">
      <c r="A928" s="2" t="s">
        <v>8052</v>
      </c>
      <c r="B928" s="4">
        <v>248255</v>
      </c>
      <c r="C928" s="2" t="s">
        <v>8034</v>
      </c>
      <c r="D928" s="2">
        <f t="shared" si="14"/>
        <v>1</v>
      </c>
      <c r="F928" s="2" t="s">
        <v>2826</v>
      </c>
      <c r="G928" s="2" t="s">
        <v>53</v>
      </c>
      <c r="H928" s="4">
        <v>6</v>
      </c>
      <c r="I928" s="4">
        <v>1</v>
      </c>
      <c r="J928" s="5">
        <v>96000</v>
      </c>
      <c r="L928" s="5">
        <v>90096</v>
      </c>
      <c r="M928" s="2" t="s">
        <v>55</v>
      </c>
      <c r="N928" s="2" t="s">
        <v>458</v>
      </c>
      <c r="O928" s="2" t="s">
        <v>459</v>
      </c>
      <c r="P928" s="2" t="s">
        <v>8035</v>
      </c>
      <c r="Q928" s="2" t="s">
        <v>8053</v>
      </c>
      <c r="R928" s="2" t="s">
        <v>5862</v>
      </c>
      <c r="T928" s="2" t="s">
        <v>5863</v>
      </c>
      <c r="U928" s="2" t="s">
        <v>5864</v>
      </c>
      <c r="V928" s="2" t="s">
        <v>8047</v>
      </c>
      <c r="W928" s="2" t="s">
        <v>5866</v>
      </c>
      <c r="X928" s="2" t="s">
        <v>5867</v>
      </c>
      <c r="Y928" s="2" t="s">
        <v>5868</v>
      </c>
      <c r="Z928" s="2" t="s">
        <v>5869</v>
      </c>
      <c r="AA928" s="2" t="s">
        <v>1624</v>
      </c>
      <c r="AB928" s="2" t="s">
        <v>5870</v>
      </c>
      <c r="AC928" s="2" t="s">
        <v>5871</v>
      </c>
      <c r="AD928" s="2" t="s">
        <v>1903</v>
      </c>
      <c r="AE928" s="2" t="s">
        <v>69</v>
      </c>
      <c r="AF928" s="2" t="s">
        <v>70</v>
      </c>
      <c r="AG928" s="2" t="s">
        <v>8054</v>
      </c>
      <c r="AK928" s="2" t="s">
        <v>8055</v>
      </c>
      <c r="AM928" s="2" t="s">
        <v>72</v>
      </c>
      <c r="AN928" s="2" t="s">
        <v>403</v>
      </c>
      <c r="AP928" s="2" t="s">
        <v>8056</v>
      </c>
      <c r="AU928" s="2" t="s">
        <v>75</v>
      </c>
      <c r="AV928" s="2" t="s">
        <v>5874</v>
      </c>
      <c r="AW928" s="2" t="s">
        <v>5875</v>
      </c>
      <c r="AX928" s="2" t="s">
        <v>477</v>
      </c>
      <c r="AZ928" s="2" t="s">
        <v>478</v>
      </c>
    </row>
    <row r="929" spans="1:52" s="3" customFormat="1" x14ac:dyDescent="0.35">
      <c r="A929" s="2" t="s">
        <v>8057</v>
      </c>
      <c r="B929" s="4">
        <v>248257</v>
      </c>
      <c r="C929" s="2" t="s">
        <v>8034</v>
      </c>
      <c r="D929" s="2">
        <f t="shared" si="14"/>
        <v>1</v>
      </c>
      <c r="F929" s="2" t="s">
        <v>2826</v>
      </c>
      <c r="G929" s="2" t="s">
        <v>53</v>
      </c>
      <c r="H929" s="4">
        <v>60</v>
      </c>
      <c r="I929" s="4">
        <v>1</v>
      </c>
      <c r="J929" s="5">
        <v>132000</v>
      </c>
      <c r="L929" s="5">
        <v>123882</v>
      </c>
      <c r="M929" s="2" t="s">
        <v>55</v>
      </c>
      <c r="N929" s="2" t="s">
        <v>458</v>
      </c>
      <c r="O929" s="2" t="s">
        <v>459</v>
      </c>
      <c r="P929" s="2" t="s">
        <v>8035</v>
      </c>
      <c r="Q929" s="2" t="s">
        <v>8058</v>
      </c>
      <c r="R929" s="2" t="s">
        <v>5862</v>
      </c>
      <c r="T929" s="2" t="s">
        <v>5863</v>
      </c>
      <c r="U929" s="2" t="s">
        <v>5864</v>
      </c>
      <c r="V929" s="2" t="s">
        <v>8047</v>
      </c>
      <c r="W929" s="2" t="s">
        <v>5866</v>
      </c>
      <c r="X929" s="2" t="s">
        <v>5867</v>
      </c>
      <c r="Y929" s="2" t="s">
        <v>5868</v>
      </c>
      <c r="Z929" s="2" t="s">
        <v>5869</v>
      </c>
      <c r="AA929" s="2" t="s">
        <v>1624</v>
      </c>
      <c r="AB929" s="2" t="s">
        <v>5870</v>
      </c>
      <c r="AC929" s="2" t="s">
        <v>5871</v>
      </c>
      <c r="AD929" s="2" t="s">
        <v>1903</v>
      </c>
      <c r="AE929" s="2" t="s">
        <v>69</v>
      </c>
      <c r="AF929" s="2" t="s">
        <v>70</v>
      </c>
      <c r="AG929" s="2" t="s">
        <v>8059</v>
      </c>
      <c r="AK929" s="2" t="s">
        <v>8060</v>
      </c>
      <c r="AM929" s="2" t="s">
        <v>72</v>
      </c>
      <c r="AN929" s="2" t="s">
        <v>403</v>
      </c>
      <c r="AP929" s="2" t="s">
        <v>8056</v>
      </c>
      <c r="AU929" s="2" t="s">
        <v>75</v>
      </c>
      <c r="AV929" s="2" t="s">
        <v>5874</v>
      </c>
      <c r="AW929" s="2" t="s">
        <v>5875</v>
      </c>
      <c r="AX929" s="2" t="s">
        <v>477</v>
      </c>
      <c r="AZ929" s="2" t="s">
        <v>478</v>
      </c>
    </row>
    <row r="930" spans="1:52" s="3" customFormat="1" x14ac:dyDescent="0.35">
      <c r="A930" s="2" t="s">
        <v>8061</v>
      </c>
      <c r="B930" s="4">
        <v>241591</v>
      </c>
      <c r="C930" s="2" t="s">
        <v>8062</v>
      </c>
      <c r="D930" s="2">
        <f t="shared" si="14"/>
        <v>1</v>
      </c>
      <c r="F930" s="2" t="s">
        <v>7953</v>
      </c>
      <c r="G930" s="2" t="s">
        <v>53</v>
      </c>
      <c r="H930" s="4">
        <v>1</v>
      </c>
      <c r="I930" s="4">
        <v>0</v>
      </c>
      <c r="J930" s="4">
        <v>0</v>
      </c>
      <c r="L930" s="4">
        <v>0</v>
      </c>
      <c r="N930" s="2" t="s">
        <v>56</v>
      </c>
      <c r="O930" s="2" t="s">
        <v>57</v>
      </c>
      <c r="P930" s="2" t="s">
        <v>4619</v>
      </c>
      <c r="Q930" s="2" t="s">
        <v>4620</v>
      </c>
      <c r="R930" s="2" t="s">
        <v>8063</v>
      </c>
      <c r="S930" s="2" t="s">
        <v>8064</v>
      </c>
      <c r="V930" s="2" t="s">
        <v>8065</v>
      </c>
      <c r="W930" s="2" t="s">
        <v>8066</v>
      </c>
      <c r="Y930" s="2" t="s">
        <v>8067</v>
      </c>
      <c r="Z930" s="2" t="s">
        <v>8068</v>
      </c>
      <c r="AA930" s="2" t="s">
        <v>6166</v>
      </c>
      <c r="AB930" s="2" t="s">
        <v>8069</v>
      </c>
      <c r="AC930" s="2" t="s">
        <v>8070</v>
      </c>
      <c r="AD930" s="2" t="s">
        <v>2756</v>
      </c>
      <c r="AE930" s="2" t="s">
        <v>2757</v>
      </c>
      <c r="AF930" s="2" t="s">
        <v>70</v>
      </c>
      <c r="AK930" s="2" t="s">
        <v>8071</v>
      </c>
      <c r="AL930" s="2" t="s">
        <v>4629</v>
      </c>
      <c r="AM930" s="2" t="s">
        <v>72</v>
      </c>
      <c r="AN930" s="2" t="s">
        <v>73</v>
      </c>
      <c r="AP930" s="2" t="s">
        <v>3341</v>
      </c>
      <c r="AT930" s="2" t="s">
        <v>114</v>
      </c>
      <c r="AU930" s="2" t="s">
        <v>75</v>
      </c>
      <c r="AW930" s="2" t="s">
        <v>8072</v>
      </c>
      <c r="AZ930" s="2" t="s">
        <v>116</v>
      </c>
    </row>
    <row r="931" spans="1:52" s="3" customFormat="1" x14ac:dyDescent="0.35">
      <c r="A931" s="2" t="s">
        <v>8073</v>
      </c>
      <c r="B931" s="4">
        <v>241581</v>
      </c>
      <c r="C931" s="2" t="s">
        <v>8074</v>
      </c>
      <c r="D931" s="2">
        <f t="shared" si="14"/>
        <v>1</v>
      </c>
      <c r="F931" s="2" t="s">
        <v>7953</v>
      </c>
      <c r="G931" s="2" t="s">
        <v>53</v>
      </c>
      <c r="H931" s="4">
        <v>1</v>
      </c>
      <c r="I931" s="4">
        <v>0</v>
      </c>
      <c r="J931" s="4">
        <v>0</v>
      </c>
      <c r="L931" s="4">
        <v>0</v>
      </c>
      <c r="N931" s="2" t="s">
        <v>56</v>
      </c>
      <c r="O931" s="2" t="s">
        <v>57</v>
      </c>
      <c r="P931" s="2" t="s">
        <v>4619</v>
      </c>
      <c r="Q931" s="2" t="s">
        <v>4620</v>
      </c>
      <c r="R931" s="2" t="s">
        <v>8075</v>
      </c>
      <c r="S931" s="2" t="s">
        <v>8076</v>
      </c>
      <c r="V931" s="2" t="s">
        <v>8077</v>
      </c>
      <c r="W931" s="2" t="s">
        <v>8078</v>
      </c>
      <c r="Y931" s="2" t="s">
        <v>8079</v>
      </c>
      <c r="Z931" s="2" t="s">
        <v>8080</v>
      </c>
      <c r="AA931" s="2" t="s">
        <v>8081</v>
      </c>
      <c r="AC931" s="2" t="s">
        <v>8082</v>
      </c>
      <c r="AD931" s="2" t="s">
        <v>3756</v>
      </c>
      <c r="AE931" s="2" t="s">
        <v>2980</v>
      </c>
      <c r="AF931" s="2" t="s">
        <v>70</v>
      </c>
      <c r="AK931" s="2" t="s">
        <v>8083</v>
      </c>
      <c r="AL931" s="2" t="s">
        <v>4629</v>
      </c>
      <c r="AM931" s="2" t="s">
        <v>72</v>
      </c>
      <c r="AN931" s="2" t="s">
        <v>73</v>
      </c>
      <c r="AP931" s="2" t="s">
        <v>3341</v>
      </c>
      <c r="AT931" s="2" t="s">
        <v>114</v>
      </c>
      <c r="AU931" s="2" t="s">
        <v>75</v>
      </c>
      <c r="AW931" s="2" t="s">
        <v>8084</v>
      </c>
      <c r="AZ931" s="2" t="s">
        <v>116</v>
      </c>
    </row>
    <row r="932" spans="1:52" s="3" customFormat="1" x14ac:dyDescent="0.35">
      <c r="A932" s="2" t="s">
        <v>8089</v>
      </c>
      <c r="B932" s="4">
        <v>241575</v>
      </c>
      <c r="C932" s="2" t="s">
        <v>8090</v>
      </c>
      <c r="D932" s="2">
        <f t="shared" si="14"/>
        <v>1</v>
      </c>
      <c r="F932" s="2" t="s">
        <v>7953</v>
      </c>
      <c r="G932" s="2" t="s">
        <v>53</v>
      </c>
      <c r="H932" s="4">
        <v>1</v>
      </c>
      <c r="I932" s="4">
        <v>0</v>
      </c>
      <c r="J932" s="4">
        <v>0</v>
      </c>
      <c r="L932" s="4">
        <v>0</v>
      </c>
      <c r="N932" s="2" t="s">
        <v>56</v>
      </c>
      <c r="O932" s="2" t="s">
        <v>57</v>
      </c>
      <c r="P932" s="2" t="s">
        <v>4619</v>
      </c>
      <c r="Q932" s="2" t="s">
        <v>4620</v>
      </c>
      <c r="R932" s="2" t="s">
        <v>8091</v>
      </c>
      <c r="S932" s="2" t="s">
        <v>8092</v>
      </c>
      <c r="V932" s="2" t="s">
        <v>8093</v>
      </c>
      <c r="W932" s="2" t="s">
        <v>8094</v>
      </c>
      <c r="Y932" s="2" t="s">
        <v>8095</v>
      </c>
      <c r="Z932" s="2" t="s">
        <v>8096</v>
      </c>
      <c r="AA932" s="2" t="s">
        <v>8097</v>
      </c>
      <c r="AC932" s="2" t="s">
        <v>8098</v>
      </c>
      <c r="AD932" s="2" t="s">
        <v>3756</v>
      </c>
      <c r="AE932" s="2" t="s">
        <v>2980</v>
      </c>
      <c r="AF932" s="2" t="s">
        <v>70</v>
      </c>
      <c r="AK932" s="2" t="s">
        <v>8099</v>
      </c>
      <c r="AL932" s="2" t="s">
        <v>4629</v>
      </c>
      <c r="AM932" s="2" t="s">
        <v>72</v>
      </c>
      <c r="AN932" s="2" t="s">
        <v>73</v>
      </c>
      <c r="AP932" s="2" t="s">
        <v>3341</v>
      </c>
      <c r="AT932" s="2" t="s">
        <v>114</v>
      </c>
      <c r="AU932" s="2" t="s">
        <v>75</v>
      </c>
      <c r="AW932" s="2" t="s">
        <v>8100</v>
      </c>
      <c r="AZ932" s="2" t="s">
        <v>116</v>
      </c>
    </row>
    <row r="933" spans="1:52" s="3" customFormat="1" x14ac:dyDescent="0.35">
      <c r="A933" s="2" t="s">
        <v>8101</v>
      </c>
      <c r="B933" s="4">
        <v>241570</v>
      </c>
      <c r="C933" s="2" t="s">
        <v>8102</v>
      </c>
      <c r="D933" s="2">
        <f t="shared" si="14"/>
        <v>1</v>
      </c>
      <c r="F933" s="2" t="s">
        <v>7953</v>
      </c>
      <c r="G933" s="2" t="s">
        <v>53</v>
      </c>
      <c r="H933" s="4">
        <v>1</v>
      </c>
      <c r="I933" s="4">
        <v>0</v>
      </c>
      <c r="J933" s="4">
        <v>0</v>
      </c>
      <c r="L933" s="4">
        <v>0</v>
      </c>
      <c r="N933" s="2" t="s">
        <v>56</v>
      </c>
      <c r="O933" s="2" t="s">
        <v>57</v>
      </c>
      <c r="P933" s="2" t="s">
        <v>4619</v>
      </c>
      <c r="Q933" s="2" t="s">
        <v>4620</v>
      </c>
      <c r="R933" s="2" t="s">
        <v>8103</v>
      </c>
      <c r="S933" s="2" t="s">
        <v>8104</v>
      </c>
      <c r="V933" s="2" t="s">
        <v>8105</v>
      </c>
      <c r="W933" s="2" t="s">
        <v>8106</v>
      </c>
      <c r="Y933" s="2" t="s">
        <v>8107</v>
      </c>
      <c r="Z933" s="2" t="s">
        <v>8108</v>
      </c>
      <c r="AB933" s="2" t="s">
        <v>8109</v>
      </c>
      <c r="AC933" s="2" t="s">
        <v>8110</v>
      </c>
      <c r="AD933" s="2" t="s">
        <v>8111</v>
      </c>
      <c r="AE933" s="2" t="s">
        <v>3737</v>
      </c>
      <c r="AF933" s="2" t="s">
        <v>70</v>
      </c>
      <c r="AK933" s="2" t="s">
        <v>8112</v>
      </c>
      <c r="AL933" s="2" t="s">
        <v>4629</v>
      </c>
      <c r="AM933" s="2" t="s">
        <v>72</v>
      </c>
      <c r="AN933" s="2" t="s">
        <v>73</v>
      </c>
      <c r="AP933" s="2" t="s">
        <v>3341</v>
      </c>
      <c r="AT933" s="2" t="s">
        <v>114</v>
      </c>
      <c r="AU933" s="2" t="s">
        <v>75</v>
      </c>
      <c r="AV933" s="2" t="s">
        <v>8113</v>
      </c>
      <c r="AW933" s="2" t="s">
        <v>8114</v>
      </c>
      <c r="AZ933" s="2" t="s">
        <v>116</v>
      </c>
    </row>
    <row r="934" spans="1:52" s="3" customFormat="1" x14ac:dyDescent="0.35">
      <c r="A934" s="2" t="s">
        <v>8115</v>
      </c>
      <c r="B934" s="4">
        <v>241569</v>
      </c>
      <c r="C934" s="2" t="s">
        <v>8116</v>
      </c>
      <c r="D934" s="2">
        <f t="shared" si="14"/>
        <v>1</v>
      </c>
      <c r="F934" s="2" t="s">
        <v>7953</v>
      </c>
      <c r="G934" s="2" t="s">
        <v>53</v>
      </c>
      <c r="H934" s="4">
        <v>1</v>
      </c>
      <c r="I934" s="4">
        <v>0</v>
      </c>
      <c r="J934" s="4">
        <v>0</v>
      </c>
      <c r="L934" s="4">
        <v>0</v>
      </c>
      <c r="N934" s="2" t="s">
        <v>56</v>
      </c>
      <c r="O934" s="2" t="s">
        <v>57</v>
      </c>
      <c r="P934" s="2" t="s">
        <v>4619</v>
      </c>
      <c r="Q934" s="2" t="s">
        <v>4620</v>
      </c>
      <c r="R934" s="2" t="s">
        <v>8117</v>
      </c>
      <c r="S934" s="2" t="s">
        <v>8118</v>
      </c>
      <c r="V934" s="2" t="s">
        <v>8119</v>
      </c>
      <c r="W934" s="2" t="s">
        <v>8120</v>
      </c>
      <c r="Y934" s="2" t="s">
        <v>8121</v>
      </c>
      <c r="Z934" s="2" t="s">
        <v>8122</v>
      </c>
      <c r="AA934" s="2" t="s">
        <v>8123</v>
      </c>
      <c r="AC934" s="2" t="s">
        <v>8124</v>
      </c>
      <c r="AD934" s="2" t="s">
        <v>3756</v>
      </c>
      <c r="AE934" s="2" t="s">
        <v>2980</v>
      </c>
      <c r="AF934" s="2" t="s">
        <v>70</v>
      </c>
      <c r="AK934" s="2" t="s">
        <v>8125</v>
      </c>
      <c r="AL934" s="2" t="s">
        <v>4629</v>
      </c>
      <c r="AM934" s="2" t="s">
        <v>72</v>
      </c>
      <c r="AN934" s="2" t="s">
        <v>73</v>
      </c>
      <c r="AP934" s="2" t="s">
        <v>3341</v>
      </c>
      <c r="AT934" s="2" t="s">
        <v>114</v>
      </c>
      <c r="AU934" s="2" t="s">
        <v>75</v>
      </c>
      <c r="AW934" s="2" t="s">
        <v>8126</v>
      </c>
      <c r="AZ934" s="2" t="s">
        <v>116</v>
      </c>
    </row>
    <row r="935" spans="1:52" s="3" customFormat="1" x14ac:dyDescent="0.35">
      <c r="A935" s="2" t="s">
        <v>8127</v>
      </c>
      <c r="B935" s="4">
        <v>241567</v>
      </c>
      <c r="C935" s="2" t="s">
        <v>8128</v>
      </c>
      <c r="D935" s="2">
        <f t="shared" si="14"/>
        <v>1</v>
      </c>
      <c r="F935" s="2" t="s">
        <v>7953</v>
      </c>
      <c r="G935" s="2" t="s">
        <v>53</v>
      </c>
      <c r="H935" s="4">
        <v>1</v>
      </c>
      <c r="I935" s="4">
        <v>0</v>
      </c>
      <c r="J935" s="4">
        <v>0</v>
      </c>
      <c r="L935" s="4">
        <v>0</v>
      </c>
      <c r="N935" s="2" t="s">
        <v>56</v>
      </c>
      <c r="O935" s="2" t="s">
        <v>57</v>
      </c>
      <c r="P935" s="2" t="s">
        <v>4619</v>
      </c>
      <c r="Q935" s="2" t="s">
        <v>4620</v>
      </c>
      <c r="R935" s="2" t="s">
        <v>8129</v>
      </c>
      <c r="S935" s="2" t="s">
        <v>8130</v>
      </c>
      <c r="V935" s="2" t="s">
        <v>8131</v>
      </c>
      <c r="W935" s="2" t="s">
        <v>8132</v>
      </c>
      <c r="Y935" s="2" t="s">
        <v>8133</v>
      </c>
      <c r="Z935" s="2" t="s">
        <v>8134</v>
      </c>
      <c r="AA935" s="2" t="s">
        <v>7107</v>
      </c>
      <c r="AB935" s="2" t="s">
        <v>8135</v>
      </c>
      <c r="AC935" s="2" t="s">
        <v>8136</v>
      </c>
      <c r="AD935" s="2" t="s">
        <v>7884</v>
      </c>
      <c r="AE935" s="2" t="s">
        <v>6739</v>
      </c>
      <c r="AF935" s="2" t="s">
        <v>70</v>
      </c>
      <c r="AK935" s="2" t="s">
        <v>8137</v>
      </c>
      <c r="AL935" s="2" t="s">
        <v>4629</v>
      </c>
      <c r="AM935" s="2" t="s">
        <v>72</v>
      </c>
      <c r="AN935" s="2" t="s">
        <v>73</v>
      </c>
      <c r="AP935" s="2" t="s">
        <v>3341</v>
      </c>
      <c r="AT935" s="2" t="s">
        <v>114</v>
      </c>
      <c r="AU935" s="2" t="s">
        <v>75</v>
      </c>
      <c r="AW935" s="2" t="s">
        <v>8138</v>
      </c>
      <c r="AZ935" s="2" t="s">
        <v>116</v>
      </c>
    </row>
    <row r="936" spans="1:52" s="3" customFormat="1" x14ac:dyDescent="0.35">
      <c r="A936" s="2" t="s">
        <v>8139</v>
      </c>
      <c r="B936" s="4">
        <v>241565</v>
      </c>
      <c r="C936" s="2" t="s">
        <v>8140</v>
      </c>
      <c r="D936" s="2">
        <f t="shared" si="14"/>
        <v>1</v>
      </c>
      <c r="F936" s="2" t="s">
        <v>7953</v>
      </c>
      <c r="G936" s="2" t="s">
        <v>53</v>
      </c>
      <c r="H936" s="4">
        <v>1</v>
      </c>
      <c r="I936" s="4">
        <v>0</v>
      </c>
      <c r="J936" s="4">
        <v>0</v>
      </c>
      <c r="L936" s="4">
        <v>0</v>
      </c>
      <c r="N936" s="2" t="s">
        <v>56</v>
      </c>
      <c r="O936" s="2" t="s">
        <v>57</v>
      </c>
      <c r="P936" s="2" t="s">
        <v>4619</v>
      </c>
      <c r="Q936" s="2" t="s">
        <v>4620</v>
      </c>
      <c r="R936" s="2" t="s">
        <v>8117</v>
      </c>
      <c r="S936" s="2" t="s">
        <v>8118</v>
      </c>
      <c r="V936" s="2" t="s">
        <v>8141</v>
      </c>
      <c r="W936" s="2" t="s">
        <v>8120</v>
      </c>
      <c r="Y936" s="2" t="s">
        <v>8121</v>
      </c>
      <c r="Z936" s="2" t="s">
        <v>8122</v>
      </c>
      <c r="AA936" s="2" t="s">
        <v>8123</v>
      </c>
      <c r="AC936" s="2" t="s">
        <v>8124</v>
      </c>
      <c r="AD936" s="2" t="s">
        <v>3756</v>
      </c>
      <c r="AE936" s="2" t="s">
        <v>2980</v>
      </c>
      <c r="AF936" s="2" t="s">
        <v>70</v>
      </c>
      <c r="AK936" s="2" t="s">
        <v>8142</v>
      </c>
      <c r="AL936" s="2" t="s">
        <v>4629</v>
      </c>
      <c r="AM936" s="2" t="s">
        <v>72</v>
      </c>
      <c r="AN936" s="2" t="s">
        <v>73</v>
      </c>
      <c r="AP936" s="2" t="s">
        <v>3341</v>
      </c>
      <c r="AT936" s="2" t="s">
        <v>114</v>
      </c>
      <c r="AU936" s="2" t="s">
        <v>75</v>
      </c>
      <c r="AW936" s="2" t="s">
        <v>8126</v>
      </c>
      <c r="AZ936" s="2" t="s">
        <v>116</v>
      </c>
    </row>
    <row r="937" spans="1:52" s="3" customFormat="1" x14ac:dyDescent="0.35">
      <c r="A937" s="2" t="s">
        <v>8143</v>
      </c>
      <c r="B937" s="4">
        <v>241564</v>
      </c>
      <c r="C937" s="2" t="s">
        <v>8144</v>
      </c>
      <c r="D937" s="2">
        <f t="shared" si="14"/>
        <v>1</v>
      </c>
      <c r="F937" s="2" t="s">
        <v>7953</v>
      </c>
      <c r="G937" s="2" t="s">
        <v>53</v>
      </c>
      <c r="H937" s="4">
        <v>1</v>
      </c>
      <c r="I937" s="4">
        <v>0</v>
      </c>
      <c r="J937" s="4">
        <v>0</v>
      </c>
      <c r="L937" s="4">
        <v>0</v>
      </c>
      <c r="N937" s="2" t="s">
        <v>56</v>
      </c>
      <c r="O937" s="2" t="s">
        <v>57</v>
      </c>
      <c r="P937" s="2" t="s">
        <v>4619</v>
      </c>
      <c r="Q937" s="2" t="s">
        <v>4620</v>
      </c>
      <c r="R937" s="2" t="s">
        <v>8145</v>
      </c>
      <c r="S937" s="2" t="s">
        <v>8146</v>
      </c>
      <c r="V937" s="2" t="s">
        <v>8147</v>
      </c>
      <c r="W937" s="2" t="s">
        <v>8148</v>
      </c>
      <c r="Y937" s="2" t="s">
        <v>8149</v>
      </c>
      <c r="Z937" s="2" t="s">
        <v>8150</v>
      </c>
      <c r="AA937" s="2" t="s">
        <v>8151</v>
      </c>
      <c r="AC937" s="2" t="s">
        <v>8152</v>
      </c>
      <c r="AD937" s="2" t="s">
        <v>3756</v>
      </c>
      <c r="AE937" s="2" t="s">
        <v>2980</v>
      </c>
      <c r="AF937" s="2" t="s">
        <v>70</v>
      </c>
      <c r="AK937" s="2" t="s">
        <v>8153</v>
      </c>
      <c r="AL937" s="2" t="s">
        <v>4629</v>
      </c>
      <c r="AM937" s="2" t="s">
        <v>72</v>
      </c>
      <c r="AN937" s="2" t="s">
        <v>73</v>
      </c>
      <c r="AP937" s="2" t="s">
        <v>3341</v>
      </c>
      <c r="AT937" s="2" t="s">
        <v>114</v>
      </c>
      <c r="AU937" s="2" t="s">
        <v>75</v>
      </c>
      <c r="AW937" s="2" t="s">
        <v>8154</v>
      </c>
      <c r="AZ937" s="2" t="s">
        <v>116</v>
      </c>
    </row>
    <row r="938" spans="1:52" s="3" customFormat="1" x14ac:dyDescent="0.35">
      <c r="A938" s="2" t="s">
        <v>8155</v>
      </c>
      <c r="B938" s="4">
        <v>241563</v>
      </c>
      <c r="C938" s="2" t="s">
        <v>8156</v>
      </c>
      <c r="D938" s="2">
        <f t="shared" si="14"/>
        <v>1</v>
      </c>
      <c r="F938" s="2" t="s">
        <v>7953</v>
      </c>
      <c r="G938" s="2" t="s">
        <v>53</v>
      </c>
      <c r="H938" s="4">
        <v>1</v>
      </c>
      <c r="I938" s="4">
        <v>1</v>
      </c>
      <c r="J938" s="4">
        <v>650.1</v>
      </c>
      <c r="K938" s="2" t="s">
        <v>80</v>
      </c>
      <c r="L938" s="4">
        <v>650.1</v>
      </c>
      <c r="M938" s="2" t="s">
        <v>8157</v>
      </c>
      <c r="N938" s="2" t="s">
        <v>1658</v>
      </c>
      <c r="O938" s="2" t="s">
        <v>484</v>
      </c>
      <c r="P938" s="2" t="s">
        <v>4633</v>
      </c>
      <c r="Q938" s="2" t="s">
        <v>4634</v>
      </c>
      <c r="R938" s="2" t="s">
        <v>8158</v>
      </c>
      <c r="S938" s="2" t="s">
        <v>8159</v>
      </c>
      <c r="V938" s="2" t="s">
        <v>8160</v>
      </c>
      <c r="W938" s="2" t="s">
        <v>8161</v>
      </c>
      <c r="Y938" s="2" t="s">
        <v>8162</v>
      </c>
      <c r="Z938" s="2" t="s">
        <v>8163</v>
      </c>
      <c r="AA938" s="2" t="s">
        <v>8164</v>
      </c>
      <c r="AB938" s="2" t="s">
        <v>8165</v>
      </c>
      <c r="AC938" s="2" t="s">
        <v>8166</v>
      </c>
      <c r="AD938" s="2" t="s">
        <v>68</v>
      </c>
      <c r="AE938" s="2" t="s">
        <v>69</v>
      </c>
      <c r="AF938" s="2" t="s">
        <v>70</v>
      </c>
      <c r="AK938" s="2" t="s">
        <v>8167</v>
      </c>
      <c r="AL938" s="2" t="s">
        <v>7966</v>
      </c>
      <c r="AM938" s="2" t="s">
        <v>72</v>
      </c>
      <c r="AN938" s="2" t="s">
        <v>473</v>
      </c>
      <c r="AP938" s="2" t="s">
        <v>4546</v>
      </c>
      <c r="AU938" s="2" t="s">
        <v>75</v>
      </c>
      <c r="AV938" s="2" t="s">
        <v>8168</v>
      </c>
      <c r="AW938" s="2" t="s">
        <v>8169</v>
      </c>
      <c r="AZ938" s="2" t="s">
        <v>77</v>
      </c>
    </row>
    <row r="939" spans="1:52" s="3" customFormat="1" x14ac:dyDescent="0.35">
      <c r="A939" s="2" t="s">
        <v>8170</v>
      </c>
      <c r="B939" s="4">
        <v>241562</v>
      </c>
      <c r="C939" s="2" t="s">
        <v>8156</v>
      </c>
      <c r="D939" s="2">
        <f t="shared" si="14"/>
        <v>1</v>
      </c>
      <c r="F939" s="2" t="s">
        <v>7953</v>
      </c>
      <c r="G939" s="2" t="s">
        <v>53</v>
      </c>
      <c r="H939" s="4">
        <v>1</v>
      </c>
      <c r="I939" s="4">
        <v>0</v>
      </c>
      <c r="J939" s="4">
        <v>0</v>
      </c>
      <c r="L939" s="4">
        <v>0</v>
      </c>
      <c r="N939" s="2" t="s">
        <v>56</v>
      </c>
      <c r="O939" s="2" t="s">
        <v>57</v>
      </c>
      <c r="P939" s="2" t="s">
        <v>4619</v>
      </c>
      <c r="Q939" s="2" t="s">
        <v>4620</v>
      </c>
      <c r="R939" s="2" t="s">
        <v>8171</v>
      </c>
      <c r="S939" s="2" t="s">
        <v>8172</v>
      </c>
      <c r="V939" s="2" t="s">
        <v>8173</v>
      </c>
      <c r="W939" s="2" t="s">
        <v>8174</v>
      </c>
      <c r="Y939" s="2" t="s">
        <v>5958</v>
      </c>
      <c r="Z939" s="2" t="s">
        <v>5959</v>
      </c>
      <c r="AA939" s="2" t="s">
        <v>5960</v>
      </c>
      <c r="AB939" s="2" t="s">
        <v>4780</v>
      </c>
      <c r="AC939" s="2" t="s">
        <v>5961</v>
      </c>
      <c r="AD939" s="2" t="s">
        <v>3756</v>
      </c>
      <c r="AE939" s="2" t="s">
        <v>2980</v>
      </c>
      <c r="AF939" s="2" t="s">
        <v>70</v>
      </c>
      <c r="AK939" s="2" t="s">
        <v>8175</v>
      </c>
      <c r="AL939" s="2" t="s">
        <v>4629</v>
      </c>
      <c r="AM939" s="2" t="s">
        <v>72</v>
      </c>
      <c r="AN939" s="2" t="s">
        <v>73</v>
      </c>
      <c r="AP939" s="2" t="s">
        <v>3341</v>
      </c>
      <c r="AT939" s="2" t="s">
        <v>114</v>
      </c>
      <c r="AU939" s="2" t="s">
        <v>75</v>
      </c>
      <c r="AW939" s="2" t="s">
        <v>8176</v>
      </c>
      <c r="AZ939" s="2" t="s">
        <v>116</v>
      </c>
    </row>
    <row r="940" spans="1:52" s="3" customFormat="1" x14ac:dyDescent="0.35">
      <c r="A940" s="2" t="s">
        <v>8177</v>
      </c>
      <c r="B940" s="4">
        <v>241559</v>
      </c>
      <c r="C940" s="2" t="s">
        <v>8178</v>
      </c>
      <c r="D940" s="2">
        <f t="shared" si="14"/>
        <v>1</v>
      </c>
      <c r="F940" s="2" t="s">
        <v>7953</v>
      </c>
      <c r="G940" s="2" t="s">
        <v>53</v>
      </c>
      <c r="H940" s="4">
        <v>1</v>
      </c>
      <c r="I940" s="4">
        <v>0</v>
      </c>
      <c r="J940" s="4">
        <v>0</v>
      </c>
      <c r="L940" s="4">
        <v>0</v>
      </c>
      <c r="N940" s="2" t="s">
        <v>56</v>
      </c>
      <c r="O940" s="2" t="s">
        <v>57</v>
      </c>
      <c r="P940" s="2" t="s">
        <v>4619</v>
      </c>
      <c r="Q940" s="2" t="s">
        <v>4620</v>
      </c>
      <c r="R940" s="2" t="s">
        <v>8179</v>
      </c>
      <c r="S940" s="2" t="s">
        <v>8180</v>
      </c>
      <c r="V940" s="2" t="s">
        <v>8181</v>
      </c>
      <c r="W940" s="2" t="s">
        <v>8182</v>
      </c>
      <c r="Y940" s="2" t="s">
        <v>8183</v>
      </c>
      <c r="Z940" s="2" t="s">
        <v>8184</v>
      </c>
      <c r="AA940" s="2" t="s">
        <v>8185</v>
      </c>
      <c r="AB940" s="2" t="s">
        <v>8186</v>
      </c>
      <c r="AC940" s="2" t="s">
        <v>8187</v>
      </c>
      <c r="AD940" s="2" t="s">
        <v>8188</v>
      </c>
      <c r="AE940" s="2" t="s">
        <v>8189</v>
      </c>
      <c r="AF940" s="2" t="s">
        <v>70</v>
      </c>
      <c r="AK940" s="2" t="s">
        <v>8190</v>
      </c>
      <c r="AL940" s="2" t="s">
        <v>4629</v>
      </c>
      <c r="AM940" s="2" t="s">
        <v>72</v>
      </c>
      <c r="AN940" s="2" t="s">
        <v>73</v>
      </c>
      <c r="AP940" s="2" t="s">
        <v>3341</v>
      </c>
      <c r="AT940" s="2" t="s">
        <v>114</v>
      </c>
      <c r="AU940" s="2" t="s">
        <v>75</v>
      </c>
      <c r="AW940" s="2" t="s">
        <v>8191</v>
      </c>
      <c r="AZ940" s="2" t="s">
        <v>116</v>
      </c>
    </row>
    <row r="941" spans="1:52" s="3" customFormat="1" x14ac:dyDescent="0.35">
      <c r="A941" s="2" t="s">
        <v>8192</v>
      </c>
      <c r="B941" s="4">
        <v>241556</v>
      </c>
      <c r="C941" s="2" t="s">
        <v>8193</v>
      </c>
      <c r="D941" s="2">
        <f t="shared" si="14"/>
        <v>1</v>
      </c>
      <c r="F941" s="2" t="s">
        <v>7953</v>
      </c>
      <c r="G941" s="2" t="s">
        <v>53</v>
      </c>
      <c r="H941" s="4">
        <v>1</v>
      </c>
      <c r="I941" s="4">
        <v>0</v>
      </c>
      <c r="J941" s="4">
        <v>0</v>
      </c>
      <c r="L941" s="4">
        <v>0</v>
      </c>
      <c r="N941" s="2" t="s">
        <v>56</v>
      </c>
      <c r="O941" s="2" t="s">
        <v>57</v>
      </c>
      <c r="P941" s="2" t="s">
        <v>4619</v>
      </c>
      <c r="Q941" s="2" t="s">
        <v>4620</v>
      </c>
      <c r="R941" s="2" t="s">
        <v>8194</v>
      </c>
      <c r="S941" s="2" t="s">
        <v>8195</v>
      </c>
      <c r="T941" s="2" t="s">
        <v>5954</v>
      </c>
      <c r="U941" s="2" t="s">
        <v>5955</v>
      </c>
      <c r="V941" s="2" t="s">
        <v>8196</v>
      </c>
      <c r="W941" s="2" t="s">
        <v>8197</v>
      </c>
      <c r="Y941" s="2" t="s">
        <v>5958</v>
      </c>
      <c r="Z941" s="2" t="s">
        <v>5959</v>
      </c>
      <c r="AA941" s="2" t="s">
        <v>5960</v>
      </c>
      <c r="AB941" s="2" t="s">
        <v>8198</v>
      </c>
      <c r="AC941" s="2" t="s">
        <v>5961</v>
      </c>
      <c r="AD941" s="2" t="s">
        <v>3756</v>
      </c>
      <c r="AE941" s="2" t="s">
        <v>2980</v>
      </c>
      <c r="AF941" s="2" t="s">
        <v>70</v>
      </c>
      <c r="AK941" s="2" t="s">
        <v>8199</v>
      </c>
      <c r="AL941" s="2" t="s">
        <v>4629</v>
      </c>
      <c r="AM941" s="2" t="s">
        <v>72</v>
      </c>
      <c r="AN941" s="2" t="s">
        <v>73</v>
      </c>
      <c r="AP941" s="2" t="s">
        <v>3341</v>
      </c>
      <c r="AT941" s="2" t="s">
        <v>114</v>
      </c>
      <c r="AU941" s="2" t="s">
        <v>75</v>
      </c>
      <c r="AV941" s="2" t="s">
        <v>5963</v>
      </c>
      <c r="AW941" s="2" t="s">
        <v>5964</v>
      </c>
      <c r="AZ941" s="2" t="s">
        <v>116</v>
      </c>
    </row>
    <row r="942" spans="1:52" s="3" customFormat="1" x14ac:dyDescent="0.35">
      <c r="A942" s="2" t="s">
        <v>8200</v>
      </c>
      <c r="B942" s="4">
        <v>241555</v>
      </c>
      <c r="C942" s="2" t="s">
        <v>8201</v>
      </c>
      <c r="D942" s="2">
        <f t="shared" si="14"/>
        <v>1</v>
      </c>
      <c r="F942" s="2" t="s">
        <v>7953</v>
      </c>
      <c r="G942" s="2" t="s">
        <v>53</v>
      </c>
      <c r="H942" s="4">
        <v>1</v>
      </c>
      <c r="I942" s="4">
        <v>0</v>
      </c>
      <c r="J942" s="4">
        <v>0</v>
      </c>
      <c r="L942" s="4">
        <v>0</v>
      </c>
      <c r="N942" s="2" t="s">
        <v>56</v>
      </c>
      <c r="O942" s="2" t="s">
        <v>57</v>
      </c>
      <c r="P942" s="2" t="s">
        <v>4619</v>
      </c>
      <c r="Q942" s="2" t="s">
        <v>4620</v>
      </c>
      <c r="R942" s="2" t="s">
        <v>8202</v>
      </c>
      <c r="S942" s="2" t="s">
        <v>8203</v>
      </c>
      <c r="T942" s="2" t="s">
        <v>5954</v>
      </c>
      <c r="U942" s="2" t="s">
        <v>5955</v>
      </c>
      <c r="V942" s="2" t="s">
        <v>8204</v>
      </c>
      <c r="W942" s="2" t="s">
        <v>8205</v>
      </c>
      <c r="Y942" s="2" t="s">
        <v>5958</v>
      </c>
      <c r="Z942" s="2" t="s">
        <v>5959</v>
      </c>
      <c r="AA942" s="2" t="s">
        <v>5960</v>
      </c>
      <c r="AB942" s="2" t="s">
        <v>8206</v>
      </c>
      <c r="AC942" s="2" t="s">
        <v>5961</v>
      </c>
      <c r="AD942" s="2" t="s">
        <v>3756</v>
      </c>
      <c r="AE942" s="2" t="s">
        <v>2980</v>
      </c>
      <c r="AF942" s="2" t="s">
        <v>70</v>
      </c>
      <c r="AK942" s="2" t="s">
        <v>8207</v>
      </c>
      <c r="AL942" s="2" t="s">
        <v>4629</v>
      </c>
      <c r="AM942" s="2" t="s">
        <v>72</v>
      </c>
      <c r="AN942" s="2" t="s">
        <v>73</v>
      </c>
      <c r="AP942" s="2" t="s">
        <v>3341</v>
      </c>
      <c r="AT942" s="2" t="s">
        <v>114</v>
      </c>
      <c r="AU942" s="2" t="s">
        <v>75</v>
      </c>
      <c r="AV942" s="2" t="s">
        <v>5963</v>
      </c>
      <c r="AW942" s="2" t="s">
        <v>5964</v>
      </c>
      <c r="AZ942" s="2" t="s">
        <v>116</v>
      </c>
    </row>
    <row r="943" spans="1:52" s="3" customFormat="1" x14ac:dyDescent="0.35">
      <c r="A943" s="2" t="s">
        <v>8208</v>
      </c>
      <c r="B943" s="4">
        <v>241552</v>
      </c>
      <c r="C943" s="2" t="s">
        <v>8209</v>
      </c>
      <c r="D943" s="2">
        <f t="shared" si="14"/>
        <v>1</v>
      </c>
      <c r="F943" s="2" t="s">
        <v>7953</v>
      </c>
      <c r="G943" s="2" t="s">
        <v>53</v>
      </c>
      <c r="H943" s="4">
        <v>1</v>
      </c>
      <c r="I943" s="4">
        <v>0</v>
      </c>
      <c r="J943" s="4">
        <v>0</v>
      </c>
      <c r="L943" s="4">
        <v>0</v>
      </c>
      <c r="N943" s="2" t="s">
        <v>56</v>
      </c>
      <c r="O943" s="2" t="s">
        <v>57</v>
      </c>
      <c r="P943" s="2" t="s">
        <v>4619</v>
      </c>
      <c r="Q943" s="2" t="s">
        <v>4620</v>
      </c>
      <c r="R943" s="2" t="s">
        <v>8179</v>
      </c>
      <c r="S943" s="2" t="s">
        <v>8180</v>
      </c>
      <c r="V943" s="2" t="s">
        <v>8181</v>
      </c>
      <c r="W943" s="2" t="s">
        <v>8182</v>
      </c>
      <c r="Y943" s="2" t="s">
        <v>8183</v>
      </c>
      <c r="Z943" s="2" t="s">
        <v>8184</v>
      </c>
      <c r="AA943" s="2" t="s">
        <v>8185</v>
      </c>
      <c r="AB943" s="2" t="s">
        <v>8186</v>
      </c>
      <c r="AC943" s="2" t="s">
        <v>8187</v>
      </c>
      <c r="AD943" s="2" t="s">
        <v>8188</v>
      </c>
      <c r="AE943" s="2" t="s">
        <v>8189</v>
      </c>
      <c r="AF943" s="2" t="s">
        <v>70</v>
      </c>
      <c r="AK943" s="2" t="s">
        <v>8210</v>
      </c>
      <c r="AL943" s="2" t="s">
        <v>4629</v>
      </c>
      <c r="AM943" s="2" t="s">
        <v>72</v>
      </c>
      <c r="AN943" s="2" t="s">
        <v>73</v>
      </c>
      <c r="AP943" s="2" t="s">
        <v>3341</v>
      </c>
      <c r="AT943" s="2" t="s">
        <v>114</v>
      </c>
      <c r="AU943" s="2" t="s">
        <v>75</v>
      </c>
      <c r="AW943" s="2" t="s">
        <v>8191</v>
      </c>
      <c r="AZ943" s="2" t="s">
        <v>116</v>
      </c>
    </row>
    <row r="944" spans="1:52" s="3" customFormat="1" x14ac:dyDescent="0.35">
      <c r="A944" s="2" t="s">
        <v>8211</v>
      </c>
      <c r="B944" s="4">
        <v>246821</v>
      </c>
      <c r="C944" s="2" t="s">
        <v>8212</v>
      </c>
      <c r="D944" s="2">
        <f t="shared" si="14"/>
        <v>1</v>
      </c>
      <c r="F944" s="2" t="s">
        <v>6157</v>
      </c>
      <c r="G944" s="2" t="s">
        <v>53</v>
      </c>
      <c r="H944" s="4">
        <v>3</v>
      </c>
      <c r="I944" s="4">
        <v>1</v>
      </c>
      <c r="J944" s="5">
        <v>45000</v>
      </c>
      <c r="L944" s="5">
        <v>309705</v>
      </c>
      <c r="M944" s="2" t="s">
        <v>55</v>
      </c>
      <c r="N944" s="2" t="s">
        <v>458</v>
      </c>
      <c r="O944" s="2" t="s">
        <v>459</v>
      </c>
      <c r="P944" s="2" t="s">
        <v>4877</v>
      </c>
      <c r="Q944" s="2" t="s">
        <v>4878</v>
      </c>
      <c r="R944" s="2" t="s">
        <v>8085</v>
      </c>
      <c r="T944" s="2" t="s">
        <v>3511</v>
      </c>
      <c r="U944" s="2" t="s">
        <v>8086</v>
      </c>
      <c r="V944" s="2" t="s">
        <v>8087</v>
      </c>
      <c r="W944" s="2" t="s">
        <v>8088</v>
      </c>
      <c r="X944" s="2" t="s">
        <v>8088</v>
      </c>
      <c r="Y944" s="2" t="s">
        <v>6164</v>
      </c>
      <c r="Z944" s="2" t="s">
        <v>6165</v>
      </c>
      <c r="AA944" s="2" t="s">
        <v>6166</v>
      </c>
      <c r="AC944" s="2" t="s">
        <v>6167</v>
      </c>
      <c r="AD944" s="2" t="s">
        <v>3521</v>
      </c>
      <c r="AE944" s="2" t="s">
        <v>96</v>
      </c>
      <c r="AF944" s="2" t="s">
        <v>70</v>
      </c>
      <c r="AG944" s="2" t="s">
        <v>3352</v>
      </c>
      <c r="AK944" s="2" t="s">
        <v>8213</v>
      </c>
      <c r="AM944" s="2" t="s">
        <v>72</v>
      </c>
      <c r="AN944" s="2" t="s">
        <v>403</v>
      </c>
      <c r="AP944" s="2" t="s">
        <v>3758</v>
      </c>
      <c r="AU944" s="2" t="s">
        <v>75</v>
      </c>
      <c r="AV944" s="2" t="s">
        <v>3524</v>
      </c>
      <c r="AW944" s="2" t="s">
        <v>3525</v>
      </c>
      <c r="AX944" s="2" t="s">
        <v>477</v>
      </c>
      <c r="AZ944" s="2" t="s">
        <v>1256</v>
      </c>
    </row>
    <row r="945" spans="1:52" s="3" customFormat="1" x14ac:dyDescent="0.35">
      <c r="A945" s="2" t="s">
        <v>8211</v>
      </c>
      <c r="B945" s="4">
        <v>246821</v>
      </c>
      <c r="C945" s="2" t="s">
        <v>8212</v>
      </c>
      <c r="D945" s="2">
        <f t="shared" si="14"/>
        <v>1</v>
      </c>
      <c r="F945" s="2" t="s">
        <v>6157</v>
      </c>
      <c r="G945" s="2" t="s">
        <v>53</v>
      </c>
      <c r="H945" s="4">
        <v>6</v>
      </c>
      <c r="I945" s="4">
        <v>1</v>
      </c>
      <c r="J945" s="5">
        <v>95535</v>
      </c>
      <c r="L945" s="5">
        <v>309705</v>
      </c>
      <c r="M945" s="2" t="s">
        <v>55</v>
      </c>
      <c r="N945" s="2" t="s">
        <v>458</v>
      </c>
      <c r="O945" s="2" t="s">
        <v>459</v>
      </c>
      <c r="P945" s="2" t="s">
        <v>460</v>
      </c>
      <c r="Q945" s="2" t="s">
        <v>461</v>
      </c>
      <c r="R945" s="2" t="s">
        <v>8085</v>
      </c>
      <c r="T945" s="2" t="s">
        <v>3511</v>
      </c>
      <c r="U945" s="2" t="s">
        <v>8086</v>
      </c>
      <c r="V945" s="2" t="s">
        <v>8087</v>
      </c>
      <c r="W945" s="2" t="s">
        <v>8088</v>
      </c>
      <c r="X945" s="2" t="s">
        <v>8088</v>
      </c>
      <c r="Y945" s="2" t="s">
        <v>6164</v>
      </c>
      <c r="Z945" s="2" t="s">
        <v>6165</v>
      </c>
      <c r="AA945" s="2" t="s">
        <v>6166</v>
      </c>
      <c r="AC945" s="2" t="s">
        <v>6167</v>
      </c>
      <c r="AD945" s="2" t="s">
        <v>3521</v>
      </c>
      <c r="AE945" s="2" t="s">
        <v>96</v>
      </c>
      <c r="AF945" s="2" t="s">
        <v>70</v>
      </c>
      <c r="AG945" s="2" t="s">
        <v>3352</v>
      </c>
      <c r="AK945" s="2" t="s">
        <v>8213</v>
      </c>
      <c r="AM945" s="2" t="s">
        <v>72</v>
      </c>
      <c r="AN945" s="2" t="s">
        <v>403</v>
      </c>
      <c r="AP945" s="2" t="s">
        <v>474</v>
      </c>
      <c r="AU945" s="2" t="s">
        <v>75</v>
      </c>
      <c r="AV945" s="2" t="s">
        <v>3524</v>
      </c>
      <c r="AW945" s="2" t="s">
        <v>3525</v>
      </c>
      <c r="AX945" s="2" t="s">
        <v>477</v>
      </c>
      <c r="AZ945" s="2" t="s">
        <v>1256</v>
      </c>
    </row>
    <row r="946" spans="1:52" s="3" customFormat="1" x14ac:dyDescent="0.35">
      <c r="A946" s="2" t="s">
        <v>8211</v>
      </c>
      <c r="B946" s="4">
        <v>246821</v>
      </c>
      <c r="C946" s="2" t="s">
        <v>8212</v>
      </c>
      <c r="D946" s="2">
        <f t="shared" si="14"/>
        <v>1</v>
      </c>
      <c r="F946" s="2" t="s">
        <v>6157</v>
      </c>
      <c r="G946" s="2" t="s">
        <v>53</v>
      </c>
      <c r="H946" s="4">
        <v>2</v>
      </c>
      <c r="I946" s="4">
        <v>1</v>
      </c>
      <c r="J946" s="5">
        <v>30000</v>
      </c>
      <c r="L946" s="5">
        <v>309705</v>
      </c>
      <c r="M946" s="2" t="s">
        <v>55</v>
      </c>
      <c r="N946" s="2" t="s">
        <v>458</v>
      </c>
      <c r="O946" s="2" t="s">
        <v>459</v>
      </c>
      <c r="P946" s="2" t="s">
        <v>1051</v>
      </c>
      <c r="Q946" s="2" t="s">
        <v>1052</v>
      </c>
      <c r="R946" s="2" t="s">
        <v>8085</v>
      </c>
      <c r="T946" s="2" t="s">
        <v>3511</v>
      </c>
      <c r="U946" s="2" t="s">
        <v>8086</v>
      </c>
      <c r="V946" s="2" t="s">
        <v>8087</v>
      </c>
      <c r="W946" s="2" t="s">
        <v>8088</v>
      </c>
      <c r="X946" s="2" t="s">
        <v>8088</v>
      </c>
      <c r="Y946" s="2" t="s">
        <v>6164</v>
      </c>
      <c r="Z946" s="2" t="s">
        <v>6165</v>
      </c>
      <c r="AA946" s="2" t="s">
        <v>6166</v>
      </c>
      <c r="AC946" s="2" t="s">
        <v>6167</v>
      </c>
      <c r="AD946" s="2" t="s">
        <v>3521</v>
      </c>
      <c r="AE946" s="2" t="s">
        <v>96</v>
      </c>
      <c r="AF946" s="2" t="s">
        <v>70</v>
      </c>
      <c r="AG946" s="2" t="s">
        <v>3352</v>
      </c>
      <c r="AK946" s="2" t="s">
        <v>8213</v>
      </c>
      <c r="AM946" s="2" t="s">
        <v>72</v>
      </c>
      <c r="AN946" s="2" t="s">
        <v>403</v>
      </c>
      <c r="AP946" s="2" t="s">
        <v>1058</v>
      </c>
      <c r="AU946" s="2" t="s">
        <v>75</v>
      </c>
      <c r="AV946" s="2" t="s">
        <v>3524</v>
      </c>
      <c r="AW946" s="2" t="s">
        <v>3525</v>
      </c>
      <c r="AX946" s="2" t="s">
        <v>477</v>
      </c>
      <c r="AZ946" s="2" t="s">
        <v>1256</v>
      </c>
    </row>
    <row r="947" spans="1:52" s="3" customFormat="1" x14ac:dyDescent="0.35">
      <c r="A947" s="2" t="s">
        <v>8211</v>
      </c>
      <c r="B947" s="4">
        <v>246821</v>
      </c>
      <c r="C947" s="2" t="s">
        <v>8212</v>
      </c>
      <c r="D947" s="2">
        <f t="shared" si="14"/>
        <v>1</v>
      </c>
      <c r="F947" s="2" t="s">
        <v>6157</v>
      </c>
      <c r="G947" s="2" t="s">
        <v>53</v>
      </c>
      <c r="H947" s="4">
        <v>9</v>
      </c>
      <c r="I947" s="4">
        <v>1</v>
      </c>
      <c r="J947" s="5">
        <v>135000</v>
      </c>
      <c r="L947" s="5">
        <v>309705</v>
      </c>
      <c r="M947" s="2" t="s">
        <v>55</v>
      </c>
      <c r="N947" s="2" t="s">
        <v>458</v>
      </c>
      <c r="O947" s="2" t="s">
        <v>459</v>
      </c>
      <c r="P947" s="2" t="s">
        <v>6284</v>
      </c>
      <c r="Q947" s="2" t="s">
        <v>6285</v>
      </c>
      <c r="R947" s="2" t="s">
        <v>8085</v>
      </c>
      <c r="T947" s="2" t="s">
        <v>3511</v>
      </c>
      <c r="U947" s="2" t="s">
        <v>8086</v>
      </c>
      <c r="V947" s="2" t="s">
        <v>8087</v>
      </c>
      <c r="W947" s="2" t="s">
        <v>8088</v>
      </c>
      <c r="X947" s="2" t="s">
        <v>8088</v>
      </c>
      <c r="Y947" s="2" t="s">
        <v>6164</v>
      </c>
      <c r="Z947" s="2" t="s">
        <v>6165</v>
      </c>
      <c r="AA947" s="2" t="s">
        <v>6166</v>
      </c>
      <c r="AC947" s="2" t="s">
        <v>6167</v>
      </c>
      <c r="AD947" s="2" t="s">
        <v>3521</v>
      </c>
      <c r="AE947" s="2" t="s">
        <v>96</v>
      </c>
      <c r="AF947" s="2" t="s">
        <v>70</v>
      </c>
      <c r="AG947" s="2" t="s">
        <v>3352</v>
      </c>
      <c r="AK947" s="2" t="s">
        <v>8213</v>
      </c>
      <c r="AM947" s="2" t="s">
        <v>72</v>
      </c>
      <c r="AN947" s="2" t="s">
        <v>403</v>
      </c>
      <c r="AP947" s="2" t="s">
        <v>6286</v>
      </c>
      <c r="AU947" s="2" t="s">
        <v>75</v>
      </c>
      <c r="AV947" s="2" t="s">
        <v>3524</v>
      </c>
      <c r="AW947" s="2" t="s">
        <v>3525</v>
      </c>
      <c r="AX947" s="2" t="s">
        <v>477</v>
      </c>
      <c r="AZ947" s="2" t="s">
        <v>1256</v>
      </c>
    </row>
    <row r="948" spans="1:52" s="3" customFormat="1" x14ac:dyDescent="0.35">
      <c r="A948" s="2" t="s">
        <v>8211</v>
      </c>
      <c r="B948" s="4">
        <v>246821</v>
      </c>
      <c r="C948" s="2" t="s">
        <v>8212</v>
      </c>
      <c r="D948" s="2">
        <f t="shared" si="14"/>
        <v>1</v>
      </c>
      <c r="F948" s="2" t="s">
        <v>6157</v>
      </c>
      <c r="G948" s="2" t="s">
        <v>53</v>
      </c>
      <c r="H948" s="4">
        <v>2</v>
      </c>
      <c r="I948" s="4">
        <v>1</v>
      </c>
      <c r="J948" s="5">
        <v>31845</v>
      </c>
      <c r="L948" s="5">
        <v>309705</v>
      </c>
      <c r="M948" s="2" t="s">
        <v>55</v>
      </c>
      <c r="N948" s="2" t="s">
        <v>458</v>
      </c>
      <c r="O948" s="2" t="s">
        <v>459</v>
      </c>
      <c r="P948" s="2" t="s">
        <v>6287</v>
      </c>
      <c r="Q948" s="2" t="s">
        <v>6288</v>
      </c>
      <c r="R948" s="2" t="s">
        <v>8085</v>
      </c>
      <c r="T948" s="2" t="s">
        <v>3511</v>
      </c>
      <c r="U948" s="2" t="s">
        <v>8086</v>
      </c>
      <c r="V948" s="2" t="s">
        <v>8087</v>
      </c>
      <c r="W948" s="2" t="s">
        <v>8088</v>
      </c>
      <c r="X948" s="2" t="s">
        <v>8088</v>
      </c>
      <c r="Y948" s="2" t="s">
        <v>6164</v>
      </c>
      <c r="Z948" s="2" t="s">
        <v>6165</v>
      </c>
      <c r="AA948" s="2" t="s">
        <v>6166</v>
      </c>
      <c r="AC948" s="2" t="s">
        <v>6167</v>
      </c>
      <c r="AD948" s="2" t="s">
        <v>3521</v>
      </c>
      <c r="AE948" s="2" t="s">
        <v>96</v>
      </c>
      <c r="AF948" s="2" t="s">
        <v>70</v>
      </c>
      <c r="AG948" s="2" t="s">
        <v>3352</v>
      </c>
      <c r="AK948" s="2" t="s">
        <v>8213</v>
      </c>
      <c r="AM948" s="2" t="s">
        <v>72</v>
      </c>
      <c r="AN948" s="2" t="s">
        <v>403</v>
      </c>
      <c r="AP948" s="2" t="s">
        <v>6289</v>
      </c>
      <c r="AU948" s="2" t="s">
        <v>75</v>
      </c>
      <c r="AV948" s="2" t="s">
        <v>3524</v>
      </c>
      <c r="AW948" s="2" t="s">
        <v>3525</v>
      </c>
      <c r="AX948" s="2" t="s">
        <v>477</v>
      </c>
      <c r="AZ948" s="2" t="s">
        <v>1256</v>
      </c>
    </row>
    <row r="949" spans="1:52" s="3" customFormat="1" x14ac:dyDescent="0.35">
      <c r="A949" s="2" t="s">
        <v>8214</v>
      </c>
      <c r="B949" s="4">
        <v>246824</v>
      </c>
      <c r="C949" s="2" t="s">
        <v>8212</v>
      </c>
      <c r="D949" s="2">
        <f t="shared" si="14"/>
        <v>1</v>
      </c>
      <c r="F949" s="2" t="s">
        <v>8215</v>
      </c>
      <c r="G949" s="2" t="s">
        <v>53</v>
      </c>
      <c r="H949" s="4">
        <v>1</v>
      </c>
      <c r="I949" s="4">
        <v>1</v>
      </c>
      <c r="J949" s="5">
        <v>15000</v>
      </c>
      <c r="L949" s="5">
        <v>14077.5</v>
      </c>
      <c r="M949" s="2" t="s">
        <v>55</v>
      </c>
      <c r="N949" s="2" t="s">
        <v>458</v>
      </c>
      <c r="O949" s="2" t="s">
        <v>459</v>
      </c>
      <c r="P949" s="2" t="s">
        <v>4877</v>
      </c>
      <c r="Q949" s="2" t="s">
        <v>4878</v>
      </c>
      <c r="R949" s="2" t="s">
        <v>8085</v>
      </c>
      <c r="T949" s="2" t="s">
        <v>3511</v>
      </c>
      <c r="U949" s="2" t="s">
        <v>8086</v>
      </c>
      <c r="V949" s="2" t="s">
        <v>8087</v>
      </c>
      <c r="W949" s="2" t="s">
        <v>8088</v>
      </c>
      <c r="X949" s="2" t="s">
        <v>8088</v>
      </c>
      <c r="Y949" s="2" t="s">
        <v>6164</v>
      </c>
      <c r="Z949" s="2" t="s">
        <v>6165</v>
      </c>
      <c r="AA949" s="2" t="s">
        <v>6166</v>
      </c>
      <c r="AC949" s="2" t="s">
        <v>6167</v>
      </c>
      <c r="AD949" s="2" t="s">
        <v>3521</v>
      </c>
      <c r="AE949" s="2" t="s">
        <v>96</v>
      </c>
      <c r="AF949" s="2" t="s">
        <v>70</v>
      </c>
      <c r="AG949" s="2" t="s">
        <v>3352</v>
      </c>
      <c r="AK949" s="2" t="s">
        <v>8216</v>
      </c>
      <c r="AM949" s="2" t="s">
        <v>72</v>
      </c>
      <c r="AN949" s="2" t="s">
        <v>403</v>
      </c>
      <c r="AP949" s="2" t="s">
        <v>3758</v>
      </c>
      <c r="AU949" s="2" t="s">
        <v>75</v>
      </c>
      <c r="AV949" s="2" t="s">
        <v>3524</v>
      </c>
      <c r="AW949" s="2" t="s">
        <v>3525</v>
      </c>
      <c r="AX949" s="2" t="s">
        <v>77</v>
      </c>
      <c r="AZ949" s="2" t="s">
        <v>77</v>
      </c>
    </row>
    <row r="950" spans="1:52" s="3" customFormat="1" x14ac:dyDescent="0.35">
      <c r="A950" s="2" t="s">
        <v>8217</v>
      </c>
      <c r="B950" s="4">
        <v>241540</v>
      </c>
      <c r="C950" s="2" t="s">
        <v>8212</v>
      </c>
      <c r="D950" s="2">
        <f t="shared" si="14"/>
        <v>1</v>
      </c>
      <c r="F950" s="2" t="s">
        <v>7953</v>
      </c>
      <c r="G950" s="2" t="s">
        <v>53</v>
      </c>
      <c r="H950" s="4">
        <v>1</v>
      </c>
      <c r="I950" s="4">
        <v>0</v>
      </c>
      <c r="J950" s="4">
        <v>0</v>
      </c>
      <c r="L950" s="4">
        <v>0</v>
      </c>
      <c r="N950" s="2" t="s">
        <v>56</v>
      </c>
      <c r="O950" s="2" t="s">
        <v>57</v>
      </c>
      <c r="P950" s="2" t="s">
        <v>4619</v>
      </c>
      <c r="Q950" s="2" t="s">
        <v>4620</v>
      </c>
      <c r="R950" s="2" t="s">
        <v>8218</v>
      </c>
      <c r="S950" s="2" t="s">
        <v>8219</v>
      </c>
      <c r="V950" s="2" t="s">
        <v>8220</v>
      </c>
      <c r="W950" s="2" t="s">
        <v>8221</v>
      </c>
      <c r="Y950" s="2" t="s">
        <v>8222</v>
      </c>
      <c r="Z950" s="2" t="s">
        <v>8223</v>
      </c>
      <c r="AA950" s="2" t="s">
        <v>8224</v>
      </c>
      <c r="AC950" s="2" t="s">
        <v>8225</v>
      </c>
      <c r="AD950" s="2" t="s">
        <v>3140</v>
      </c>
      <c r="AE950" s="2" t="s">
        <v>3141</v>
      </c>
      <c r="AF950" s="2" t="s">
        <v>70</v>
      </c>
      <c r="AK950" s="2" t="s">
        <v>8226</v>
      </c>
      <c r="AL950" s="2" t="s">
        <v>4629</v>
      </c>
      <c r="AM950" s="2" t="s">
        <v>72</v>
      </c>
      <c r="AN950" s="2" t="s">
        <v>73</v>
      </c>
      <c r="AP950" s="2" t="s">
        <v>3341</v>
      </c>
      <c r="AT950" s="2" t="s">
        <v>114</v>
      </c>
      <c r="AU950" s="2" t="s">
        <v>75</v>
      </c>
      <c r="AV950" s="2" t="s">
        <v>7728</v>
      </c>
      <c r="AW950" s="2" t="s">
        <v>8227</v>
      </c>
      <c r="AZ950" s="2" t="s">
        <v>116</v>
      </c>
    </row>
    <row r="951" spans="1:52" s="3" customFormat="1" x14ac:dyDescent="0.35">
      <c r="A951" s="2" t="s">
        <v>8228</v>
      </c>
      <c r="B951" s="4">
        <v>241536</v>
      </c>
      <c r="C951" s="2" t="s">
        <v>8229</v>
      </c>
      <c r="D951" s="2">
        <f t="shared" si="14"/>
        <v>1</v>
      </c>
      <c r="F951" s="2" t="s">
        <v>7953</v>
      </c>
      <c r="G951" s="2" t="s">
        <v>53</v>
      </c>
      <c r="H951" s="4">
        <v>1</v>
      </c>
      <c r="I951" s="4">
        <v>1</v>
      </c>
      <c r="J951" s="4">
        <v>0</v>
      </c>
      <c r="L951" s="4">
        <v>0</v>
      </c>
      <c r="M951" s="2" t="s">
        <v>55</v>
      </c>
      <c r="N951" s="2" t="s">
        <v>56</v>
      </c>
      <c r="O951" s="2" t="s">
        <v>57</v>
      </c>
      <c r="P951" s="2" t="s">
        <v>8230</v>
      </c>
      <c r="Q951" s="2" t="s">
        <v>8231</v>
      </c>
      <c r="R951" s="2" t="s">
        <v>8232</v>
      </c>
      <c r="S951" s="2" t="s">
        <v>8233</v>
      </c>
      <c r="V951" s="2" t="s">
        <v>8234</v>
      </c>
      <c r="W951" s="2" t="s">
        <v>8235</v>
      </c>
      <c r="Y951" s="2" t="s">
        <v>8236</v>
      </c>
      <c r="Z951" s="2" t="s">
        <v>2163</v>
      </c>
      <c r="AA951" s="2" t="s">
        <v>1379</v>
      </c>
      <c r="AC951" s="2" t="s">
        <v>8237</v>
      </c>
      <c r="AD951" s="2" t="s">
        <v>1381</v>
      </c>
      <c r="AE951" s="2" t="s">
        <v>69</v>
      </c>
      <c r="AF951" s="2" t="s">
        <v>70</v>
      </c>
      <c r="AG951" s="2" t="s">
        <v>8238</v>
      </c>
      <c r="AK951" s="2" t="s">
        <v>8239</v>
      </c>
      <c r="AM951" s="2" t="s">
        <v>72</v>
      </c>
      <c r="AN951" s="2" t="s">
        <v>1046</v>
      </c>
      <c r="AP951" s="2" t="s">
        <v>8240</v>
      </c>
      <c r="AT951" s="2" t="s">
        <v>114</v>
      </c>
      <c r="AU951" s="2" t="s">
        <v>75</v>
      </c>
      <c r="AW951" s="2" t="s">
        <v>8241</v>
      </c>
      <c r="AZ951" s="2" t="s">
        <v>116</v>
      </c>
    </row>
    <row r="952" spans="1:52" s="3" customFormat="1" x14ac:dyDescent="0.35">
      <c r="A952" s="2" t="s">
        <v>8242</v>
      </c>
      <c r="B952" s="4">
        <v>241531</v>
      </c>
      <c r="C952" s="2" t="s">
        <v>8243</v>
      </c>
      <c r="D952" s="2">
        <f t="shared" si="14"/>
        <v>1</v>
      </c>
      <c r="F952" s="2" t="s">
        <v>7953</v>
      </c>
      <c r="G952" s="2" t="s">
        <v>53</v>
      </c>
      <c r="H952" s="4">
        <v>60</v>
      </c>
      <c r="I952" s="4">
        <v>1</v>
      </c>
      <c r="J952" s="4">
        <v>0</v>
      </c>
      <c r="K952" s="2" t="s">
        <v>1252</v>
      </c>
      <c r="L952" s="5">
        <v>403555</v>
      </c>
      <c r="M952" s="2" t="s">
        <v>55</v>
      </c>
      <c r="N952" s="2" t="s">
        <v>1253</v>
      </c>
      <c r="O952" s="2" t="s">
        <v>1254</v>
      </c>
      <c r="P952" s="2" t="s">
        <v>8244</v>
      </c>
      <c r="Q952" s="2" t="s">
        <v>8245</v>
      </c>
      <c r="R952" s="2" t="s">
        <v>8246</v>
      </c>
      <c r="T952" s="2" t="s">
        <v>8247</v>
      </c>
      <c r="U952" s="2" t="s">
        <v>8248</v>
      </c>
      <c r="V952" s="2" t="s">
        <v>8249</v>
      </c>
      <c r="W952" s="2" t="s">
        <v>8250</v>
      </c>
      <c r="X952" s="2" t="s">
        <v>8251</v>
      </c>
      <c r="Y952" s="2" t="s">
        <v>2838</v>
      </c>
      <c r="Z952" s="2" t="s">
        <v>2839</v>
      </c>
      <c r="AA952" s="2" t="s">
        <v>8252</v>
      </c>
      <c r="AB952" s="2" t="s">
        <v>8253</v>
      </c>
      <c r="AC952" s="2" t="s">
        <v>2842</v>
      </c>
      <c r="AD952" s="2" t="s">
        <v>1402</v>
      </c>
      <c r="AE952" s="2" t="s">
        <v>1403</v>
      </c>
      <c r="AF952" s="2" t="s">
        <v>70</v>
      </c>
      <c r="AG952" s="2" t="s">
        <v>8254</v>
      </c>
      <c r="AK952" s="2" t="s">
        <v>8255</v>
      </c>
      <c r="AM952" s="2" t="s">
        <v>72</v>
      </c>
      <c r="AN952" s="2" t="s">
        <v>283</v>
      </c>
      <c r="AP952" s="2" t="s">
        <v>8256</v>
      </c>
      <c r="AU952" s="2" t="s">
        <v>75</v>
      </c>
      <c r="AV952" s="2" t="s">
        <v>3409</v>
      </c>
      <c r="AW952" s="2" t="s">
        <v>8257</v>
      </c>
      <c r="AX952" s="2" t="s">
        <v>477</v>
      </c>
      <c r="AZ952" s="2" t="s">
        <v>478</v>
      </c>
    </row>
    <row r="953" spans="1:52" s="3" customFormat="1" x14ac:dyDescent="0.35">
      <c r="A953" s="2" t="s">
        <v>8242</v>
      </c>
      <c r="B953" s="4">
        <v>241531</v>
      </c>
      <c r="C953" s="2" t="s">
        <v>8243</v>
      </c>
      <c r="D953" s="2">
        <f t="shared" si="14"/>
        <v>1</v>
      </c>
      <c r="F953" s="2" t="s">
        <v>7953</v>
      </c>
      <c r="G953" s="2" t="s">
        <v>53</v>
      </c>
      <c r="H953" s="4">
        <v>1</v>
      </c>
      <c r="I953" s="4">
        <v>1</v>
      </c>
      <c r="J953" s="5">
        <v>172000</v>
      </c>
      <c r="K953" s="2" t="s">
        <v>1252</v>
      </c>
      <c r="L953" s="5">
        <v>403555</v>
      </c>
      <c r="M953" s="2" t="s">
        <v>55</v>
      </c>
      <c r="N953" s="2" t="s">
        <v>1253</v>
      </c>
      <c r="O953" s="2" t="s">
        <v>1254</v>
      </c>
      <c r="P953" s="2" t="s">
        <v>8258</v>
      </c>
      <c r="Q953" s="2" t="s">
        <v>8259</v>
      </c>
      <c r="R953" s="2" t="s">
        <v>8246</v>
      </c>
      <c r="T953" s="2" t="s">
        <v>8247</v>
      </c>
      <c r="U953" s="2" t="s">
        <v>8248</v>
      </c>
      <c r="V953" s="2" t="s">
        <v>8249</v>
      </c>
      <c r="W953" s="2" t="s">
        <v>8250</v>
      </c>
      <c r="X953" s="2" t="s">
        <v>8251</v>
      </c>
      <c r="Y953" s="2" t="s">
        <v>2838</v>
      </c>
      <c r="Z953" s="2" t="s">
        <v>2839</v>
      </c>
      <c r="AA953" s="2" t="s">
        <v>8252</v>
      </c>
      <c r="AB953" s="2" t="s">
        <v>8253</v>
      </c>
      <c r="AC953" s="2" t="s">
        <v>2842</v>
      </c>
      <c r="AD953" s="2" t="s">
        <v>1402</v>
      </c>
      <c r="AE953" s="2" t="s">
        <v>1403</v>
      </c>
      <c r="AF953" s="2" t="s">
        <v>70</v>
      </c>
      <c r="AG953" s="2" t="s">
        <v>8254</v>
      </c>
      <c r="AK953" s="2" t="s">
        <v>8255</v>
      </c>
      <c r="AM953" s="2" t="s">
        <v>72</v>
      </c>
      <c r="AN953" s="2" t="s">
        <v>283</v>
      </c>
      <c r="AP953" s="2" t="s">
        <v>8256</v>
      </c>
      <c r="AU953" s="2" t="s">
        <v>75</v>
      </c>
      <c r="AV953" s="2" t="s">
        <v>3409</v>
      </c>
      <c r="AW953" s="2" t="s">
        <v>8257</v>
      </c>
      <c r="AX953" s="2" t="s">
        <v>477</v>
      </c>
      <c r="AZ953" s="2" t="s">
        <v>478</v>
      </c>
    </row>
    <row r="954" spans="1:52" s="3" customFormat="1" x14ac:dyDescent="0.35">
      <c r="A954" s="2" t="s">
        <v>8242</v>
      </c>
      <c r="B954" s="4">
        <v>241531</v>
      </c>
      <c r="C954" s="2" t="s">
        <v>8243</v>
      </c>
      <c r="D954" s="2">
        <f t="shared" si="14"/>
        <v>1</v>
      </c>
      <c r="F954" s="2" t="s">
        <v>7953</v>
      </c>
      <c r="G954" s="2" t="s">
        <v>53</v>
      </c>
      <c r="H954" s="4">
        <v>1</v>
      </c>
      <c r="I954" s="4">
        <v>1</v>
      </c>
      <c r="J954" s="5">
        <v>258000</v>
      </c>
      <c r="K954" s="2" t="s">
        <v>1252</v>
      </c>
      <c r="L954" s="5">
        <v>403555</v>
      </c>
      <c r="M954" s="2" t="s">
        <v>55</v>
      </c>
      <c r="N954" s="2" t="s">
        <v>1253</v>
      </c>
      <c r="O954" s="2" t="s">
        <v>1254</v>
      </c>
      <c r="P954" s="2" t="s">
        <v>8260</v>
      </c>
      <c r="Q954" s="2" t="s">
        <v>8261</v>
      </c>
      <c r="R954" s="2" t="s">
        <v>8246</v>
      </c>
      <c r="T954" s="2" t="s">
        <v>8247</v>
      </c>
      <c r="U954" s="2" t="s">
        <v>8248</v>
      </c>
      <c r="V954" s="2" t="s">
        <v>8249</v>
      </c>
      <c r="W954" s="2" t="s">
        <v>8250</v>
      </c>
      <c r="X954" s="2" t="s">
        <v>8251</v>
      </c>
      <c r="Y954" s="2" t="s">
        <v>2838</v>
      </c>
      <c r="Z954" s="2" t="s">
        <v>2839</v>
      </c>
      <c r="AA954" s="2" t="s">
        <v>8252</v>
      </c>
      <c r="AB954" s="2" t="s">
        <v>8253</v>
      </c>
      <c r="AC954" s="2" t="s">
        <v>2842</v>
      </c>
      <c r="AD954" s="2" t="s">
        <v>1402</v>
      </c>
      <c r="AE954" s="2" t="s">
        <v>1403</v>
      </c>
      <c r="AF954" s="2" t="s">
        <v>70</v>
      </c>
      <c r="AG954" s="2" t="s">
        <v>8254</v>
      </c>
      <c r="AK954" s="2" t="s">
        <v>8255</v>
      </c>
      <c r="AM954" s="2" t="s">
        <v>72</v>
      </c>
      <c r="AN954" s="2" t="s">
        <v>283</v>
      </c>
      <c r="AP954" s="2" t="s">
        <v>8256</v>
      </c>
      <c r="AU954" s="2" t="s">
        <v>75</v>
      </c>
      <c r="AV954" s="2" t="s">
        <v>3409</v>
      </c>
      <c r="AW954" s="2" t="s">
        <v>8257</v>
      </c>
      <c r="AX954" s="2" t="s">
        <v>477</v>
      </c>
      <c r="AZ954" s="2" t="s">
        <v>478</v>
      </c>
    </row>
    <row r="955" spans="1:52" s="3" customFormat="1" x14ac:dyDescent="0.35">
      <c r="A955" s="2" t="s">
        <v>8262</v>
      </c>
      <c r="B955" s="4">
        <v>241529</v>
      </c>
      <c r="C955" s="2" t="s">
        <v>8263</v>
      </c>
      <c r="D955" s="2">
        <f t="shared" si="14"/>
        <v>1</v>
      </c>
      <c r="F955" s="2" t="s">
        <v>7953</v>
      </c>
      <c r="G955" s="2" t="s">
        <v>53</v>
      </c>
      <c r="H955" s="4">
        <v>60</v>
      </c>
      <c r="I955" s="4">
        <v>1</v>
      </c>
      <c r="J955" s="4">
        <v>0</v>
      </c>
      <c r="K955" s="2" t="s">
        <v>1252</v>
      </c>
      <c r="L955" s="5">
        <v>206470</v>
      </c>
      <c r="M955" s="2" t="s">
        <v>55</v>
      </c>
      <c r="N955" s="2" t="s">
        <v>1253</v>
      </c>
      <c r="O955" s="2" t="s">
        <v>1254</v>
      </c>
      <c r="P955" s="2" t="s">
        <v>8264</v>
      </c>
      <c r="Q955" s="2" t="s">
        <v>8265</v>
      </c>
      <c r="R955" s="2" t="s">
        <v>8246</v>
      </c>
      <c r="T955" s="2" t="s">
        <v>8247</v>
      </c>
      <c r="U955" s="2" t="s">
        <v>8248</v>
      </c>
      <c r="V955" s="2" t="s">
        <v>8249</v>
      </c>
      <c r="W955" s="2" t="s">
        <v>8250</v>
      </c>
      <c r="X955" s="2" t="s">
        <v>8251</v>
      </c>
      <c r="Y955" s="2" t="s">
        <v>2838</v>
      </c>
      <c r="Z955" s="2" t="s">
        <v>2839</v>
      </c>
      <c r="AA955" s="2" t="s">
        <v>8252</v>
      </c>
      <c r="AB955" s="2" t="s">
        <v>8253</v>
      </c>
      <c r="AC955" s="2" t="s">
        <v>2842</v>
      </c>
      <c r="AD955" s="2" t="s">
        <v>1402</v>
      </c>
      <c r="AE955" s="2" t="s">
        <v>1403</v>
      </c>
      <c r="AF955" s="2" t="s">
        <v>70</v>
      </c>
      <c r="AG955" s="2" t="s">
        <v>8264</v>
      </c>
      <c r="AK955" s="2" t="s">
        <v>8266</v>
      </c>
      <c r="AM955" s="2" t="s">
        <v>72</v>
      </c>
      <c r="AN955" s="2" t="s">
        <v>283</v>
      </c>
      <c r="AP955" s="2" t="s">
        <v>3334</v>
      </c>
      <c r="AU955" s="2" t="s">
        <v>75</v>
      </c>
      <c r="AV955" s="2" t="s">
        <v>3409</v>
      </c>
      <c r="AW955" s="2" t="s">
        <v>8257</v>
      </c>
      <c r="AX955" s="2" t="s">
        <v>477</v>
      </c>
      <c r="AZ955" s="2" t="s">
        <v>478</v>
      </c>
    </row>
    <row r="956" spans="1:52" s="3" customFormat="1" x14ac:dyDescent="0.35">
      <c r="A956" s="2" t="s">
        <v>8262</v>
      </c>
      <c r="B956" s="4">
        <v>241529</v>
      </c>
      <c r="C956" s="2" t="s">
        <v>8263</v>
      </c>
      <c r="D956" s="2">
        <f t="shared" si="14"/>
        <v>1</v>
      </c>
      <c r="F956" s="2" t="s">
        <v>7953</v>
      </c>
      <c r="G956" s="2" t="s">
        <v>53</v>
      </c>
      <c r="H956" s="4">
        <v>1</v>
      </c>
      <c r="I956" s="4">
        <v>1</v>
      </c>
      <c r="J956" s="5">
        <v>88000</v>
      </c>
      <c r="K956" s="2" t="s">
        <v>1252</v>
      </c>
      <c r="L956" s="5">
        <v>206470</v>
      </c>
      <c r="M956" s="2" t="s">
        <v>55</v>
      </c>
      <c r="N956" s="2" t="s">
        <v>1253</v>
      </c>
      <c r="O956" s="2" t="s">
        <v>1254</v>
      </c>
      <c r="P956" s="2" t="s">
        <v>8267</v>
      </c>
      <c r="Q956" s="2" t="s">
        <v>8268</v>
      </c>
      <c r="R956" s="2" t="s">
        <v>8246</v>
      </c>
      <c r="T956" s="2" t="s">
        <v>8247</v>
      </c>
      <c r="U956" s="2" t="s">
        <v>8248</v>
      </c>
      <c r="V956" s="2" t="s">
        <v>8249</v>
      </c>
      <c r="W956" s="2" t="s">
        <v>8250</v>
      </c>
      <c r="X956" s="2" t="s">
        <v>8251</v>
      </c>
      <c r="Y956" s="2" t="s">
        <v>2838</v>
      </c>
      <c r="Z956" s="2" t="s">
        <v>2839</v>
      </c>
      <c r="AA956" s="2" t="s">
        <v>8252</v>
      </c>
      <c r="AB956" s="2" t="s">
        <v>8253</v>
      </c>
      <c r="AC956" s="2" t="s">
        <v>2842</v>
      </c>
      <c r="AD956" s="2" t="s">
        <v>1402</v>
      </c>
      <c r="AE956" s="2" t="s">
        <v>1403</v>
      </c>
      <c r="AF956" s="2" t="s">
        <v>70</v>
      </c>
      <c r="AG956" s="2" t="s">
        <v>8264</v>
      </c>
      <c r="AK956" s="2" t="s">
        <v>8266</v>
      </c>
      <c r="AM956" s="2" t="s">
        <v>72</v>
      </c>
      <c r="AN956" s="2" t="s">
        <v>283</v>
      </c>
      <c r="AP956" s="2" t="s">
        <v>3334</v>
      </c>
      <c r="AU956" s="2" t="s">
        <v>75</v>
      </c>
      <c r="AV956" s="2" t="s">
        <v>3409</v>
      </c>
      <c r="AW956" s="2" t="s">
        <v>8257</v>
      </c>
      <c r="AX956" s="2" t="s">
        <v>477</v>
      </c>
      <c r="AZ956" s="2" t="s">
        <v>478</v>
      </c>
    </row>
    <row r="957" spans="1:52" s="3" customFormat="1" x14ac:dyDescent="0.35">
      <c r="A957" s="2" t="s">
        <v>8262</v>
      </c>
      <c r="B957" s="4">
        <v>241529</v>
      </c>
      <c r="C957" s="2" t="s">
        <v>8263</v>
      </c>
      <c r="D957" s="2">
        <f t="shared" si="14"/>
        <v>1</v>
      </c>
      <c r="F957" s="2" t="s">
        <v>7953</v>
      </c>
      <c r="G957" s="2" t="s">
        <v>53</v>
      </c>
      <c r="H957" s="4">
        <v>1</v>
      </c>
      <c r="I957" s="4">
        <v>1</v>
      </c>
      <c r="J957" s="5">
        <v>132000</v>
      </c>
      <c r="K957" s="2" t="s">
        <v>1252</v>
      </c>
      <c r="L957" s="5">
        <v>206470</v>
      </c>
      <c r="M957" s="2" t="s">
        <v>55</v>
      </c>
      <c r="N957" s="2" t="s">
        <v>1253</v>
      </c>
      <c r="O957" s="2" t="s">
        <v>1254</v>
      </c>
      <c r="P957" s="2" t="s">
        <v>8269</v>
      </c>
      <c r="Q957" s="2" t="s">
        <v>8270</v>
      </c>
      <c r="R957" s="2" t="s">
        <v>8246</v>
      </c>
      <c r="T957" s="2" t="s">
        <v>8247</v>
      </c>
      <c r="U957" s="2" t="s">
        <v>8248</v>
      </c>
      <c r="V957" s="2" t="s">
        <v>8249</v>
      </c>
      <c r="W957" s="2" t="s">
        <v>8250</v>
      </c>
      <c r="X957" s="2" t="s">
        <v>8251</v>
      </c>
      <c r="Y957" s="2" t="s">
        <v>2838</v>
      </c>
      <c r="Z957" s="2" t="s">
        <v>2839</v>
      </c>
      <c r="AA957" s="2" t="s">
        <v>8252</v>
      </c>
      <c r="AB957" s="2" t="s">
        <v>8253</v>
      </c>
      <c r="AC957" s="2" t="s">
        <v>2842</v>
      </c>
      <c r="AD957" s="2" t="s">
        <v>1402</v>
      </c>
      <c r="AE957" s="2" t="s">
        <v>1403</v>
      </c>
      <c r="AF957" s="2" t="s">
        <v>70</v>
      </c>
      <c r="AG957" s="2" t="s">
        <v>8264</v>
      </c>
      <c r="AK957" s="2" t="s">
        <v>8266</v>
      </c>
      <c r="AM957" s="2" t="s">
        <v>72</v>
      </c>
      <c r="AN957" s="2" t="s">
        <v>283</v>
      </c>
      <c r="AP957" s="2" t="s">
        <v>3334</v>
      </c>
      <c r="AU957" s="2" t="s">
        <v>75</v>
      </c>
      <c r="AV957" s="2" t="s">
        <v>3409</v>
      </c>
      <c r="AW957" s="2" t="s">
        <v>8257</v>
      </c>
      <c r="AX957" s="2" t="s">
        <v>477</v>
      </c>
      <c r="AZ957" s="2" t="s">
        <v>478</v>
      </c>
    </row>
    <row r="958" spans="1:52" s="3" customFormat="1" x14ac:dyDescent="0.35">
      <c r="A958" s="2" t="s">
        <v>8271</v>
      </c>
      <c r="B958" s="4">
        <v>241519</v>
      </c>
      <c r="C958" s="2" t="s">
        <v>8272</v>
      </c>
      <c r="D958" s="2">
        <f t="shared" si="14"/>
        <v>1</v>
      </c>
      <c r="F958" s="2" t="s">
        <v>7953</v>
      </c>
      <c r="G958" s="2" t="s">
        <v>53</v>
      </c>
      <c r="H958" s="4">
        <v>1</v>
      </c>
      <c r="I958" s="4">
        <v>1</v>
      </c>
      <c r="J958" s="4">
        <v>0</v>
      </c>
      <c r="L958" s="4">
        <v>0</v>
      </c>
      <c r="M958" s="2" t="s">
        <v>55</v>
      </c>
      <c r="N958" s="2" t="s">
        <v>56</v>
      </c>
      <c r="O958" s="2" t="s">
        <v>57</v>
      </c>
      <c r="P958" s="2" t="s">
        <v>6473</v>
      </c>
      <c r="Q958" s="2" t="s">
        <v>6474</v>
      </c>
      <c r="R958" s="2" t="s">
        <v>8273</v>
      </c>
      <c r="S958" s="2" t="s">
        <v>8274</v>
      </c>
      <c r="V958" s="2" t="s">
        <v>8275</v>
      </c>
      <c r="W958" s="2" t="s">
        <v>8276</v>
      </c>
      <c r="Y958" s="2" t="s">
        <v>8277</v>
      </c>
      <c r="Z958" s="2" t="s">
        <v>8278</v>
      </c>
      <c r="AA958" s="2" t="s">
        <v>4017</v>
      </c>
      <c r="AC958" s="2" t="s">
        <v>8279</v>
      </c>
      <c r="AD958" s="2" t="s">
        <v>68</v>
      </c>
      <c r="AE958" s="2" t="s">
        <v>69</v>
      </c>
      <c r="AF958" s="2" t="s">
        <v>70</v>
      </c>
      <c r="AG958" s="2" t="s">
        <v>6473</v>
      </c>
      <c r="AK958" s="2" t="s">
        <v>8280</v>
      </c>
      <c r="AM958" s="2" t="s">
        <v>72</v>
      </c>
      <c r="AN958" s="2" t="s">
        <v>403</v>
      </c>
      <c r="AP958" s="2" t="s">
        <v>6384</v>
      </c>
      <c r="AU958" s="2" t="s">
        <v>75</v>
      </c>
      <c r="AW958" s="2" t="s">
        <v>8281</v>
      </c>
      <c r="AZ958" s="2" t="s">
        <v>116</v>
      </c>
    </row>
    <row r="959" spans="1:52" s="3" customFormat="1" x14ac:dyDescent="0.35">
      <c r="A959" s="2" t="s">
        <v>8282</v>
      </c>
      <c r="B959" s="4">
        <v>247247</v>
      </c>
      <c r="C959" s="2" t="s">
        <v>8283</v>
      </c>
      <c r="D959" s="2">
        <f t="shared" si="14"/>
        <v>1</v>
      </c>
      <c r="F959" s="2" t="s">
        <v>3908</v>
      </c>
      <c r="G959" s="2" t="s">
        <v>53</v>
      </c>
      <c r="H959" s="4">
        <v>1</v>
      </c>
      <c r="I959" s="4">
        <v>1</v>
      </c>
      <c r="J959" s="5">
        <v>136562.5</v>
      </c>
      <c r="K959" s="2" t="s">
        <v>2726</v>
      </c>
      <c r="L959" s="4">
        <v>0</v>
      </c>
      <c r="N959" s="2" t="s">
        <v>2726</v>
      </c>
      <c r="O959" s="2" t="s">
        <v>2727</v>
      </c>
      <c r="P959" s="2" t="s">
        <v>8031</v>
      </c>
      <c r="Q959" s="2" t="s">
        <v>8284</v>
      </c>
      <c r="R959" s="2" t="s">
        <v>8285</v>
      </c>
      <c r="T959" s="2" t="s">
        <v>5863</v>
      </c>
      <c r="U959" s="2" t="s">
        <v>5864</v>
      </c>
      <c r="V959" s="2" t="s">
        <v>8286</v>
      </c>
      <c r="W959" s="2" t="s">
        <v>8032</v>
      </c>
      <c r="X959" s="2" t="s">
        <v>5867</v>
      </c>
      <c r="Y959" s="2" t="s">
        <v>5868</v>
      </c>
      <c r="Z959" s="2" t="s">
        <v>5869</v>
      </c>
      <c r="AA959" s="2" t="s">
        <v>1624</v>
      </c>
      <c r="AB959" s="2" t="s">
        <v>5870</v>
      </c>
      <c r="AC959" s="2" t="s">
        <v>5871</v>
      </c>
      <c r="AD959" s="2" t="s">
        <v>1903</v>
      </c>
      <c r="AE959" s="2" t="s">
        <v>69</v>
      </c>
      <c r="AF959" s="2" t="s">
        <v>70</v>
      </c>
      <c r="AG959" s="2" t="s">
        <v>55</v>
      </c>
      <c r="AK959" s="2" t="s">
        <v>8287</v>
      </c>
      <c r="AM959" s="2" t="s">
        <v>72</v>
      </c>
      <c r="AN959" s="2" t="s">
        <v>403</v>
      </c>
      <c r="AP959" s="2" t="s">
        <v>3576</v>
      </c>
      <c r="AT959" s="2" t="s">
        <v>4257</v>
      </c>
      <c r="AU959" s="2" t="s">
        <v>75</v>
      </c>
      <c r="AV959" s="2" t="s">
        <v>5874</v>
      </c>
      <c r="AW959" s="2" t="s">
        <v>5875</v>
      </c>
      <c r="AZ959" s="2" t="s">
        <v>478</v>
      </c>
    </row>
    <row r="960" spans="1:52" s="3" customFormat="1" x14ac:dyDescent="0.35">
      <c r="A960" s="2" t="s">
        <v>8282</v>
      </c>
      <c r="B960" s="4">
        <v>247247</v>
      </c>
      <c r="C960" s="2" t="s">
        <v>8283</v>
      </c>
      <c r="D960" s="2">
        <f t="shared" si="14"/>
        <v>1</v>
      </c>
      <c r="F960" s="2" t="s">
        <v>3908</v>
      </c>
      <c r="G960" s="2" t="s">
        <v>53</v>
      </c>
      <c r="H960" s="4">
        <v>1</v>
      </c>
      <c r="I960" s="4">
        <v>1</v>
      </c>
      <c r="J960" s="5">
        <v>136562.5</v>
      </c>
      <c r="K960" s="2" t="s">
        <v>2726</v>
      </c>
      <c r="L960" s="4">
        <v>0</v>
      </c>
      <c r="N960" s="2" t="s">
        <v>2726</v>
      </c>
      <c r="O960" s="2" t="s">
        <v>2727</v>
      </c>
      <c r="P960" s="2" t="s">
        <v>8031</v>
      </c>
      <c r="Q960" s="2" t="s">
        <v>8288</v>
      </c>
      <c r="R960" s="2" t="s">
        <v>8285</v>
      </c>
      <c r="T960" s="2" t="s">
        <v>5863</v>
      </c>
      <c r="U960" s="2" t="s">
        <v>5864</v>
      </c>
      <c r="V960" s="2" t="s">
        <v>8286</v>
      </c>
      <c r="W960" s="2" t="s">
        <v>8032</v>
      </c>
      <c r="X960" s="2" t="s">
        <v>5867</v>
      </c>
      <c r="Y960" s="2" t="s">
        <v>5868</v>
      </c>
      <c r="Z960" s="2" t="s">
        <v>5869</v>
      </c>
      <c r="AA960" s="2" t="s">
        <v>1624</v>
      </c>
      <c r="AB960" s="2" t="s">
        <v>5870</v>
      </c>
      <c r="AC960" s="2" t="s">
        <v>5871</v>
      </c>
      <c r="AD960" s="2" t="s">
        <v>1903</v>
      </c>
      <c r="AE960" s="2" t="s">
        <v>69</v>
      </c>
      <c r="AF960" s="2" t="s">
        <v>70</v>
      </c>
      <c r="AG960" s="2" t="s">
        <v>55</v>
      </c>
      <c r="AK960" s="2" t="s">
        <v>8287</v>
      </c>
      <c r="AM960" s="2" t="s">
        <v>72</v>
      </c>
      <c r="AN960" s="2" t="s">
        <v>403</v>
      </c>
      <c r="AP960" s="2" t="s">
        <v>8289</v>
      </c>
      <c r="AT960" s="2" t="s">
        <v>4257</v>
      </c>
      <c r="AU960" s="2" t="s">
        <v>75</v>
      </c>
      <c r="AV960" s="2" t="s">
        <v>5874</v>
      </c>
      <c r="AW960" s="2" t="s">
        <v>5875</v>
      </c>
      <c r="AZ960" s="2" t="s">
        <v>478</v>
      </c>
    </row>
    <row r="961" spans="1:52" s="3" customFormat="1" x14ac:dyDescent="0.35">
      <c r="A961" s="2" t="s">
        <v>8282</v>
      </c>
      <c r="B961" s="4">
        <v>247247</v>
      </c>
      <c r="C961" s="2" t="s">
        <v>8283</v>
      </c>
      <c r="D961" s="2">
        <f t="shared" si="14"/>
        <v>1</v>
      </c>
      <c r="F961" s="2" t="s">
        <v>3908</v>
      </c>
      <c r="G961" s="2" t="s">
        <v>53</v>
      </c>
      <c r="H961" s="4">
        <v>1</v>
      </c>
      <c r="I961" s="4">
        <v>1</v>
      </c>
      <c r="J961" s="5">
        <v>136562.5</v>
      </c>
      <c r="K961" s="2" t="s">
        <v>2726</v>
      </c>
      <c r="L961" s="4">
        <v>0</v>
      </c>
      <c r="N961" s="2" t="s">
        <v>2726</v>
      </c>
      <c r="O961" s="2" t="s">
        <v>2727</v>
      </c>
      <c r="P961" s="2" t="s">
        <v>8031</v>
      </c>
      <c r="Q961" s="2" t="s">
        <v>8290</v>
      </c>
      <c r="R961" s="2" t="s">
        <v>8285</v>
      </c>
      <c r="T961" s="2" t="s">
        <v>5863</v>
      </c>
      <c r="U961" s="2" t="s">
        <v>5864</v>
      </c>
      <c r="V961" s="2" t="s">
        <v>8286</v>
      </c>
      <c r="W961" s="2" t="s">
        <v>8032</v>
      </c>
      <c r="X961" s="2" t="s">
        <v>5867</v>
      </c>
      <c r="Y961" s="2" t="s">
        <v>5868</v>
      </c>
      <c r="Z961" s="2" t="s">
        <v>5869</v>
      </c>
      <c r="AA961" s="2" t="s">
        <v>1624</v>
      </c>
      <c r="AB961" s="2" t="s">
        <v>5870</v>
      </c>
      <c r="AC961" s="2" t="s">
        <v>5871</v>
      </c>
      <c r="AD961" s="2" t="s">
        <v>1903</v>
      </c>
      <c r="AE961" s="2" t="s">
        <v>69</v>
      </c>
      <c r="AF961" s="2" t="s">
        <v>70</v>
      </c>
      <c r="AG961" s="2" t="s">
        <v>55</v>
      </c>
      <c r="AK961" s="2" t="s">
        <v>8287</v>
      </c>
      <c r="AM961" s="2" t="s">
        <v>72</v>
      </c>
      <c r="AN961" s="2" t="s">
        <v>403</v>
      </c>
      <c r="AP961" s="2" t="s">
        <v>8291</v>
      </c>
      <c r="AT961" s="2" t="s">
        <v>4257</v>
      </c>
      <c r="AU961" s="2" t="s">
        <v>75</v>
      </c>
      <c r="AV961" s="2" t="s">
        <v>5874</v>
      </c>
      <c r="AW961" s="2" t="s">
        <v>5875</v>
      </c>
      <c r="AZ961" s="2" t="s">
        <v>478</v>
      </c>
    </row>
    <row r="962" spans="1:52" s="3" customFormat="1" x14ac:dyDescent="0.35">
      <c r="A962" s="2" t="s">
        <v>8282</v>
      </c>
      <c r="B962" s="4">
        <v>247247</v>
      </c>
      <c r="C962" s="2" t="s">
        <v>8283</v>
      </c>
      <c r="D962" s="2">
        <f t="shared" si="14"/>
        <v>1</v>
      </c>
      <c r="F962" s="2" t="s">
        <v>3908</v>
      </c>
      <c r="G962" s="2" t="s">
        <v>53</v>
      </c>
      <c r="H962" s="4">
        <v>1</v>
      </c>
      <c r="I962" s="4">
        <v>1</v>
      </c>
      <c r="J962" s="5">
        <v>136562.5</v>
      </c>
      <c r="K962" s="2" t="s">
        <v>2726</v>
      </c>
      <c r="L962" s="4">
        <v>0</v>
      </c>
      <c r="N962" s="2" t="s">
        <v>2726</v>
      </c>
      <c r="O962" s="2" t="s">
        <v>2727</v>
      </c>
      <c r="P962" s="2" t="s">
        <v>8031</v>
      </c>
      <c r="Q962" s="2" t="s">
        <v>8292</v>
      </c>
      <c r="R962" s="2" t="s">
        <v>8285</v>
      </c>
      <c r="T962" s="2" t="s">
        <v>5863</v>
      </c>
      <c r="U962" s="2" t="s">
        <v>5864</v>
      </c>
      <c r="V962" s="2" t="s">
        <v>8286</v>
      </c>
      <c r="W962" s="2" t="s">
        <v>8032</v>
      </c>
      <c r="X962" s="2" t="s">
        <v>5867</v>
      </c>
      <c r="Y962" s="2" t="s">
        <v>5868</v>
      </c>
      <c r="Z962" s="2" t="s">
        <v>5869</v>
      </c>
      <c r="AA962" s="2" t="s">
        <v>1624</v>
      </c>
      <c r="AB962" s="2" t="s">
        <v>5870</v>
      </c>
      <c r="AC962" s="2" t="s">
        <v>5871</v>
      </c>
      <c r="AD962" s="2" t="s">
        <v>1903</v>
      </c>
      <c r="AE962" s="2" t="s">
        <v>69</v>
      </c>
      <c r="AF962" s="2" t="s">
        <v>70</v>
      </c>
      <c r="AG962" s="2" t="s">
        <v>55</v>
      </c>
      <c r="AK962" s="2" t="s">
        <v>8287</v>
      </c>
      <c r="AM962" s="2" t="s">
        <v>72</v>
      </c>
      <c r="AN962" s="2" t="s">
        <v>403</v>
      </c>
      <c r="AP962" s="2" t="s">
        <v>8293</v>
      </c>
      <c r="AT962" s="2" t="s">
        <v>4257</v>
      </c>
      <c r="AU962" s="2" t="s">
        <v>75</v>
      </c>
      <c r="AV962" s="2" t="s">
        <v>5874</v>
      </c>
      <c r="AW962" s="2" t="s">
        <v>5875</v>
      </c>
      <c r="AZ962" s="2" t="s">
        <v>478</v>
      </c>
    </row>
    <row r="963" spans="1:52" s="3" customFormat="1" x14ac:dyDescent="0.35">
      <c r="A963" s="2" t="s">
        <v>8282</v>
      </c>
      <c r="B963" s="4">
        <v>247247</v>
      </c>
      <c r="C963" s="2" t="s">
        <v>8283</v>
      </c>
      <c r="D963" s="2">
        <f t="shared" ref="D963:D1026" si="15">MONTH(C963)</f>
        <v>1</v>
      </c>
      <c r="F963" s="2" t="s">
        <v>3908</v>
      </c>
      <c r="G963" s="2" t="s">
        <v>53</v>
      </c>
      <c r="H963" s="4">
        <v>1</v>
      </c>
      <c r="I963" s="4">
        <v>1</v>
      </c>
      <c r="J963" s="4">
        <v>0</v>
      </c>
      <c r="K963" s="2" t="s">
        <v>2726</v>
      </c>
      <c r="L963" s="4">
        <v>0</v>
      </c>
      <c r="N963" s="2" t="s">
        <v>2726</v>
      </c>
      <c r="O963" s="2" t="s">
        <v>2727</v>
      </c>
      <c r="P963" s="2" t="s">
        <v>8031</v>
      </c>
      <c r="Q963" s="2" t="s">
        <v>8294</v>
      </c>
      <c r="R963" s="2" t="s">
        <v>8285</v>
      </c>
      <c r="T963" s="2" t="s">
        <v>5863</v>
      </c>
      <c r="U963" s="2" t="s">
        <v>5864</v>
      </c>
      <c r="V963" s="2" t="s">
        <v>8286</v>
      </c>
      <c r="W963" s="2" t="s">
        <v>8032</v>
      </c>
      <c r="X963" s="2" t="s">
        <v>5867</v>
      </c>
      <c r="Y963" s="2" t="s">
        <v>5868</v>
      </c>
      <c r="Z963" s="2" t="s">
        <v>5869</v>
      </c>
      <c r="AA963" s="2" t="s">
        <v>1624</v>
      </c>
      <c r="AB963" s="2" t="s">
        <v>5870</v>
      </c>
      <c r="AC963" s="2" t="s">
        <v>5871</v>
      </c>
      <c r="AD963" s="2" t="s">
        <v>1903</v>
      </c>
      <c r="AE963" s="2" t="s">
        <v>69</v>
      </c>
      <c r="AF963" s="2" t="s">
        <v>70</v>
      </c>
      <c r="AG963" s="2" t="s">
        <v>55</v>
      </c>
      <c r="AK963" s="2" t="s">
        <v>8287</v>
      </c>
      <c r="AM963" s="2" t="s">
        <v>72</v>
      </c>
      <c r="AN963" s="2" t="s">
        <v>403</v>
      </c>
      <c r="AP963" s="2" t="s">
        <v>4082</v>
      </c>
      <c r="AT963" s="2" t="s">
        <v>4257</v>
      </c>
      <c r="AU963" s="2" t="s">
        <v>75</v>
      </c>
      <c r="AV963" s="2" t="s">
        <v>5874</v>
      </c>
      <c r="AW963" s="2" t="s">
        <v>5875</v>
      </c>
      <c r="AZ963" s="2" t="s">
        <v>478</v>
      </c>
    </row>
    <row r="964" spans="1:52" s="3" customFormat="1" x14ac:dyDescent="0.35">
      <c r="A964" s="2" t="s">
        <v>8295</v>
      </c>
      <c r="B964" s="4">
        <v>241505</v>
      </c>
      <c r="C964" s="2" t="s">
        <v>8296</v>
      </c>
      <c r="D964" s="2">
        <f t="shared" si="15"/>
        <v>1</v>
      </c>
      <c r="F964" s="2" t="s">
        <v>7953</v>
      </c>
      <c r="G964" s="2" t="s">
        <v>53</v>
      </c>
      <c r="H964" s="4">
        <v>1</v>
      </c>
      <c r="I964" s="4">
        <v>0</v>
      </c>
      <c r="J964" s="4">
        <v>0</v>
      </c>
      <c r="L964" s="4">
        <v>0</v>
      </c>
      <c r="N964" s="2" t="s">
        <v>56</v>
      </c>
      <c r="O964" s="2" t="s">
        <v>57</v>
      </c>
      <c r="P964" s="2" t="s">
        <v>4619</v>
      </c>
      <c r="Q964" s="2" t="s">
        <v>4620</v>
      </c>
      <c r="R964" s="2" t="s">
        <v>8297</v>
      </c>
      <c r="S964" s="2" t="s">
        <v>8298</v>
      </c>
      <c r="V964" s="2" t="s">
        <v>8299</v>
      </c>
      <c r="W964" s="2" t="s">
        <v>8300</v>
      </c>
      <c r="Y964" s="2" t="s">
        <v>8301</v>
      </c>
      <c r="Z964" s="2" t="s">
        <v>8302</v>
      </c>
      <c r="AA964" s="2" t="s">
        <v>8303</v>
      </c>
      <c r="AB964" s="2" t="s">
        <v>8304</v>
      </c>
      <c r="AC964" s="2" t="s">
        <v>6553</v>
      </c>
      <c r="AD964" s="2" t="s">
        <v>3756</v>
      </c>
      <c r="AE964" s="2" t="s">
        <v>2980</v>
      </c>
      <c r="AF964" s="2" t="s">
        <v>70</v>
      </c>
      <c r="AK964" s="2" t="s">
        <v>8305</v>
      </c>
      <c r="AL964" s="2" t="s">
        <v>4629</v>
      </c>
      <c r="AM964" s="2" t="s">
        <v>72</v>
      </c>
      <c r="AN964" s="2" t="s">
        <v>73</v>
      </c>
      <c r="AP964" s="2" t="s">
        <v>3341</v>
      </c>
      <c r="AT964" s="2" t="s">
        <v>114</v>
      </c>
      <c r="AU964" s="2" t="s">
        <v>75</v>
      </c>
      <c r="AW964" s="2" t="s">
        <v>8306</v>
      </c>
      <c r="AZ964" s="2" t="s">
        <v>116</v>
      </c>
    </row>
    <row r="965" spans="1:52" s="3" customFormat="1" x14ac:dyDescent="0.35">
      <c r="A965" s="2" t="s">
        <v>8307</v>
      </c>
      <c r="B965" s="4">
        <v>241504</v>
      </c>
      <c r="C965" s="2" t="s">
        <v>8308</v>
      </c>
      <c r="D965" s="2">
        <f t="shared" si="15"/>
        <v>1</v>
      </c>
      <c r="F965" s="2" t="s">
        <v>7953</v>
      </c>
      <c r="G965" s="2" t="s">
        <v>53</v>
      </c>
      <c r="H965" s="4">
        <v>1</v>
      </c>
      <c r="I965" s="4">
        <v>0</v>
      </c>
      <c r="J965" s="4">
        <v>0</v>
      </c>
      <c r="L965" s="4">
        <v>0</v>
      </c>
      <c r="N965" s="2" t="s">
        <v>56</v>
      </c>
      <c r="O965" s="2" t="s">
        <v>57</v>
      </c>
      <c r="P965" s="2" t="s">
        <v>4619</v>
      </c>
      <c r="Q965" s="2" t="s">
        <v>4620</v>
      </c>
      <c r="R965" s="2" t="s">
        <v>8309</v>
      </c>
      <c r="S965" s="2" t="s">
        <v>8310</v>
      </c>
      <c r="V965" s="2" t="s">
        <v>8311</v>
      </c>
      <c r="W965" s="2" t="s">
        <v>8312</v>
      </c>
      <c r="Y965" s="2" t="s">
        <v>8313</v>
      </c>
      <c r="Z965" s="2" t="s">
        <v>8314</v>
      </c>
      <c r="AA965" s="2" t="s">
        <v>8315</v>
      </c>
      <c r="AB965" s="2" t="s">
        <v>8316</v>
      </c>
      <c r="AC965" s="2" t="s">
        <v>8317</v>
      </c>
      <c r="AD965" s="2" t="s">
        <v>1853</v>
      </c>
      <c r="AE965" s="2" t="s">
        <v>69</v>
      </c>
      <c r="AF965" s="2" t="s">
        <v>70</v>
      </c>
      <c r="AK965" s="2" t="s">
        <v>8318</v>
      </c>
      <c r="AL965" s="2" t="s">
        <v>4629</v>
      </c>
      <c r="AM965" s="2" t="s">
        <v>72</v>
      </c>
      <c r="AN965" s="2" t="s">
        <v>73</v>
      </c>
      <c r="AP965" s="2" t="s">
        <v>3341</v>
      </c>
      <c r="AT965" s="2" t="s">
        <v>114</v>
      </c>
      <c r="AU965" s="2" t="s">
        <v>75</v>
      </c>
      <c r="AW965" s="2" t="s">
        <v>8319</v>
      </c>
      <c r="AZ965" s="2" t="s">
        <v>116</v>
      </c>
    </row>
    <row r="966" spans="1:52" s="3" customFormat="1" x14ac:dyDescent="0.35">
      <c r="A966" s="2" t="s">
        <v>8320</v>
      </c>
      <c r="B966" s="4">
        <v>241500</v>
      </c>
      <c r="C966" s="2" t="s">
        <v>8321</v>
      </c>
      <c r="D966" s="2">
        <f t="shared" si="15"/>
        <v>1</v>
      </c>
      <c r="F966" s="2" t="s">
        <v>7953</v>
      </c>
      <c r="G966" s="2" t="s">
        <v>53</v>
      </c>
      <c r="H966" s="4">
        <v>1</v>
      </c>
      <c r="I966" s="4">
        <v>0</v>
      </c>
      <c r="J966" s="4">
        <v>0</v>
      </c>
      <c r="L966" s="4">
        <v>0</v>
      </c>
      <c r="N966" s="2" t="s">
        <v>56</v>
      </c>
      <c r="O966" s="2" t="s">
        <v>57</v>
      </c>
      <c r="P966" s="2" t="s">
        <v>4619</v>
      </c>
      <c r="Q966" s="2" t="s">
        <v>4620</v>
      </c>
      <c r="R966" s="2" t="s">
        <v>8297</v>
      </c>
      <c r="S966" s="2" t="s">
        <v>8298</v>
      </c>
      <c r="V966" s="2" t="s">
        <v>8299</v>
      </c>
      <c r="W966" s="2" t="s">
        <v>8300</v>
      </c>
      <c r="Y966" s="2" t="s">
        <v>8301</v>
      </c>
      <c r="Z966" s="2" t="s">
        <v>8302</v>
      </c>
      <c r="AA966" s="2" t="s">
        <v>8303</v>
      </c>
      <c r="AB966" s="2" t="s">
        <v>8322</v>
      </c>
      <c r="AC966" s="2" t="s">
        <v>6553</v>
      </c>
      <c r="AD966" s="2" t="s">
        <v>3756</v>
      </c>
      <c r="AE966" s="2" t="s">
        <v>2980</v>
      </c>
      <c r="AF966" s="2" t="s">
        <v>70</v>
      </c>
      <c r="AK966" s="2" t="s">
        <v>8323</v>
      </c>
      <c r="AL966" s="2" t="s">
        <v>4629</v>
      </c>
      <c r="AM966" s="2" t="s">
        <v>72</v>
      </c>
      <c r="AN966" s="2" t="s">
        <v>73</v>
      </c>
      <c r="AP966" s="2" t="s">
        <v>3341</v>
      </c>
      <c r="AT966" s="2" t="s">
        <v>114</v>
      </c>
      <c r="AU966" s="2" t="s">
        <v>75</v>
      </c>
      <c r="AW966" s="2" t="s">
        <v>8306</v>
      </c>
      <c r="AZ966" s="2" t="s">
        <v>116</v>
      </c>
    </row>
    <row r="967" spans="1:52" s="3" customFormat="1" x14ac:dyDescent="0.35">
      <c r="A967" s="2" t="s">
        <v>8324</v>
      </c>
      <c r="B967" s="4">
        <v>241496</v>
      </c>
      <c r="C967" s="2" t="s">
        <v>8325</v>
      </c>
      <c r="D967" s="2">
        <f t="shared" si="15"/>
        <v>1</v>
      </c>
      <c r="F967" s="2" t="s">
        <v>7953</v>
      </c>
      <c r="G967" s="2" t="s">
        <v>53</v>
      </c>
      <c r="H967" s="4">
        <v>1</v>
      </c>
      <c r="I967" s="4">
        <v>1</v>
      </c>
      <c r="J967" s="5">
        <v>1190000</v>
      </c>
      <c r="K967" s="2" t="s">
        <v>1252</v>
      </c>
      <c r="L967" s="5">
        <v>1190000</v>
      </c>
      <c r="M967" s="2" t="s">
        <v>55</v>
      </c>
      <c r="N967" s="2" t="s">
        <v>1253</v>
      </c>
      <c r="O967" s="2" t="s">
        <v>1254</v>
      </c>
      <c r="P967" s="2" t="s">
        <v>8326</v>
      </c>
      <c r="Q967" s="2" t="s">
        <v>8327</v>
      </c>
      <c r="R967" s="2" t="s">
        <v>8328</v>
      </c>
      <c r="T967" s="2" t="s">
        <v>8329</v>
      </c>
      <c r="U967" s="2" t="s">
        <v>8330</v>
      </c>
      <c r="V967" s="2" t="s">
        <v>8331</v>
      </c>
      <c r="W967" s="2" t="s">
        <v>8332</v>
      </c>
      <c r="X967" s="2" t="s">
        <v>8333</v>
      </c>
      <c r="Y967" s="2" t="s">
        <v>8334</v>
      </c>
      <c r="Z967" s="2" t="s">
        <v>8335</v>
      </c>
      <c r="AA967" s="2" t="s">
        <v>8336</v>
      </c>
      <c r="AB967" s="2" t="s">
        <v>8337</v>
      </c>
      <c r="AC967" s="2" t="s">
        <v>5483</v>
      </c>
      <c r="AD967" s="2" t="s">
        <v>8338</v>
      </c>
      <c r="AE967" s="2" t="s">
        <v>6739</v>
      </c>
      <c r="AF967" s="2" t="s">
        <v>97</v>
      </c>
      <c r="AG967" s="2" t="s">
        <v>8339</v>
      </c>
      <c r="AK967" s="2" t="s">
        <v>8340</v>
      </c>
      <c r="AM967" s="2" t="s">
        <v>72</v>
      </c>
      <c r="AN967" s="2" t="s">
        <v>473</v>
      </c>
      <c r="AP967" s="2" t="s">
        <v>8341</v>
      </c>
      <c r="AS967" s="2" t="s">
        <v>8342</v>
      </c>
      <c r="AT967" s="2" t="s">
        <v>102</v>
      </c>
      <c r="AU967" s="2" t="s">
        <v>75</v>
      </c>
      <c r="AV967" s="2" t="s">
        <v>8343</v>
      </c>
      <c r="AW967" s="2" t="s">
        <v>8344</v>
      </c>
      <c r="AX967" s="2" t="s">
        <v>477</v>
      </c>
      <c r="AZ967" s="2" t="s">
        <v>478</v>
      </c>
    </row>
    <row r="968" spans="1:52" s="3" customFormat="1" x14ac:dyDescent="0.35">
      <c r="A968" s="2" t="s">
        <v>8345</v>
      </c>
      <c r="B968" s="4">
        <v>241495</v>
      </c>
      <c r="C968" s="2" t="s">
        <v>8346</v>
      </c>
      <c r="D968" s="2">
        <f t="shared" si="15"/>
        <v>1</v>
      </c>
      <c r="F968" s="2" t="s">
        <v>7953</v>
      </c>
      <c r="G968" s="2" t="s">
        <v>53</v>
      </c>
      <c r="H968" s="4">
        <v>1</v>
      </c>
      <c r="I968" s="4">
        <v>4</v>
      </c>
      <c r="J968" s="5">
        <v>2200</v>
      </c>
      <c r="K968" s="2" t="s">
        <v>1252</v>
      </c>
      <c r="L968" s="5">
        <v>2064.6999999999998</v>
      </c>
      <c r="M968" s="2" t="s">
        <v>55</v>
      </c>
      <c r="N968" s="2" t="s">
        <v>1253</v>
      </c>
      <c r="O968" s="2" t="s">
        <v>1254</v>
      </c>
      <c r="P968" s="2" t="s">
        <v>8347</v>
      </c>
      <c r="Q968" s="2" t="s">
        <v>8348</v>
      </c>
      <c r="R968" s="2" t="s">
        <v>8349</v>
      </c>
      <c r="T968" s="2" t="s">
        <v>8350</v>
      </c>
      <c r="U968" s="2" t="s">
        <v>8351</v>
      </c>
      <c r="V968" s="2" t="s">
        <v>8352</v>
      </c>
      <c r="W968" s="2" t="s">
        <v>8353</v>
      </c>
      <c r="X968" s="2" t="s">
        <v>8353</v>
      </c>
      <c r="Y968" s="2" t="s">
        <v>8354</v>
      </c>
      <c r="Z968" s="2" t="s">
        <v>8355</v>
      </c>
      <c r="AA968" s="2" t="s">
        <v>8356</v>
      </c>
      <c r="AB968" s="2" t="s">
        <v>8357</v>
      </c>
      <c r="AC968" s="2" t="s">
        <v>8358</v>
      </c>
      <c r="AD968" s="2" t="s">
        <v>3140</v>
      </c>
      <c r="AE968" s="2" t="s">
        <v>3141</v>
      </c>
      <c r="AF968" s="2" t="s">
        <v>70</v>
      </c>
      <c r="AG968" s="2" t="s">
        <v>8347</v>
      </c>
      <c r="AK968" s="2" t="s">
        <v>8359</v>
      </c>
      <c r="AM968" s="2" t="s">
        <v>72</v>
      </c>
      <c r="AN968" s="2" t="s">
        <v>232</v>
      </c>
      <c r="AP968" s="2" t="s">
        <v>7236</v>
      </c>
      <c r="AU968" s="2" t="s">
        <v>75</v>
      </c>
      <c r="AV968" s="2" t="s">
        <v>8360</v>
      </c>
      <c r="AW968" s="2" t="s">
        <v>8361</v>
      </c>
      <c r="AX968" s="2" t="s">
        <v>77</v>
      </c>
      <c r="AZ968" s="2" t="s">
        <v>77</v>
      </c>
    </row>
    <row r="969" spans="1:52" s="3" customFormat="1" x14ac:dyDescent="0.35">
      <c r="A969" s="2" t="s">
        <v>8362</v>
      </c>
      <c r="B969" s="4">
        <v>241493</v>
      </c>
      <c r="C969" s="2" t="s">
        <v>8363</v>
      </c>
      <c r="D969" s="2">
        <f t="shared" si="15"/>
        <v>1</v>
      </c>
      <c r="F969" s="2" t="s">
        <v>7953</v>
      </c>
      <c r="G969" s="2" t="s">
        <v>53</v>
      </c>
      <c r="H969" s="4">
        <v>1</v>
      </c>
      <c r="I969" s="4">
        <v>4</v>
      </c>
      <c r="J969" s="5">
        <v>2600</v>
      </c>
      <c r="K969" s="2" t="s">
        <v>1252</v>
      </c>
      <c r="L969" s="5">
        <v>2440.1</v>
      </c>
      <c r="M969" s="2" t="s">
        <v>55</v>
      </c>
      <c r="N969" s="2" t="s">
        <v>1253</v>
      </c>
      <c r="O969" s="2" t="s">
        <v>1254</v>
      </c>
      <c r="P969" s="2" t="s">
        <v>8364</v>
      </c>
      <c r="Q969" s="2" t="s">
        <v>8365</v>
      </c>
      <c r="R969" s="2" t="s">
        <v>8349</v>
      </c>
      <c r="T969" s="2" t="s">
        <v>8350</v>
      </c>
      <c r="U969" s="2" t="s">
        <v>8351</v>
      </c>
      <c r="V969" s="2" t="s">
        <v>8352</v>
      </c>
      <c r="W969" s="2" t="s">
        <v>8353</v>
      </c>
      <c r="X969" s="2" t="s">
        <v>8353</v>
      </c>
      <c r="Y969" s="2" t="s">
        <v>8354</v>
      </c>
      <c r="Z969" s="2" t="s">
        <v>8355</v>
      </c>
      <c r="AA969" s="2" t="s">
        <v>8356</v>
      </c>
      <c r="AB969" s="2" t="s">
        <v>8357</v>
      </c>
      <c r="AC969" s="2" t="s">
        <v>8358</v>
      </c>
      <c r="AD969" s="2" t="s">
        <v>3140</v>
      </c>
      <c r="AE969" s="2" t="s">
        <v>3141</v>
      </c>
      <c r="AF969" s="2" t="s">
        <v>70</v>
      </c>
      <c r="AG969" s="2" t="s">
        <v>8366</v>
      </c>
      <c r="AK969" s="2" t="s">
        <v>8367</v>
      </c>
      <c r="AM969" s="2" t="s">
        <v>72</v>
      </c>
      <c r="AN969" s="2" t="s">
        <v>232</v>
      </c>
      <c r="AP969" s="2" t="s">
        <v>7423</v>
      </c>
      <c r="AU969" s="2" t="s">
        <v>75</v>
      </c>
      <c r="AV969" s="2" t="s">
        <v>8360</v>
      </c>
      <c r="AW969" s="2" t="s">
        <v>8361</v>
      </c>
      <c r="AX969" s="2" t="s">
        <v>77</v>
      </c>
      <c r="AZ969" s="2" t="s">
        <v>77</v>
      </c>
    </row>
    <row r="970" spans="1:52" s="3" customFormat="1" x14ac:dyDescent="0.35">
      <c r="A970" s="2" t="s">
        <v>8368</v>
      </c>
      <c r="B970" s="4">
        <v>241483</v>
      </c>
      <c r="C970" s="2" t="s">
        <v>8369</v>
      </c>
      <c r="D970" s="2">
        <f t="shared" si="15"/>
        <v>1</v>
      </c>
      <c r="F970" s="2" t="s">
        <v>7953</v>
      </c>
      <c r="G970" s="2" t="s">
        <v>53</v>
      </c>
      <c r="H970" s="4">
        <v>1</v>
      </c>
      <c r="I970" s="4">
        <v>0</v>
      </c>
      <c r="J970" s="4">
        <v>0</v>
      </c>
      <c r="L970" s="4">
        <v>0</v>
      </c>
      <c r="N970" s="2" t="s">
        <v>56</v>
      </c>
      <c r="O970" s="2" t="s">
        <v>57</v>
      </c>
      <c r="P970" s="2" t="s">
        <v>4619</v>
      </c>
      <c r="Q970" s="2" t="s">
        <v>4620</v>
      </c>
      <c r="R970" s="2" t="s">
        <v>7718</v>
      </c>
      <c r="S970" s="2" t="s">
        <v>7719</v>
      </c>
      <c r="V970" s="2" t="s">
        <v>8370</v>
      </c>
      <c r="W970" s="2" t="s">
        <v>8371</v>
      </c>
      <c r="Y970" s="2" t="s">
        <v>7722</v>
      </c>
      <c r="Z970" s="2" t="s">
        <v>7723</v>
      </c>
      <c r="AA970" s="2" t="s">
        <v>7724</v>
      </c>
      <c r="AC970" s="2" t="s">
        <v>7726</v>
      </c>
      <c r="AD970" s="2" t="s">
        <v>3756</v>
      </c>
      <c r="AE970" s="2" t="s">
        <v>2980</v>
      </c>
      <c r="AF970" s="2" t="s">
        <v>70</v>
      </c>
      <c r="AK970" s="2" t="s">
        <v>8372</v>
      </c>
      <c r="AL970" s="2" t="s">
        <v>4629</v>
      </c>
      <c r="AM970" s="2" t="s">
        <v>72</v>
      </c>
      <c r="AN970" s="2" t="s">
        <v>73</v>
      </c>
      <c r="AP970" s="2" t="s">
        <v>3341</v>
      </c>
      <c r="AT970" s="2" t="s">
        <v>114</v>
      </c>
      <c r="AU970" s="2" t="s">
        <v>75</v>
      </c>
      <c r="AV970" s="2" t="s">
        <v>7728</v>
      </c>
      <c r="AW970" s="2" t="s">
        <v>7729</v>
      </c>
      <c r="AZ970" s="2" t="s">
        <v>116</v>
      </c>
    </row>
    <row r="971" spans="1:52" s="3" customFormat="1" x14ac:dyDescent="0.35">
      <c r="A971" s="2" t="s">
        <v>8373</v>
      </c>
      <c r="B971" s="4">
        <v>241480</v>
      </c>
      <c r="C971" s="2" t="s">
        <v>8374</v>
      </c>
      <c r="D971" s="2">
        <f t="shared" si="15"/>
        <v>1</v>
      </c>
      <c r="F971" s="2" t="s">
        <v>7953</v>
      </c>
      <c r="G971" s="2" t="s">
        <v>53</v>
      </c>
      <c r="H971" s="4">
        <v>1</v>
      </c>
      <c r="I971" s="4">
        <v>1</v>
      </c>
      <c r="J971" s="5">
        <v>1707000</v>
      </c>
      <c r="L971" s="5">
        <v>1602019.5</v>
      </c>
      <c r="M971" s="2" t="s">
        <v>55</v>
      </c>
      <c r="N971" s="2" t="s">
        <v>458</v>
      </c>
      <c r="O971" s="2" t="s">
        <v>459</v>
      </c>
      <c r="P971" s="2" t="s">
        <v>8375</v>
      </c>
      <c r="Q971" s="2" t="s">
        <v>8376</v>
      </c>
      <c r="R971" s="2" t="s">
        <v>3780</v>
      </c>
      <c r="T971" s="2" t="s">
        <v>1035</v>
      </c>
      <c r="U971" s="2" t="s">
        <v>1036</v>
      </c>
      <c r="V971" s="2" t="s">
        <v>8377</v>
      </c>
      <c r="W971" s="2" t="s">
        <v>8378</v>
      </c>
      <c r="X971" s="2" t="s">
        <v>2420</v>
      </c>
      <c r="Y971" s="2" t="s">
        <v>1040</v>
      </c>
      <c r="Z971" s="2" t="s">
        <v>3171</v>
      </c>
      <c r="AA971" s="2" t="s">
        <v>1042</v>
      </c>
      <c r="AB971" s="2" t="s">
        <v>3172</v>
      </c>
      <c r="AC971" s="2" t="s">
        <v>3173</v>
      </c>
      <c r="AD971" s="2" t="s">
        <v>68</v>
      </c>
      <c r="AE971" s="2" t="s">
        <v>69</v>
      </c>
      <c r="AF971" s="2" t="s">
        <v>70</v>
      </c>
      <c r="AG971" s="2" t="s">
        <v>8379</v>
      </c>
      <c r="AK971" s="2" t="s">
        <v>8380</v>
      </c>
      <c r="AM971" s="2" t="s">
        <v>72</v>
      </c>
      <c r="AN971" s="2" t="s">
        <v>1046</v>
      </c>
      <c r="AP971" s="2" t="s">
        <v>2705</v>
      </c>
      <c r="AU971" s="2" t="s">
        <v>75</v>
      </c>
      <c r="AV971" s="2" t="s">
        <v>1047</v>
      </c>
      <c r="AW971" s="2" t="s">
        <v>1048</v>
      </c>
      <c r="AX971" s="2" t="s">
        <v>77</v>
      </c>
      <c r="AZ971" s="2" t="s">
        <v>77</v>
      </c>
    </row>
    <row r="972" spans="1:52" s="3" customFormat="1" x14ac:dyDescent="0.35">
      <c r="A972" s="2" t="s">
        <v>8381</v>
      </c>
      <c r="B972" s="4">
        <v>241477</v>
      </c>
      <c r="C972" s="2" t="s">
        <v>8382</v>
      </c>
      <c r="D972" s="2">
        <f t="shared" si="15"/>
        <v>1</v>
      </c>
      <c r="F972" s="2" t="s">
        <v>8383</v>
      </c>
      <c r="G972" s="2" t="s">
        <v>53</v>
      </c>
      <c r="H972" s="4">
        <v>1</v>
      </c>
      <c r="I972" s="4">
        <v>1</v>
      </c>
      <c r="J972" s="4">
        <v>650.1</v>
      </c>
      <c r="K972" s="2" t="s">
        <v>80</v>
      </c>
      <c r="L972" s="4">
        <v>650.1</v>
      </c>
      <c r="M972" s="2" t="s">
        <v>8384</v>
      </c>
      <c r="N972" s="2" t="s">
        <v>1658</v>
      </c>
      <c r="O972" s="2" t="s">
        <v>484</v>
      </c>
      <c r="P972" s="2" t="s">
        <v>4633</v>
      </c>
      <c r="Q972" s="2" t="s">
        <v>4634</v>
      </c>
      <c r="R972" s="2" t="s">
        <v>8385</v>
      </c>
      <c r="S972" s="2" t="s">
        <v>8386</v>
      </c>
      <c r="V972" s="2" t="s">
        <v>8387</v>
      </c>
      <c r="W972" s="2" t="s">
        <v>8388</v>
      </c>
      <c r="Y972" s="2" t="s">
        <v>8389</v>
      </c>
      <c r="Z972" s="2" t="s">
        <v>8390</v>
      </c>
      <c r="AA972" s="2" t="s">
        <v>8391</v>
      </c>
      <c r="AC972" s="2" t="s">
        <v>1823</v>
      </c>
      <c r="AD972" s="2" t="s">
        <v>3693</v>
      </c>
      <c r="AE972" s="2" t="s">
        <v>69</v>
      </c>
      <c r="AF972" s="2" t="s">
        <v>70</v>
      </c>
      <c r="AK972" s="2" t="s">
        <v>8392</v>
      </c>
      <c r="AL972" s="2" t="s">
        <v>7966</v>
      </c>
      <c r="AM972" s="2" t="s">
        <v>72</v>
      </c>
      <c r="AN972" s="2" t="s">
        <v>473</v>
      </c>
      <c r="AP972" s="2" t="s">
        <v>4546</v>
      </c>
      <c r="AU972" s="2" t="s">
        <v>75</v>
      </c>
      <c r="AV972" s="2" t="s">
        <v>8168</v>
      </c>
      <c r="AW972" s="2" t="s">
        <v>8393</v>
      </c>
      <c r="AZ972" s="2" t="s">
        <v>77</v>
      </c>
    </row>
    <row r="973" spans="1:52" s="3" customFormat="1" x14ac:dyDescent="0.35">
      <c r="A973" s="2" t="s">
        <v>8394</v>
      </c>
      <c r="B973" s="4">
        <v>241465</v>
      </c>
      <c r="C973" s="2" t="s">
        <v>8395</v>
      </c>
      <c r="D973" s="2">
        <f t="shared" si="15"/>
        <v>1</v>
      </c>
      <c r="F973" s="2" t="s">
        <v>8383</v>
      </c>
      <c r="G973" s="2" t="s">
        <v>53</v>
      </c>
      <c r="H973" s="4">
        <v>1</v>
      </c>
      <c r="I973" s="4">
        <v>0</v>
      </c>
      <c r="J973" s="4">
        <v>0</v>
      </c>
      <c r="L973" s="4">
        <v>0</v>
      </c>
      <c r="N973" s="2" t="s">
        <v>56</v>
      </c>
      <c r="O973" s="2" t="s">
        <v>57</v>
      </c>
      <c r="P973" s="2" t="s">
        <v>4619</v>
      </c>
      <c r="Q973" s="2" t="s">
        <v>4620</v>
      </c>
      <c r="R973" s="2" t="s">
        <v>8396</v>
      </c>
      <c r="S973" s="2" t="s">
        <v>8397</v>
      </c>
      <c r="V973" s="2" t="s">
        <v>8398</v>
      </c>
      <c r="W973" s="2" t="s">
        <v>8399</v>
      </c>
      <c r="Y973" s="2" t="s">
        <v>8400</v>
      </c>
      <c r="Z973" s="2" t="s">
        <v>8401</v>
      </c>
      <c r="AA973" s="2" t="s">
        <v>8402</v>
      </c>
      <c r="AB973" s="2" t="s">
        <v>8403</v>
      </c>
      <c r="AC973" s="2" t="s">
        <v>8404</v>
      </c>
      <c r="AD973" s="2" t="s">
        <v>8405</v>
      </c>
      <c r="AE973" s="2" t="s">
        <v>96</v>
      </c>
      <c r="AF973" s="2" t="s">
        <v>70</v>
      </c>
      <c r="AK973" s="2" t="s">
        <v>8406</v>
      </c>
      <c r="AL973" s="2" t="s">
        <v>4629</v>
      </c>
      <c r="AM973" s="2" t="s">
        <v>72</v>
      </c>
      <c r="AN973" s="2" t="s">
        <v>73</v>
      </c>
      <c r="AP973" s="2" t="s">
        <v>3341</v>
      </c>
      <c r="AT973" s="2" t="s">
        <v>114</v>
      </c>
      <c r="AU973" s="2" t="s">
        <v>75</v>
      </c>
      <c r="AW973" s="2" t="s">
        <v>8407</v>
      </c>
      <c r="AZ973" s="2" t="s">
        <v>116</v>
      </c>
    </row>
    <row r="974" spans="1:52" s="3" customFormat="1" x14ac:dyDescent="0.35">
      <c r="A974" s="2" t="s">
        <v>8408</v>
      </c>
      <c r="B974" s="4">
        <v>241464</v>
      </c>
      <c r="C974" s="2" t="s">
        <v>8409</v>
      </c>
      <c r="D974" s="2">
        <f t="shared" si="15"/>
        <v>1</v>
      </c>
      <c r="F974" s="2" t="s">
        <v>8383</v>
      </c>
      <c r="G974" s="2" t="s">
        <v>53</v>
      </c>
      <c r="H974" s="4">
        <v>1</v>
      </c>
      <c r="I974" s="4">
        <v>0</v>
      </c>
      <c r="J974" s="4">
        <v>0</v>
      </c>
      <c r="L974" s="4">
        <v>0</v>
      </c>
      <c r="N974" s="2" t="s">
        <v>56</v>
      </c>
      <c r="O974" s="2" t="s">
        <v>57</v>
      </c>
      <c r="P974" s="2" t="s">
        <v>4619</v>
      </c>
      <c r="Q974" s="2" t="s">
        <v>4620</v>
      </c>
      <c r="R974" s="2" t="s">
        <v>8410</v>
      </c>
      <c r="S974" s="2" t="s">
        <v>8411</v>
      </c>
      <c r="V974" s="2" t="s">
        <v>8412</v>
      </c>
      <c r="W974" s="2" t="s">
        <v>8413</v>
      </c>
      <c r="Y974" s="2" t="s">
        <v>8414</v>
      </c>
      <c r="Z974" s="2" t="s">
        <v>8415</v>
      </c>
      <c r="AA974" s="2" t="s">
        <v>4919</v>
      </c>
      <c r="AB974" s="2" t="s">
        <v>7738</v>
      </c>
      <c r="AC974" s="2" t="s">
        <v>8416</v>
      </c>
      <c r="AD974" s="2" t="s">
        <v>3521</v>
      </c>
      <c r="AE974" s="2" t="s">
        <v>96</v>
      </c>
      <c r="AF974" s="2" t="s">
        <v>70</v>
      </c>
      <c r="AK974" s="2" t="s">
        <v>8417</v>
      </c>
      <c r="AL974" s="2" t="s">
        <v>4629</v>
      </c>
      <c r="AM974" s="2" t="s">
        <v>72</v>
      </c>
      <c r="AN974" s="2" t="s">
        <v>73</v>
      </c>
      <c r="AP974" s="2" t="s">
        <v>3341</v>
      </c>
      <c r="AT974" s="2" t="s">
        <v>114</v>
      </c>
      <c r="AU974" s="2" t="s">
        <v>75</v>
      </c>
      <c r="AW974" s="2" t="s">
        <v>8418</v>
      </c>
      <c r="AZ974" s="2" t="s">
        <v>116</v>
      </c>
    </row>
    <row r="975" spans="1:52" s="3" customFormat="1" x14ac:dyDescent="0.35">
      <c r="A975" s="2" t="s">
        <v>8419</v>
      </c>
      <c r="B975" s="4">
        <v>241458</v>
      </c>
      <c r="C975" s="2" t="s">
        <v>8420</v>
      </c>
      <c r="D975" s="2">
        <f t="shared" si="15"/>
        <v>1</v>
      </c>
      <c r="F975" s="2" t="s">
        <v>8383</v>
      </c>
      <c r="G975" s="2" t="s">
        <v>53</v>
      </c>
      <c r="H975" s="4">
        <v>1</v>
      </c>
      <c r="I975" s="4">
        <v>0</v>
      </c>
      <c r="J975" s="4">
        <v>0</v>
      </c>
      <c r="L975" s="4">
        <v>0</v>
      </c>
      <c r="N975" s="2" t="s">
        <v>56</v>
      </c>
      <c r="O975" s="2" t="s">
        <v>57</v>
      </c>
      <c r="P975" s="2" t="s">
        <v>4619</v>
      </c>
      <c r="Q975" s="2" t="s">
        <v>4620</v>
      </c>
      <c r="R975" s="2" t="s">
        <v>8421</v>
      </c>
      <c r="S975" s="2" t="s">
        <v>8422</v>
      </c>
      <c r="V975" s="2" t="s">
        <v>8423</v>
      </c>
      <c r="W975" s="2" t="s">
        <v>8424</v>
      </c>
      <c r="Y975" s="2" t="s">
        <v>8425</v>
      </c>
      <c r="Z975" s="2" t="s">
        <v>8426</v>
      </c>
      <c r="AA975" s="2" t="s">
        <v>4593</v>
      </c>
      <c r="AB975" s="2" t="s">
        <v>8427</v>
      </c>
      <c r="AC975" s="2" t="s">
        <v>8082</v>
      </c>
      <c r="AD975" s="2" t="s">
        <v>3756</v>
      </c>
      <c r="AE975" s="2" t="s">
        <v>2980</v>
      </c>
      <c r="AF975" s="2" t="s">
        <v>70</v>
      </c>
      <c r="AK975" s="2" t="s">
        <v>8428</v>
      </c>
      <c r="AL975" s="2" t="s">
        <v>4629</v>
      </c>
      <c r="AM975" s="2" t="s">
        <v>72</v>
      </c>
      <c r="AN975" s="2" t="s">
        <v>73</v>
      </c>
      <c r="AP975" s="2" t="s">
        <v>3341</v>
      </c>
      <c r="AT975" s="2" t="s">
        <v>114</v>
      </c>
      <c r="AU975" s="2" t="s">
        <v>75</v>
      </c>
      <c r="AW975" s="2" t="s">
        <v>8429</v>
      </c>
      <c r="AZ975" s="2" t="s">
        <v>116</v>
      </c>
    </row>
    <row r="976" spans="1:52" s="3" customFormat="1" x14ac:dyDescent="0.35">
      <c r="A976" s="2" t="s">
        <v>8430</v>
      </c>
      <c r="B976" s="4">
        <v>241457</v>
      </c>
      <c r="C976" s="2" t="s">
        <v>8431</v>
      </c>
      <c r="D976" s="2">
        <f t="shared" si="15"/>
        <v>1</v>
      </c>
      <c r="F976" s="2" t="s">
        <v>8383</v>
      </c>
      <c r="G976" s="2" t="s">
        <v>53</v>
      </c>
      <c r="H976" s="4">
        <v>1</v>
      </c>
      <c r="I976" s="4">
        <v>0</v>
      </c>
      <c r="J976" s="4">
        <v>0</v>
      </c>
      <c r="L976" s="4">
        <v>0</v>
      </c>
      <c r="N976" s="2" t="s">
        <v>56</v>
      </c>
      <c r="O976" s="2" t="s">
        <v>57</v>
      </c>
      <c r="P976" s="2" t="s">
        <v>4619</v>
      </c>
      <c r="Q976" s="2" t="s">
        <v>4620</v>
      </c>
      <c r="R976" s="2" t="s">
        <v>8432</v>
      </c>
      <c r="S976" s="2" t="s">
        <v>8433</v>
      </c>
      <c r="V976" s="2" t="s">
        <v>8434</v>
      </c>
      <c r="W976" s="2" t="s">
        <v>8435</v>
      </c>
      <c r="Y976" s="2" t="s">
        <v>8436</v>
      </c>
      <c r="Z976" s="2" t="s">
        <v>8437</v>
      </c>
      <c r="AA976" s="2" t="s">
        <v>4581</v>
      </c>
      <c r="AB976" s="2" t="s">
        <v>8438</v>
      </c>
      <c r="AC976" s="2" t="s">
        <v>8439</v>
      </c>
      <c r="AD976" s="2" t="s">
        <v>1903</v>
      </c>
      <c r="AE976" s="2" t="s">
        <v>69</v>
      </c>
      <c r="AF976" s="2" t="s">
        <v>70</v>
      </c>
      <c r="AK976" s="2" t="s">
        <v>8440</v>
      </c>
      <c r="AL976" s="2" t="s">
        <v>4629</v>
      </c>
      <c r="AM976" s="2" t="s">
        <v>72</v>
      </c>
      <c r="AN976" s="2" t="s">
        <v>73</v>
      </c>
      <c r="AP976" s="2" t="s">
        <v>3341</v>
      </c>
      <c r="AT976" s="2" t="s">
        <v>114</v>
      </c>
      <c r="AU976" s="2" t="s">
        <v>75</v>
      </c>
      <c r="AV976" s="2" t="s">
        <v>8441</v>
      </c>
      <c r="AW976" s="2" t="s">
        <v>8442</v>
      </c>
      <c r="AZ976" s="2" t="s">
        <v>116</v>
      </c>
    </row>
    <row r="977" spans="1:52" s="3" customFormat="1" x14ac:dyDescent="0.35">
      <c r="A977" s="2" t="s">
        <v>8443</v>
      </c>
      <c r="B977" s="4">
        <v>241454</v>
      </c>
      <c r="C977" s="2" t="s">
        <v>8444</v>
      </c>
      <c r="D977" s="2">
        <f t="shared" si="15"/>
        <v>1</v>
      </c>
      <c r="F977" s="2" t="s">
        <v>8383</v>
      </c>
      <c r="G977" s="2" t="s">
        <v>53</v>
      </c>
      <c r="H977" s="4">
        <v>1</v>
      </c>
      <c r="I977" s="4">
        <v>0</v>
      </c>
      <c r="J977" s="4">
        <v>0</v>
      </c>
      <c r="L977" s="4">
        <v>0</v>
      </c>
      <c r="N977" s="2" t="s">
        <v>56</v>
      </c>
      <c r="O977" s="2" t="s">
        <v>57</v>
      </c>
      <c r="P977" s="2" t="s">
        <v>4619</v>
      </c>
      <c r="Q977" s="2" t="s">
        <v>4620</v>
      </c>
      <c r="R977" s="2" t="s">
        <v>8445</v>
      </c>
      <c r="S977" s="2" t="s">
        <v>8446</v>
      </c>
      <c r="V977" s="2" t="s">
        <v>8447</v>
      </c>
      <c r="W977" s="2" t="s">
        <v>8448</v>
      </c>
      <c r="Y977" s="2" t="s">
        <v>8449</v>
      </c>
      <c r="Z977" s="2" t="s">
        <v>8450</v>
      </c>
      <c r="AA977" s="2" t="s">
        <v>8451</v>
      </c>
      <c r="AB977" s="2" t="s">
        <v>8452</v>
      </c>
      <c r="AC977" s="2" t="s">
        <v>8453</v>
      </c>
      <c r="AD977" s="2" t="s">
        <v>3159</v>
      </c>
      <c r="AE977" s="2" t="s">
        <v>3160</v>
      </c>
      <c r="AF977" s="2" t="s">
        <v>70</v>
      </c>
      <c r="AK977" s="2" t="s">
        <v>8454</v>
      </c>
      <c r="AL977" s="2" t="s">
        <v>4629</v>
      </c>
      <c r="AM977" s="2" t="s">
        <v>72</v>
      </c>
      <c r="AN977" s="2" t="s">
        <v>73</v>
      </c>
      <c r="AP977" s="2" t="s">
        <v>3341</v>
      </c>
      <c r="AT977" s="2" t="s">
        <v>114</v>
      </c>
      <c r="AU977" s="2" t="s">
        <v>75</v>
      </c>
      <c r="AW977" s="2" t="s">
        <v>8455</v>
      </c>
      <c r="AZ977" s="2" t="s">
        <v>116</v>
      </c>
    </row>
    <row r="978" spans="1:52" s="3" customFormat="1" x14ac:dyDescent="0.35">
      <c r="A978" s="2" t="s">
        <v>8456</v>
      </c>
      <c r="B978" s="4">
        <v>241448</v>
      </c>
      <c r="C978" s="2" t="s">
        <v>8457</v>
      </c>
      <c r="D978" s="2">
        <f t="shared" si="15"/>
        <v>1</v>
      </c>
      <c r="F978" s="2" t="s">
        <v>7953</v>
      </c>
      <c r="G978" s="2" t="s">
        <v>53</v>
      </c>
      <c r="H978" s="4">
        <v>2</v>
      </c>
      <c r="I978" s="4">
        <v>4</v>
      </c>
      <c r="J978" s="5">
        <v>4400</v>
      </c>
      <c r="K978" s="2" t="s">
        <v>1252</v>
      </c>
      <c r="L978" s="5">
        <v>4129.3999999999996</v>
      </c>
      <c r="M978" s="2" t="s">
        <v>55</v>
      </c>
      <c r="N978" s="2" t="s">
        <v>1253</v>
      </c>
      <c r="O978" s="2" t="s">
        <v>1254</v>
      </c>
      <c r="P978" s="2" t="s">
        <v>3954</v>
      </c>
      <c r="Q978" s="2" t="s">
        <v>3955</v>
      </c>
      <c r="R978" s="2" t="s">
        <v>8349</v>
      </c>
      <c r="T978" s="2" t="s">
        <v>8350</v>
      </c>
      <c r="U978" s="2" t="s">
        <v>8351</v>
      </c>
      <c r="V978" s="2" t="s">
        <v>8352</v>
      </c>
      <c r="W978" s="2" t="s">
        <v>8353</v>
      </c>
      <c r="X978" s="2" t="s">
        <v>8353</v>
      </c>
      <c r="Y978" s="2" t="s">
        <v>8354</v>
      </c>
      <c r="Z978" s="2" t="s">
        <v>8355</v>
      </c>
      <c r="AA978" s="2" t="s">
        <v>8356</v>
      </c>
      <c r="AB978" s="2" t="s">
        <v>8357</v>
      </c>
      <c r="AC978" s="2" t="s">
        <v>8358</v>
      </c>
      <c r="AD978" s="2" t="s">
        <v>3140</v>
      </c>
      <c r="AE978" s="2" t="s">
        <v>3141</v>
      </c>
      <c r="AF978" s="2" t="s">
        <v>70</v>
      </c>
      <c r="AG978" s="2" t="s">
        <v>8458</v>
      </c>
      <c r="AK978" s="2" t="s">
        <v>8459</v>
      </c>
      <c r="AM978" s="2" t="s">
        <v>72</v>
      </c>
      <c r="AN978" s="2" t="s">
        <v>232</v>
      </c>
      <c r="AP978" s="2" t="s">
        <v>3886</v>
      </c>
      <c r="AU978" s="2" t="s">
        <v>75</v>
      </c>
      <c r="AV978" s="2" t="s">
        <v>8360</v>
      </c>
      <c r="AW978" s="2" t="s">
        <v>8361</v>
      </c>
      <c r="AX978" s="2" t="s">
        <v>477</v>
      </c>
      <c r="AZ978" s="2" t="s">
        <v>478</v>
      </c>
    </row>
    <row r="979" spans="1:52" s="3" customFormat="1" x14ac:dyDescent="0.35">
      <c r="A979" s="2" t="s">
        <v>8460</v>
      </c>
      <c r="B979" s="4">
        <v>241447</v>
      </c>
      <c r="C979" s="2" t="s">
        <v>8461</v>
      </c>
      <c r="D979" s="2">
        <f t="shared" si="15"/>
        <v>1</v>
      </c>
      <c r="F979" s="2" t="s">
        <v>7862</v>
      </c>
      <c r="G979" s="2" t="s">
        <v>53</v>
      </c>
      <c r="H979" s="4">
        <v>3</v>
      </c>
      <c r="I979" s="4">
        <v>4</v>
      </c>
      <c r="J979" s="5">
        <v>7800</v>
      </c>
      <c r="K979" s="2" t="s">
        <v>1252</v>
      </c>
      <c r="L979" s="5">
        <v>7320.3</v>
      </c>
      <c r="M979" s="2" t="s">
        <v>55</v>
      </c>
      <c r="N979" s="2" t="s">
        <v>1253</v>
      </c>
      <c r="O979" s="2" t="s">
        <v>1254</v>
      </c>
      <c r="P979" s="2" t="s">
        <v>4011</v>
      </c>
      <c r="Q979" s="2" t="s">
        <v>4012</v>
      </c>
      <c r="R979" s="2" t="s">
        <v>8349</v>
      </c>
      <c r="T979" s="2" t="s">
        <v>8350</v>
      </c>
      <c r="U979" s="2" t="s">
        <v>8351</v>
      </c>
      <c r="V979" s="2" t="s">
        <v>8352</v>
      </c>
      <c r="W979" s="2" t="s">
        <v>8353</v>
      </c>
      <c r="X979" s="2" t="s">
        <v>8353</v>
      </c>
      <c r="Y979" s="2" t="s">
        <v>8354</v>
      </c>
      <c r="Z979" s="2" t="s">
        <v>8355</v>
      </c>
      <c r="AA979" s="2" t="s">
        <v>8356</v>
      </c>
      <c r="AB979" s="2" t="s">
        <v>8357</v>
      </c>
      <c r="AC979" s="2" t="s">
        <v>8358</v>
      </c>
      <c r="AD979" s="2" t="s">
        <v>3140</v>
      </c>
      <c r="AE979" s="2" t="s">
        <v>3141</v>
      </c>
      <c r="AF979" s="2" t="s">
        <v>70</v>
      </c>
      <c r="AG979" s="2" t="s">
        <v>4011</v>
      </c>
      <c r="AK979" s="2" t="s">
        <v>8462</v>
      </c>
      <c r="AM979" s="2" t="s">
        <v>72</v>
      </c>
      <c r="AN979" s="2" t="s">
        <v>232</v>
      </c>
      <c r="AP979" s="2" t="s">
        <v>3918</v>
      </c>
      <c r="AU979" s="2" t="s">
        <v>75</v>
      </c>
      <c r="AV979" s="2" t="s">
        <v>8360</v>
      </c>
      <c r="AW979" s="2" t="s">
        <v>8361</v>
      </c>
      <c r="AX979" s="2" t="s">
        <v>477</v>
      </c>
      <c r="AZ979" s="2" t="s">
        <v>478</v>
      </c>
    </row>
    <row r="980" spans="1:52" s="3" customFormat="1" x14ac:dyDescent="0.35">
      <c r="A980" s="2" t="s">
        <v>8463</v>
      </c>
      <c r="B980" s="4">
        <v>241445</v>
      </c>
      <c r="C980" s="2" t="s">
        <v>8464</v>
      </c>
      <c r="D980" s="2">
        <f t="shared" si="15"/>
        <v>1</v>
      </c>
      <c r="F980" s="2" t="s">
        <v>7953</v>
      </c>
      <c r="G980" s="2" t="s">
        <v>53</v>
      </c>
      <c r="H980" s="4">
        <v>3</v>
      </c>
      <c r="I980" s="4">
        <v>4</v>
      </c>
      <c r="J980" s="5">
        <v>6600</v>
      </c>
      <c r="K980" s="2" t="s">
        <v>1252</v>
      </c>
      <c r="L980" s="5">
        <v>6194.1</v>
      </c>
      <c r="M980" s="2" t="s">
        <v>55</v>
      </c>
      <c r="N980" s="2" t="s">
        <v>1253</v>
      </c>
      <c r="O980" s="2" t="s">
        <v>1254</v>
      </c>
      <c r="P980" s="2" t="s">
        <v>8347</v>
      </c>
      <c r="Q980" s="2" t="s">
        <v>8348</v>
      </c>
      <c r="R980" s="2" t="s">
        <v>8349</v>
      </c>
      <c r="T980" s="2" t="s">
        <v>8350</v>
      </c>
      <c r="U980" s="2" t="s">
        <v>8351</v>
      </c>
      <c r="V980" s="2" t="s">
        <v>8352</v>
      </c>
      <c r="W980" s="2" t="s">
        <v>8353</v>
      </c>
      <c r="X980" s="2" t="s">
        <v>8353</v>
      </c>
      <c r="Y980" s="2" t="s">
        <v>8354</v>
      </c>
      <c r="Z980" s="2" t="s">
        <v>8355</v>
      </c>
      <c r="AA980" s="2" t="s">
        <v>8356</v>
      </c>
      <c r="AB980" s="2" t="s">
        <v>8357</v>
      </c>
      <c r="AC980" s="2" t="s">
        <v>8358</v>
      </c>
      <c r="AD980" s="2" t="s">
        <v>3140</v>
      </c>
      <c r="AE980" s="2" t="s">
        <v>3141</v>
      </c>
      <c r="AF980" s="2" t="s">
        <v>70</v>
      </c>
      <c r="AG980" s="2" t="s">
        <v>8347</v>
      </c>
      <c r="AK980" s="2" t="s">
        <v>8465</v>
      </c>
      <c r="AM980" s="2" t="s">
        <v>72</v>
      </c>
      <c r="AN980" s="2" t="s">
        <v>232</v>
      </c>
      <c r="AP980" s="2" t="s">
        <v>7236</v>
      </c>
      <c r="AU980" s="2" t="s">
        <v>75</v>
      </c>
      <c r="AV980" s="2" t="s">
        <v>8360</v>
      </c>
      <c r="AW980" s="2" t="s">
        <v>8361</v>
      </c>
      <c r="AX980" s="2" t="s">
        <v>77</v>
      </c>
      <c r="AZ980" s="2" t="s">
        <v>77</v>
      </c>
    </row>
    <row r="981" spans="1:52" s="3" customFormat="1" x14ac:dyDescent="0.35">
      <c r="A981" s="2" t="s">
        <v>8466</v>
      </c>
      <c r="B981" s="4">
        <v>241444</v>
      </c>
      <c r="C981" s="2" t="s">
        <v>8467</v>
      </c>
      <c r="D981" s="2">
        <f t="shared" si="15"/>
        <v>1</v>
      </c>
      <c r="F981" s="2" t="s">
        <v>7953</v>
      </c>
      <c r="G981" s="2" t="s">
        <v>53</v>
      </c>
      <c r="H981" s="4">
        <v>3</v>
      </c>
      <c r="I981" s="4">
        <v>4</v>
      </c>
      <c r="J981" s="5">
        <v>7800</v>
      </c>
      <c r="K981" s="2" t="s">
        <v>1252</v>
      </c>
      <c r="L981" s="5">
        <v>7320.3</v>
      </c>
      <c r="M981" s="2" t="s">
        <v>55</v>
      </c>
      <c r="N981" s="2" t="s">
        <v>1253</v>
      </c>
      <c r="O981" s="2" t="s">
        <v>1254</v>
      </c>
      <c r="P981" s="2" t="s">
        <v>8364</v>
      </c>
      <c r="Q981" s="2" t="s">
        <v>8365</v>
      </c>
      <c r="R981" s="2" t="s">
        <v>8349</v>
      </c>
      <c r="T981" s="2" t="s">
        <v>8350</v>
      </c>
      <c r="U981" s="2" t="s">
        <v>8351</v>
      </c>
      <c r="V981" s="2" t="s">
        <v>8352</v>
      </c>
      <c r="W981" s="2" t="s">
        <v>8353</v>
      </c>
      <c r="X981" s="2" t="s">
        <v>8353</v>
      </c>
      <c r="Y981" s="2" t="s">
        <v>8354</v>
      </c>
      <c r="Z981" s="2" t="s">
        <v>8355</v>
      </c>
      <c r="AA981" s="2" t="s">
        <v>8356</v>
      </c>
      <c r="AB981" s="2" t="s">
        <v>8357</v>
      </c>
      <c r="AC981" s="2" t="s">
        <v>8358</v>
      </c>
      <c r="AD981" s="2" t="s">
        <v>3140</v>
      </c>
      <c r="AE981" s="2" t="s">
        <v>3141</v>
      </c>
      <c r="AF981" s="2" t="s">
        <v>70</v>
      </c>
      <c r="AG981" s="2" t="s">
        <v>8366</v>
      </c>
      <c r="AK981" s="2" t="s">
        <v>8468</v>
      </c>
      <c r="AM981" s="2" t="s">
        <v>72</v>
      </c>
      <c r="AN981" s="2" t="s">
        <v>232</v>
      </c>
      <c r="AP981" s="2" t="s">
        <v>7423</v>
      </c>
      <c r="AU981" s="2" t="s">
        <v>75</v>
      </c>
      <c r="AV981" s="2" t="s">
        <v>8360</v>
      </c>
      <c r="AW981" s="2" t="s">
        <v>8361</v>
      </c>
      <c r="AX981" s="2" t="s">
        <v>77</v>
      </c>
      <c r="AZ981" s="2" t="s">
        <v>77</v>
      </c>
    </row>
    <row r="982" spans="1:52" s="3" customFormat="1" x14ac:dyDescent="0.35">
      <c r="A982" s="2" t="s">
        <v>8469</v>
      </c>
      <c r="B982" s="4">
        <v>241442</v>
      </c>
      <c r="C982" s="2" t="s">
        <v>8470</v>
      </c>
      <c r="D982" s="2">
        <f t="shared" si="15"/>
        <v>1</v>
      </c>
      <c r="F982" s="2" t="s">
        <v>7953</v>
      </c>
      <c r="G982" s="2" t="s">
        <v>53</v>
      </c>
      <c r="H982" s="4">
        <v>6</v>
      </c>
      <c r="I982" s="4">
        <v>4</v>
      </c>
      <c r="J982" s="5">
        <v>3000</v>
      </c>
      <c r="K982" s="2" t="s">
        <v>1252</v>
      </c>
      <c r="L982" s="5">
        <v>2815.5</v>
      </c>
      <c r="M982" s="2" t="s">
        <v>55</v>
      </c>
      <c r="N982" s="2" t="s">
        <v>1253</v>
      </c>
      <c r="O982" s="2" t="s">
        <v>1254</v>
      </c>
      <c r="P982" s="2" t="s">
        <v>3131</v>
      </c>
      <c r="Q982" s="2" t="s">
        <v>3132</v>
      </c>
      <c r="R982" s="2" t="s">
        <v>8349</v>
      </c>
      <c r="T982" s="2" t="s">
        <v>8350</v>
      </c>
      <c r="U982" s="2" t="s">
        <v>8351</v>
      </c>
      <c r="V982" s="2" t="s">
        <v>8352</v>
      </c>
      <c r="W982" s="2" t="s">
        <v>8353</v>
      </c>
      <c r="X982" s="2" t="s">
        <v>8353</v>
      </c>
      <c r="Y982" s="2" t="s">
        <v>8354</v>
      </c>
      <c r="Z982" s="2" t="s">
        <v>8355</v>
      </c>
      <c r="AA982" s="2" t="s">
        <v>8356</v>
      </c>
      <c r="AB982" s="2" t="s">
        <v>8357</v>
      </c>
      <c r="AC982" s="2" t="s">
        <v>8358</v>
      </c>
      <c r="AD982" s="2" t="s">
        <v>3140</v>
      </c>
      <c r="AE982" s="2" t="s">
        <v>3141</v>
      </c>
      <c r="AF982" s="2" t="s">
        <v>70</v>
      </c>
      <c r="AG982" s="2" t="s">
        <v>3131</v>
      </c>
      <c r="AK982" s="2" t="s">
        <v>8471</v>
      </c>
      <c r="AM982" s="2" t="s">
        <v>72</v>
      </c>
      <c r="AN982" s="2" t="s">
        <v>232</v>
      </c>
      <c r="AP982" s="2" t="s">
        <v>3144</v>
      </c>
      <c r="AT982" s="2" t="s">
        <v>114</v>
      </c>
      <c r="AU982" s="2" t="s">
        <v>75</v>
      </c>
      <c r="AV982" s="2" t="s">
        <v>8360</v>
      </c>
      <c r="AW982" s="2" t="s">
        <v>8361</v>
      </c>
      <c r="AX982" s="2" t="s">
        <v>477</v>
      </c>
      <c r="AZ982" s="2" t="s">
        <v>1256</v>
      </c>
    </row>
    <row r="983" spans="1:52" s="3" customFormat="1" x14ac:dyDescent="0.35">
      <c r="A983" s="2" t="s">
        <v>8472</v>
      </c>
      <c r="B983" s="4">
        <v>241438</v>
      </c>
      <c r="C983" s="2" t="s">
        <v>8473</v>
      </c>
      <c r="D983" s="2">
        <f t="shared" si="15"/>
        <v>1</v>
      </c>
      <c r="F983" s="2" t="s">
        <v>7953</v>
      </c>
      <c r="G983" s="2" t="s">
        <v>53</v>
      </c>
      <c r="H983" s="4">
        <v>6</v>
      </c>
      <c r="I983" s="4">
        <v>4</v>
      </c>
      <c r="J983" s="5">
        <v>13200</v>
      </c>
      <c r="K983" s="2" t="s">
        <v>1252</v>
      </c>
      <c r="L983" s="5">
        <v>12388.2</v>
      </c>
      <c r="M983" s="2" t="s">
        <v>55</v>
      </c>
      <c r="N983" s="2" t="s">
        <v>1253</v>
      </c>
      <c r="O983" s="2" t="s">
        <v>1254</v>
      </c>
      <c r="P983" s="2" t="s">
        <v>8474</v>
      </c>
      <c r="Q983" s="2" t="s">
        <v>8475</v>
      </c>
      <c r="R983" s="2" t="s">
        <v>8349</v>
      </c>
      <c r="T983" s="2" t="s">
        <v>8350</v>
      </c>
      <c r="U983" s="2" t="s">
        <v>8351</v>
      </c>
      <c r="V983" s="2" t="s">
        <v>8352</v>
      </c>
      <c r="W983" s="2" t="s">
        <v>8353</v>
      </c>
      <c r="X983" s="2" t="s">
        <v>8353</v>
      </c>
      <c r="Y983" s="2" t="s">
        <v>8354</v>
      </c>
      <c r="Z983" s="2" t="s">
        <v>8355</v>
      </c>
      <c r="AA983" s="2" t="s">
        <v>8356</v>
      </c>
      <c r="AB983" s="2" t="s">
        <v>8357</v>
      </c>
      <c r="AC983" s="2" t="s">
        <v>8358</v>
      </c>
      <c r="AD983" s="2" t="s">
        <v>3140</v>
      </c>
      <c r="AE983" s="2" t="s">
        <v>3141</v>
      </c>
      <c r="AF983" s="2" t="s">
        <v>70</v>
      </c>
      <c r="AG983" s="2" t="s">
        <v>8474</v>
      </c>
      <c r="AK983" s="2" t="s">
        <v>8476</v>
      </c>
      <c r="AM983" s="2" t="s">
        <v>72</v>
      </c>
      <c r="AN983" s="2" t="s">
        <v>232</v>
      </c>
      <c r="AP983" s="2" t="s">
        <v>4986</v>
      </c>
      <c r="AU983" s="2" t="s">
        <v>75</v>
      </c>
      <c r="AV983" s="2" t="s">
        <v>8360</v>
      </c>
      <c r="AW983" s="2" t="s">
        <v>8361</v>
      </c>
      <c r="AX983" s="2" t="s">
        <v>77</v>
      </c>
      <c r="AZ983" s="2" t="s">
        <v>77</v>
      </c>
    </row>
    <row r="984" spans="1:52" s="3" customFormat="1" x14ac:dyDescent="0.35">
      <c r="A984" s="2" t="s">
        <v>8477</v>
      </c>
      <c r="B984" s="4">
        <v>241436</v>
      </c>
      <c r="C984" s="2" t="s">
        <v>8478</v>
      </c>
      <c r="D984" s="2">
        <f t="shared" si="15"/>
        <v>1</v>
      </c>
      <c r="F984" s="2" t="s">
        <v>7953</v>
      </c>
      <c r="G984" s="2" t="s">
        <v>53</v>
      </c>
      <c r="H984" s="4">
        <v>6</v>
      </c>
      <c r="I984" s="4">
        <v>4</v>
      </c>
      <c r="J984" s="5">
        <v>15600</v>
      </c>
      <c r="K984" s="2" t="s">
        <v>1252</v>
      </c>
      <c r="L984" s="5">
        <v>14640.6</v>
      </c>
      <c r="M984" s="2" t="s">
        <v>55</v>
      </c>
      <c r="N984" s="2" t="s">
        <v>1253</v>
      </c>
      <c r="O984" s="2" t="s">
        <v>1254</v>
      </c>
      <c r="P984" s="2" t="s">
        <v>5155</v>
      </c>
      <c r="Q984" s="2" t="s">
        <v>5156</v>
      </c>
      <c r="R984" s="2" t="s">
        <v>8349</v>
      </c>
      <c r="T984" s="2" t="s">
        <v>8350</v>
      </c>
      <c r="U984" s="2" t="s">
        <v>8351</v>
      </c>
      <c r="V984" s="2" t="s">
        <v>8352</v>
      </c>
      <c r="W984" s="2" t="s">
        <v>8353</v>
      </c>
      <c r="X984" s="2" t="s">
        <v>8353</v>
      </c>
      <c r="Y984" s="2" t="s">
        <v>8354</v>
      </c>
      <c r="Z984" s="2" t="s">
        <v>8355</v>
      </c>
      <c r="AA984" s="2" t="s">
        <v>8356</v>
      </c>
      <c r="AB984" s="2" t="s">
        <v>8357</v>
      </c>
      <c r="AC984" s="2" t="s">
        <v>8358</v>
      </c>
      <c r="AD984" s="2" t="s">
        <v>3140</v>
      </c>
      <c r="AE984" s="2" t="s">
        <v>3141</v>
      </c>
      <c r="AF984" s="2" t="s">
        <v>70</v>
      </c>
      <c r="AG984" s="2" t="s">
        <v>5159</v>
      </c>
      <c r="AK984" s="2" t="s">
        <v>8479</v>
      </c>
      <c r="AM984" s="2" t="s">
        <v>72</v>
      </c>
      <c r="AN984" s="2" t="s">
        <v>232</v>
      </c>
      <c r="AP984" s="2" t="s">
        <v>5106</v>
      </c>
      <c r="AU984" s="2" t="s">
        <v>75</v>
      </c>
      <c r="AV984" s="2" t="s">
        <v>8360</v>
      </c>
      <c r="AW984" s="2" t="s">
        <v>8361</v>
      </c>
      <c r="AX984" s="2" t="s">
        <v>77</v>
      </c>
      <c r="AZ984" s="2" t="s">
        <v>77</v>
      </c>
    </row>
    <row r="985" spans="1:52" s="3" customFormat="1" x14ac:dyDescent="0.35">
      <c r="A985" s="2" t="s">
        <v>8480</v>
      </c>
      <c r="B985" s="4">
        <v>241435</v>
      </c>
      <c r="C985" s="2" t="s">
        <v>8481</v>
      </c>
      <c r="D985" s="2">
        <f t="shared" si="15"/>
        <v>1</v>
      </c>
      <c r="F985" s="2" t="s">
        <v>8383</v>
      </c>
      <c r="G985" s="2" t="s">
        <v>53</v>
      </c>
      <c r="H985" s="4">
        <v>1</v>
      </c>
      <c r="I985" s="4">
        <v>0</v>
      </c>
      <c r="J985" s="4">
        <v>0</v>
      </c>
      <c r="L985" s="4">
        <v>0</v>
      </c>
      <c r="N985" s="2" t="s">
        <v>56</v>
      </c>
      <c r="O985" s="2" t="s">
        <v>57</v>
      </c>
      <c r="P985" s="2" t="s">
        <v>4619</v>
      </c>
      <c r="Q985" s="2" t="s">
        <v>4620</v>
      </c>
      <c r="R985" s="2" t="s">
        <v>7718</v>
      </c>
      <c r="S985" s="2" t="s">
        <v>7719</v>
      </c>
      <c r="V985" s="2" t="s">
        <v>8370</v>
      </c>
      <c r="W985" s="2" t="s">
        <v>8482</v>
      </c>
      <c r="Y985" s="2" t="s">
        <v>8483</v>
      </c>
      <c r="Z985" s="2" t="s">
        <v>8484</v>
      </c>
      <c r="AA985" s="2" t="s">
        <v>8485</v>
      </c>
      <c r="AC985" s="2" t="s">
        <v>8486</v>
      </c>
      <c r="AD985" s="2" t="s">
        <v>3756</v>
      </c>
      <c r="AE985" s="2" t="s">
        <v>2980</v>
      </c>
      <c r="AF985" s="2" t="s">
        <v>70</v>
      </c>
      <c r="AK985" s="2" t="s">
        <v>8487</v>
      </c>
      <c r="AL985" s="2" t="s">
        <v>4629</v>
      </c>
      <c r="AM985" s="2" t="s">
        <v>72</v>
      </c>
      <c r="AN985" s="2" t="s">
        <v>73</v>
      </c>
      <c r="AP985" s="2" t="s">
        <v>3341</v>
      </c>
      <c r="AT985" s="2" t="s">
        <v>114</v>
      </c>
      <c r="AU985" s="2" t="s">
        <v>75</v>
      </c>
      <c r="AV985" s="2" t="s">
        <v>7728</v>
      </c>
      <c r="AW985" s="2" t="s">
        <v>7729</v>
      </c>
      <c r="AZ985" s="2" t="s">
        <v>116</v>
      </c>
    </row>
    <row r="986" spans="1:52" s="3" customFormat="1" x14ac:dyDescent="0.35">
      <c r="A986" s="2" t="s">
        <v>8488</v>
      </c>
      <c r="B986" s="4">
        <v>241426</v>
      </c>
      <c r="C986" s="2" t="s">
        <v>8489</v>
      </c>
      <c r="D986" s="2">
        <f t="shared" si="15"/>
        <v>1</v>
      </c>
      <c r="F986" s="2" t="s">
        <v>8383</v>
      </c>
      <c r="G986" s="2" t="s">
        <v>53</v>
      </c>
      <c r="H986" s="4">
        <v>1</v>
      </c>
      <c r="I986" s="4">
        <v>0</v>
      </c>
      <c r="J986" s="4">
        <v>0</v>
      </c>
      <c r="L986" s="4">
        <v>0</v>
      </c>
      <c r="N986" s="2" t="s">
        <v>56</v>
      </c>
      <c r="O986" s="2" t="s">
        <v>57</v>
      </c>
      <c r="P986" s="2" t="s">
        <v>4619</v>
      </c>
      <c r="Q986" s="2" t="s">
        <v>4620</v>
      </c>
      <c r="R986" s="2" t="s">
        <v>8490</v>
      </c>
      <c r="S986" s="2" t="s">
        <v>8172</v>
      </c>
      <c r="T986" s="2" t="s">
        <v>5954</v>
      </c>
      <c r="U986" s="2" t="s">
        <v>5955</v>
      </c>
      <c r="V986" s="2" t="s">
        <v>8173</v>
      </c>
      <c r="W986" s="2" t="s">
        <v>8174</v>
      </c>
      <c r="Y986" s="2" t="s">
        <v>5958</v>
      </c>
      <c r="Z986" s="2" t="s">
        <v>5959</v>
      </c>
      <c r="AA986" s="2" t="s">
        <v>5960</v>
      </c>
      <c r="AB986" s="2" t="s">
        <v>4780</v>
      </c>
      <c r="AC986" s="2" t="s">
        <v>5961</v>
      </c>
      <c r="AD986" s="2" t="s">
        <v>3756</v>
      </c>
      <c r="AE986" s="2" t="s">
        <v>2980</v>
      </c>
      <c r="AF986" s="2" t="s">
        <v>70</v>
      </c>
      <c r="AK986" s="2" t="s">
        <v>8491</v>
      </c>
      <c r="AL986" s="2" t="s">
        <v>4629</v>
      </c>
      <c r="AM986" s="2" t="s">
        <v>72</v>
      </c>
      <c r="AN986" s="2" t="s">
        <v>73</v>
      </c>
      <c r="AP986" s="2" t="s">
        <v>3341</v>
      </c>
      <c r="AT986" s="2" t="s">
        <v>114</v>
      </c>
      <c r="AU986" s="2" t="s">
        <v>75</v>
      </c>
      <c r="AV986" s="2" t="s">
        <v>5963</v>
      </c>
      <c r="AW986" s="2" t="s">
        <v>5964</v>
      </c>
      <c r="AZ986" s="2" t="s">
        <v>116</v>
      </c>
    </row>
    <row r="987" spans="1:52" s="3" customFormat="1" x14ac:dyDescent="0.35">
      <c r="A987" s="2" t="s">
        <v>8492</v>
      </c>
      <c r="B987" s="4">
        <v>241424</v>
      </c>
      <c r="C987" s="2" t="s">
        <v>8493</v>
      </c>
      <c r="D987" s="2">
        <f t="shared" si="15"/>
        <v>1</v>
      </c>
      <c r="F987" s="2" t="s">
        <v>8383</v>
      </c>
      <c r="G987" s="2" t="s">
        <v>53</v>
      </c>
      <c r="H987" s="4">
        <v>1</v>
      </c>
      <c r="I987" s="4">
        <v>0</v>
      </c>
      <c r="J987" s="4">
        <v>0</v>
      </c>
      <c r="L987" s="4">
        <v>0</v>
      </c>
      <c r="N987" s="2" t="s">
        <v>56</v>
      </c>
      <c r="O987" s="2" t="s">
        <v>57</v>
      </c>
      <c r="P987" s="2" t="s">
        <v>4619</v>
      </c>
      <c r="Q987" s="2" t="s">
        <v>4620</v>
      </c>
      <c r="R987" s="2" t="s">
        <v>6444</v>
      </c>
      <c r="S987" s="2" t="s">
        <v>6445</v>
      </c>
      <c r="V987" s="2" t="s">
        <v>6446</v>
      </c>
      <c r="W987" s="2" t="s">
        <v>8494</v>
      </c>
      <c r="Y987" s="2" t="s">
        <v>6448</v>
      </c>
      <c r="Z987" s="2" t="s">
        <v>6449</v>
      </c>
      <c r="AA987" s="2" t="s">
        <v>6450</v>
      </c>
      <c r="AC987" s="2" t="s">
        <v>6451</v>
      </c>
      <c r="AD987" s="2" t="s">
        <v>3756</v>
      </c>
      <c r="AE987" s="2" t="s">
        <v>2980</v>
      </c>
      <c r="AF987" s="2" t="s">
        <v>70</v>
      </c>
      <c r="AK987" s="2" t="s">
        <v>8495</v>
      </c>
      <c r="AL987" s="2" t="s">
        <v>4629</v>
      </c>
      <c r="AM987" s="2" t="s">
        <v>72</v>
      </c>
      <c r="AN987" s="2" t="s">
        <v>73</v>
      </c>
      <c r="AP987" s="2" t="s">
        <v>3341</v>
      </c>
      <c r="AT987" s="2" t="s">
        <v>114</v>
      </c>
      <c r="AU987" s="2" t="s">
        <v>75</v>
      </c>
      <c r="AW987" s="2" t="s">
        <v>6453</v>
      </c>
      <c r="AZ987" s="2" t="s">
        <v>116</v>
      </c>
    </row>
    <row r="988" spans="1:52" s="3" customFormat="1" x14ac:dyDescent="0.35">
      <c r="A988" s="2" t="s">
        <v>8496</v>
      </c>
      <c r="B988" s="4">
        <v>241402</v>
      </c>
      <c r="C988" s="2" t="s">
        <v>8497</v>
      </c>
      <c r="D988" s="2">
        <f t="shared" si="15"/>
        <v>1</v>
      </c>
      <c r="F988" s="2" t="s">
        <v>8383</v>
      </c>
      <c r="G988" s="2" t="s">
        <v>53</v>
      </c>
      <c r="H988" s="4">
        <v>1</v>
      </c>
      <c r="I988" s="4">
        <v>1</v>
      </c>
      <c r="J988" s="5">
        <v>15500</v>
      </c>
      <c r="K988" s="2" t="s">
        <v>1252</v>
      </c>
      <c r="L988" s="5">
        <v>14546.75</v>
      </c>
      <c r="M988" s="2" t="s">
        <v>55</v>
      </c>
      <c r="N988" s="2" t="s">
        <v>1253</v>
      </c>
      <c r="O988" s="2" t="s">
        <v>1254</v>
      </c>
      <c r="P988" s="2" t="s">
        <v>460</v>
      </c>
      <c r="Q988" s="2" t="s">
        <v>461</v>
      </c>
      <c r="R988" s="2" t="s">
        <v>8498</v>
      </c>
      <c r="T988" s="2" t="s">
        <v>8499</v>
      </c>
      <c r="U988" s="2" t="s">
        <v>8500</v>
      </c>
      <c r="V988" s="2" t="s">
        <v>8501</v>
      </c>
      <c r="W988" s="2" t="s">
        <v>8502</v>
      </c>
      <c r="X988" s="2" t="s">
        <v>8502</v>
      </c>
      <c r="Y988" s="2" t="s">
        <v>8503</v>
      </c>
      <c r="Z988" s="2" t="s">
        <v>2916</v>
      </c>
      <c r="AA988" s="2" t="s">
        <v>4581</v>
      </c>
      <c r="AC988" s="2" t="s">
        <v>2842</v>
      </c>
      <c r="AD988" s="2" t="s">
        <v>8504</v>
      </c>
      <c r="AE988" s="2" t="s">
        <v>96</v>
      </c>
      <c r="AF988" s="2" t="s">
        <v>70</v>
      </c>
      <c r="AG988" s="2" t="s">
        <v>8505</v>
      </c>
      <c r="AK988" s="2" t="s">
        <v>8506</v>
      </c>
      <c r="AM988" s="2" t="s">
        <v>72</v>
      </c>
      <c r="AN988" s="2" t="s">
        <v>473</v>
      </c>
      <c r="AP988" s="2" t="s">
        <v>474</v>
      </c>
      <c r="AU988" s="2" t="s">
        <v>75</v>
      </c>
      <c r="AV988" s="2" t="s">
        <v>8507</v>
      </c>
      <c r="AW988" s="2" t="s">
        <v>8508</v>
      </c>
      <c r="AX988" s="2" t="s">
        <v>477</v>
      </c>
      <c r="AZ988" s="2" t="s">
        <v>478</v>
      </c>
    </row>
    <row r="989" spans="1:52" s="3" customFormat="1" x14ac:dyDescent="0.35">
      <c r="A989" s="2" t="s">
        <v>8509</v>
      </c>
      <c r="B989" s="4">
        <v>241384</v>
      </c>
      <c r="C989" s="2" t="s">
        <v>8510</v>
      </c>
      <c r="D989" s="2">
        <f t="shared" si="15"/>
        <v>1</v>
      </c>
      <c r="F989" s="2" t="s">
        <v>8383</v>
      </c>
      <c r="G989" s="2" t="s">
        <v>53</v>
      </c>
      <c r="H989" s="4">
        <v>1</v>
      </c>
      <c r="I989" s="4">
        <v>0</v>
      </c>
      <c r="J989" s="4">
        <v>0</v>
      </c>
      <c r="L989" s="4">
        <v>0</v>
      </c>
      <c r="N989" s="2" t="s">
        <v>56</v>
      </c>
      <c r="O989" s="2" t="s">
        <v>57</v>
      </c>
      <c r="P989" s="2" t="s">
        <v>4619</v>
      </c>
      <c r="Q989" s="2" t="s">
        <v>4620</v>
      </c>
      <c r="R989" s="2" t="s">
        <v>8511</v>
      </c>
      <c r="S989" s="2" t="s">
        <v>8512</v>
      </c>
      <c r="V989" s="2" t="s">
        <v>8513</v>
      </c>
      <c r="W989" s="2" t="s">
        <v>8514</v>
      </c>
      <c r="Y989" s="2" t="s">
        <v>8515</v>
      </c>
      <c r="Z989" s="2" t="s">
        <v>8516</v>
      </c>
      <c r="AA989" s="2" t="s">
        <v>8517</v>
      </c>
      <c r="AC989" s="2" t="s">
        <v>8518</v>
      </c>
      <c r="AD989" s="2" t="s">
        <v>3756</v>
      </c>
      <c r="AE989" s="2" t="s">
        <v>2980</v>
      </c>
      <c r="AF989" s="2" t="s">
        <v>70</v>
      </c>
      <c r="AK989" s="2" t="s">
        <v>8519</v>
      </c>
      <c r="AL989" s="2" t="s">
        <v>4629</v>
      </c>
      <c r="AM989" s="2" t="s">
        <v>72</v>
      </c>
      <c r="AN989" s="2" t="s">
        <v>73</v>
      </c>
      <c r="AP989" s="2" t="s">
        <v>3341</v>
      </c>
      <c r="AT989" s="2" t="s">
        <v>114</v>
      </c>
      <c r="AU989" s="2" t="s">
        <v>75</v>
      </c>
      <c r="AW989" s="2" t="s">
        <v>8520</v>
      </c>
      <c r="AZ989" s="2" t="s">
        <v>116</v>
      </c>
    </row>
    <row r="990" spans="1:52" s="3" customFormat="1" x14ac:dyDescent="0.35">
      <c r="A990" s="2" t="s">
        <v>8521</v>
      </c>
      <c r="B990" s="4">
        <v>241383</v>
      </c>
      <c r="C990" s="2" t="s">
        <v>8522</v>
      </c>
      <c r="D990" s="2">
        <f t="shared" si="15"/>
        <v>1</v>
      </c>
      <c r="F990" s="2" t="s">
        <v>8383</v>
      </c>
      <c r="G990" s="2" t="s">
        <v>53</v>
      </c>
      <c r="H990" s="4">
        <v>1</v>
      </c>
      <c r="I990" s="4">
        <v>0</v>
      </c>
      <c r="J990" s="4">
        <v>0</v>
      </c>
      <c r="L990" s="4">
        <v>0</v>
      </c>
      <c r="N990" s="2" t="s">
        <v>56</v>
      </c>
      <c r="O990" s="2" t="s">
        <v>57</v>
      </c>
      <c r="P990" s="2" t="s">
        <v>4619</v>
      </c>
      <c r="Q990" s="2" t="s">
        <v>4620</v>
      </c>
      <c r="R990" s="2" t="s">
        <v>8523</v>
      </c>
      <c r="S990" s="2" t="s">
        <v>8524</v>
      </c>
      <c r="V990" s="2" t="s">
        <v>8525</v>
      </c>
      <c r="W990" s="2" t="s">
        <v>8526</v>
      </c>
      <c r="Y990" s="2" t="s">
        <v>8527</v>
      </c>
      <c r="Z990" s="2" t="s">
        <v>8528</v>
      </c>
      <c r="AA990" s="2" t="s">
        <v>8529</v>
      </c>
      <c r="AC990" s="2" t="s">
        <v>8530</v>
      </c>
      <c r="AD990" s="2" t="s">
        <v>8531</v>
      </c>
      <c r="AE990" s="2" t="s">
        <v>2980</v>
      </c>
      <c r="AF990" s="2" t="s">
        <v>70</v>
      </c>
      <c r="AK990" s="2" t="s">
        <v>8532</v>
      </c>
      <c r="AL990" s="2" t="s">
        <v>4629</v>
      </c>
      <c r="AM990" s="2" t="s">
        <v>72</v>
      </c>
      <c r="AN990" s="2" t="s">
        <v>73</v>
      </c>
      <c r="AP990" s="2" t="s">
        <v>3341</v>
      </c>
      <c r="AT990" s="2" t="s">
        <v>114</v>
      </c>
      <c r="AU990" s="2" t="s">
        <v>75</v>
      </c>
      <c r="AW990" s="2" t="s">
        <v>8533</v>
      </c>
      <c r="AZ990" s="2" t="s">
        <v>116</v>
      </c>
    </row>
    <row r="991" spans="1:52" s="3" customFormat="1" x14ac:dyDescent="0.35">
      <c r="A991" s="2" t="s">
        <v>8534</v>
      </c>
      <c r="B991" s="4">
        <v>241349</v>
      </c>
      <c r="C991" s="2" t="s">
        <v>8535</v>
      </c>
      <c r="D991" s="2">
        <f t="shared" si="15"/>
        <v>1</v>
      </c>
      <c r="F991" s="2" t="s">
        <v>7682</v>
      </c>
      <c r="G991" s="2" t="s">
        <v>53</v>
      </c>
      <c r="H991" s="4">
        <v>1</v>
      </c>
      <c r="I991" s="4">
        <v>0</v>
      </c>
      <c r="J991" s="4">
        <v>0</v>
      </c>
      <c r="L991" s="4">
        <v>0</v>
      </c>
      <c r="N991" s="2" t="s">
        <v>56</v>
      </c>
      <c r="O991" s="2" t="s">
        <v>57</v>
      </c>
      <c r="P991" s="2" t="s">
        <v>7677</v>
      </c>
      <c r="Q991" s="2" t="s">
        <v>7678</v>
      </c>
      <c r="R991" s="2" t="s">
        <v>8536</v>
      </c>
      <c r="S991" s="2" t="s">
        <v>8537</v>
      </c>
      <c r="V991" s="2" t="s">
        <v>8538</v>
      </c>
      <c r="W991" s="2" t="s">
        <v>8539</v>
      </c>
      <c r="Y991" s="2" t="s">
        <v>8540</v>
      </c>
      <c r="Z991" s="2" t="s">
        <v>8541</v>
      </c>
      <c r="AA991" s="2" t="s">
        <v>8542</v>
      </c>
      <c r="AB991" s="2" t="s">
        <v>8543</v>
      </c>
      <c r="AC991" s="2" t="s">
        <v>8544</v>
      </c>
      <c r="AD991" s="2" t="s">
        <v>68</v>
      </c>
      <c r="AE991" s="2" t="s">
        <v>69</v>
      </c>
      <c r="AF991" s="2" t="s">
        <v>70</v>
      </c>
      <c r="AK991" s="2" t="s">
        <v>8545</v>
      </c>
      <c r="AL991" s="2" t="s">
        <v>8546</v>
      </c>
      <c r="AM991" s="2" t="s">
        <v>72</v>
      </c>
      <c r="AN991" s="2" t="s">
        <v>473</v>
      </c>
      <c r="AP991" s="2" t="s">
        <v>7682</v>
      </c>
      <c r="AU991" s="2" t="s">
        <v>75</v>
      </c>
      <c r="AW991" s="2" t="s">
        <v>8547</v>
      </c>
      <c r="AZ991" s="2" t="s">
        <v>116</v>
      </c>
    </row>
    <row r="992" spans="1:52" s="3" customFormat="1" x14ac:dyDescent="0.35">
      <c r="A992" s="2" t="s">
        <v>8548</v>
      </c>
      <c r="B992" s="4">
        <v>241348</v>
      </c>
      <c r="C992" s="2" t="s">
        <v>8549</v>
      </c>
      <c r="D992" s="2">
        <f t="shared" si="15"/>
        <v>1</v>
      </c>
      <c r="F992" s="2" t="s">
        <v>7682</v>
      </c>
      <c r="G992" s="2" t="s">
        <v>53</v>
      </c>
      <c r="H992" s="4">
        <v>1</v>
      </c>
      <c r="I992" s="4">
        <v>0</v>
      </c>
      <c r="J992" s="4">
        <v>0</v>
      </c>
      <c r="L992" s="4">
        <v>0</v>
      </c>
      <c r="N992" s="2" t="s">
        <v>56</v>
      </c>
      <c r="O992" s="2" t="s">
        <v>57</v>
      </c>
      <c r="P992" s="2" t="s">
        <v>7677</v>
      </c>
      <c r="Q992" s="2" t="s">
        <v>7678</v>
      </c>
      <c r="R992" s="2" t="s">
        <v>8550</v>
      </c>
      <c r="S992" s="2" t="s">
        <v>8551</v>
      </c>
      <c r="V992" s="2" t="s">
        <v>8552</v>
      </c>
      <c r="W992" s="2" t="s">
        <v>8553</v>
      </c>
      <c r="Y992" s="2" t="s">
        <v>8554</v>
      </c>
      <c r="Z992" s="2" t="s">
        <v>8555</v>
      </c>
      <c r="AA992" s="2" t="s">
        <v>8556</v>
      </c>
      <c r="AB992" s="2" t="s">
        <v>8206</v>
      </c>
      <c r="AC992" s="2" t="s">
        <v>8557</v>
      </c>
      <c r="AD992" s="2" t="s">
        <v>68</v>
      </c>
      <c r="AE992" s="2" t="s">
        <v>69</v>
      </c>
      <c r="AF992" s="2" t="s">
        <v>70</v>
      </c>
      <c r="AK992" s="2" t="s">
        <v>8558</v>
      </c>
      <c r="AL992" s="2" t="s">
        <v>8546</v>
      </c>
      <c r="AM992" s="2" t="s">
        <v>72</v>
      </c>
      <c r="AN992" s="2" t="s">
        <v>473</v>
      </c>
      <c r="AP992" s="2" t="s">
        <v>7682</v>
      </c>
      <c r="AU992" s="2" t="s">
        <v>75</v>
      </c>
      <c r="AW992" s="2" t="s">
        <v>8559</v>
      </c>
      <c r="AZ992" s="2" t="s">
        <v>116</v>
      </c>
    </row>
    <row r="993" spans="1:52" s="3" customFormat="1" x14ac:dyDescent="0.35">
      <c r="A993" s="2" t="s">
        <v>8560</v>
      </c>
      <c r="B993" s="4">
        <v>241347</v>
      </c>
      <c r="C993" s="2" t="s">
        <v>8561</v>
      </c>
      <c r="D993" s="2">
        <f t="shared" si="15"/>
        <v>1</v>
      </c>
      <c r="F993" s="2" t="s">
        <v>7682</v>
      </c>
      <c r="G993" s="2" t="s">
        <v>53</v>
      </c>
      <c r="H993" s="4">
        <v>1</v>
      </c>
      <c r="I993" s="4">
        <v>0</v>
      </c>
      <c r="J993" s="4">
        <v>0</v>
      </c>
      <c r="L993" s="4">
        <v>0</v>
      </c>
      <c r="N993" s="2" t="s">
        <v>56</v>
      </c>
      <c r="O993" s="2" t="s">
        <v>57</v>
      </c>
      <c r="P993" s="2" t="s">
        <v>7677</v>
      </c>
      <c r="Q993" s="2" t="s">
        <v>7678</v>
      </c>
      <c r="R993" s="2" t="s">
        <v>8562</v>
      </c>
      <c r="S993" s="2" t="s">
        <v>8563</v>
      </c>
      <c r="V993" s="2" t="s">
        <v>8564</v>
      </c>
      <c r="W993" s="2" t="s">
        <v>8565</v>
      </c>
      <c r="Y993" s="2" t="s">
        <v>8566</v>
      </c>
      <c r="Z993" s="2" t="s">
        <v>8567</v>
      </c>
      <c r="AA993" s="2" t="s">
        <v>8568</v>
      </c>
      <c r="AC993" s="2" t="s">
        <v>1823</v>
      </c>
      <c r="AD993" s="2" t="s">
        <v>1402</v>
      </c>
      <c r="AE993" s="2" t="s">
        <v>1403</v>
      </c>
      <c r="AF993" s="2" t="s">
        <v>70</v>
      </c>
      <c r="AK993" s="2" t="s">
        <v>8569</v>
      </c>
      <c r="AL993" s="2" t="s">
        <v>8546</v>
      </c>
      <c r="AM993" s="2" t="s">
        <v>72</v>
      </c>
      <c r="AN993" s="2" t="s">
        <v>73</v>
      </c>
      <c r="AP993" s="2" t="s">
        <v>7682</v>
      </c>
      <c r="AU993" s="2" t="s">
        <v>75</v>
      </c>
      <c r="AW993" s="2" t="s">
        <v>8570</v>
      </c>
      <c r="AZ993" s="2" t="s">
        <v>116</v>
      </c>
    </row>
    <row r="994" spans="1:52" s="3" customFormat="1" x14ac:dyDescent="0.35">
      <c r="A994" s="2" t="s">
        <v>8571</v>
      </c>
      <c r="B994" s="4">
        <v>241346</v>
      </c>
      <c r="C994" s="2" t="s">
        <v>8572</v>
      </c>
      <c r="D994" s="2">
        <f t="shared" si="15"/>
        <v>1</v>
      </c>
      <c r="F994" s="2" t="s">
        <v>7682</v>
      </c>
      <c r="G994" s="2" t="s">
        <v>53</v>
      </c>
      <c r="H994" s="4">
        <v>1</v>
      </c>
      <c r="I994" s="4">
        <v>0</v>
      </c>
      <c r="J994" s="4">
        <v>0</v>
      </c>
      <c r="L994" s="4">
        <v>0</v>
      </c>
      <c r="N994" s="2" t="s">
        <v>56</v>
      </c>
      <c r="O994" s="2" t="s">
        <v>57</v>
      </c>
      <c r="P994" s="2" t="s">
        <v>7677</v>
      </c>
      <c r="Q994" s="2" t="s">
        <v>7678</v>
      </c>
      <c r="R994" s="2" t="s">
        <v>8573</v>
      </c>
      <c r="S994" s="2" t="s">
        <v>8574</v>
      </c>
      <c r="V994" s="2" t="s">
        <v>8575</v>
      </c>
      <c r="W994" s="2" t="s">
        <v>8576</v>
      </c>
      <c r="Y994" s="2" t="s">
        <v>8577</v>
      </c>
      <c r="Z994" s="2" t="s">
        <v>8578</v>
      </c>
      <c r="AA994" s="2" t="s">
        <v>8579</v>
      </c>
      <c r="AC994" s="2" t="s">
        <v>8580</v>
      </c>
      <c r="AD994" s="2" t="s">
        <v>8581</v>
      </c>
      <c r="AE994" s="2" t="s">
        <v>69</v>
      </c>
      <c r="AF994" s="2" t="s">
        <v>70</v>
      </c>
      <c r="AK994" s="2" t="s">
        <v>8582</v>
      </c>
      <c r="AL994" s="2" t="s">
        <v>8546</v>
      </c>
      <c r="AM994" s="2" t="s">
        <v>72</v>
      </c>
      <c r="AN994" s="2" t="s">
        <v>473</v>
      </c>
      <c r="AP994" s="2" t="s">
        <v>7682</v>
      </c>
      <c r="AU994" s="2" t="s">
        <v>75</v>
      </c>
      <c r="AW994" s="2" t="s">
        <v>8583</v>
      </c>
      <c r="AZ994" s="2" t="s">
        <v>116</v>
      </c>
    </row>
    <row r="995" spans="1:52" s="3" customFormat="1" x14ac:dyDescent="0.35">
      <c r="A995" s="2" t="s">
        <v>8584</v>
      </c>
      <c r="B995" s="4">
        <v>241345</v>
      </c>
      <c r="C995" s="2" t="s">
        <v>8585</v>
      </c>
      <c r="D995" s="2">
        <f t="shared" si="15"/>
        <v>1</v>
      </c>
      <c r="F995" s="2" t="s">
        <v>7682</v>
      </c>
      <c r="G995" s="2" t="s">
        <v>53</v>
      </c>
      <c r="H995" s="4">
        <v>1</v>
      </c>
      <c r="I995" s="4">
        <v>0</v>
      </c>
      <c r="J995" s="4">
        <v>0</v>
      </c>
      <c r="L995" s="4">
        <v>0</v>
      </c>
      <c r="N995" s="2" t="s">
        <v>56</v>
      </c>
      <c r="O995" s="2" t="s">
        <v>57</v>
      </c>
      <c r="P995" s="2" t="s">
        <v>7677</v>
      </c>
      <c r="Q995" s="2" t="s">
        <v>7678</v>
      </c>
      <c r="R995" s="2" t="s">
        <v>8586</v>
      </c>
      <c r="S995" s="2" t="s">
        <v>8587</v>
      </c>
      <c r="V995" s="2" t="s">
        <v>8588</v>
      </c>
      <c r="W995" s="2" t="s">
        <v>8589</v>
      </c>
      <c r="Y995" s="2" t="s">
        <v>8590</v>
      </c>
      <c r="Z995" s="2" t="s">
        <v>8591</v>
      </c>
      <c r="AA995" s="2" t="s">
        <v>6913</v>
      </c>
      <c r="AB995" s="2" t="s">
        <v>8592</v>
      </c>
      <c r="AC995" s="2" t="s">
        <v>8593</v>
      </c>
      <c r="AD995" s="2" t="s">
        <v>68</v>
      </c>
      <c r="AE995" s="2" t="s">
        <v>69</v>
      </c>
      <c r="AF995" s="2" t="s">
        <v>70</v>
      </c>
      <c r="AK995" s="2" t="s">
        <v>8594</v>
      </c>
      <c r="AL995" s="2" t="s">
        <v>8546</v>
      </c>
      <c r="AM995" s="2" t="s">
        <v>72</v>
      </c>
      <c r="AN995" s="2" t="s">
        <v>473</v>
      </c>
      <c r="AP995" s="2" t="s">
        <v>7682</v>
      </c>
      <c r="AU995" s="2" t="s">
        <v>75</v>
      </c>
      <c r="AW995" s="2" t="s">
        <v>8595</v>
      </c>
      <c r="AZ995" s="2" t="s">
        <v>116</v>
      </c>
    </row>
    <row r="996" spans="1:52" s="3" customFormat="1" x14ac:dyDescent="0.35">
      <c r="A996" s="2" t="s">
        <v>8596</v>
      </c>
      <c r="B996" s="4">
        <v>241335</v>
      </c>
      <c r="C996" s="2" t="s">
        <v>8597</v>
      </c>
      <c r="D996" s="2">
        <f t="shared" si="15"/>
        <v>1</v>
      </c>
      <c r="F996" s="2" t="s">
        <v>7682</v>
      </c>
      <c r="G996" s="2" t="s">
        <v>53</v>
      </c>
      <c r="H996" s="4">
        <v>1</v>
      </c>
      <c r="I996" s="4">
        <v>0</v>
      </c>
      <c r="J996" s="4">
        <v>0</v>
      </c>
      <c r="L996" s="4">
        <v>0</v>
      </c>
      <c r="N996" s="2" t="s">
        <v>56</v>
      </c>
      <c r="O996" s="2" t="s">
        <v>57</v>
      </c>
      <c r="P996" s="2" t="s">
        <v>7677</v>
      </c>
      <c r="Q996" s="2" t="s">
        <v>7678</v>
      </c>
      <c r="R996" s="2" t="s">
        <v>8598</v>
      </c>
      <c r="S996" s="2" t="s">
        <v>8599</v>
      </c>
      <c r="V996" s="2" t="s">
        <v>8600</v>
      </c>
      <c r="W996" s="2" t="s">
        <v>8601</v>
      </c>
      <c r="Y996" s="2" t="s">
        <v>8602</v>
      </c>
      <c r="Z996" s="2" t="s">
        <v>8603</v>
      </c>
      <c r="AA996" s="2" t="s">
        <v>8568</v>
      </c>
      <c r="AB996" s="2" t="s">
        <v>4680</v>
      </c>
      <c r="AC996" s="2" t="s">
        <v>2719</v>
      </c>
      <c r="AD996" s="2" t="s">
        <v>6860</v>
      </c>
      <c r="AE996" s="2" t="s">
        <v>69</v>
      </c>
      <c r="AF996" s="2" t="s">
        <v>70</v>
      </c>
      <c r="AK996" s="2" t="s">
        <v>8604</v>
      </c>
      <c r="AL996" s="2" t="s">
        <v>8546</v>
      </c>
      <c r="AM996" s="2" t="s">
        <v>72</v>
      </c>
      <c r="AN996" s="2" t="s">
        <v>473</v>
      </c>
      <c r="AP996" s="2" t="s">
        <v>7682</v>
      </c>
      <c r="AU996" s="2" t="s">
        <v>75</v>
      </c>
      <c r="AW996" s="2" t="s">
        <v>8605</v>
      </c>
      <c r="AZ996" s="2" t="s">
        <v>116</v>
      </c>
    </row>
    <row r="997" spans="1:52" s="3" customFormat="1" x14ac:dyDescent="0.35">
      <c r="A997" s="2" t="s">
        <v>8606</v>
      </c>
      <c r="B997" s="4">
        <v>241334</v>
      </c>
      <c r="C997" s="2" t="s">
        <v>8607</v>
      </c>
      <c r="D997" s="2">
        <f t="shared" si="15"/>
        <v>1</v>
      </c>
      <c r="F997" s="2" t="s">
        <v>7682</v>
      </c>
      <c r="G997" s="2" t="s">
        <v>53</v>
      </c>
      <c r="H997" s="4">
        <v>1</v>
      </c>
      <c r="I997" s="4">
        <v>0</v>
      </c>
      <c r="J997" s="4">
        <v>0</v>
      </c>
      <c r="L997" s="4">
        <v>0</v>
      </c>
      <c r="N997" s="2" t="s">
        <v>56</v>
      </c>
      <c r="O997" s="2" t="s">
        <v>57</v>
      </c>
      <c r="P997" s="2" t="s">
        <v>7677</v>
      </c>
      <c r="Q997" s="2" t="s">
        <v>7678</v>
      </c>
      <c r="R997" s="2" t="s">
        <v>8608</v>
      </c>
      <c r="S997" s="2" t="s">
        <v>8609</v>
      </c>
      <c r="V997" s="2" t="s">
        <v>8610</v>
      </c>
      <c r="W997" s="2" t="s">
        <v>8611</v>
      </c>
      <c r="Y997" s="2" t="s">
        <v>8602</v>
      </c>
      <c r="Z997" s="2" t="s">
        <v>8612</v>
      </c>
      <c r="AA997" s="2" t="s">
        <v>8568</v>
      </c>
      <c r="AC997" s="2" t="s">
        <v>8613</v>
      </c>
      <c r="AD997" s="2" t="s">
        <v>68</v>
      </c>
      <c r="AE997" s="2" t="s">
        <v>69</v>
      </c>
      <c r="AF997" s="2" t="s">
        <v>70</v>
      </c>
      <c r="AK997" s="2" t="s">
        <v>8614</v>
      </c>
      <c r="AL997" s="2" t="s">
        <v>8546</v>
      </c>
      <c r="AM997" s="2" t="s">
        <v>72</v>
      </c>
      <c r="AN997" s="2" t="s">
        <v>473</v>
      </c>
      <c r="AP997" s="2" t="s">
        <v>7682</v>
      </c>
      <c r="AU997" s="2" t="s">
        <v>75</v>
      </c>
      <c r="AW997" s="2" t="s">
        <v>8615</v>
      </c>
      <c r="AZ997" s="2" t="s">
        <v>116</v>
      </c>
    </row>
    <row r="998" spans="1:52" s="3" customFormat="1" x14ac:dyDescent="0.35">
      <c r="A998" s="2" t="s">
        <v>8616</v>
      </c>
      <c r="B998" s="4">
        <v>241333</v>
      </c>
      <c r="C998" s="2" t="s">
        <v>8607</v>
      </c>
      <c r="D998" s="2">
        <f t="shared" si="15"/>
        <v>1</v>
      </c>
      <c r="F998" s="2" t="s">
        <v>7682</v>
      </c>
      <c r="G998" s="2" t="s">
        <v>53</v>
      </c>
      <c r="H998" s="4">
        <v>1</v>
      </c>
      <c r="I998" s="4">
        <v>0</v>
      </c>
      <c r="J998" s="4">
        <v>0</v>
      </c>
      <c r="L998" s="4">
        <v>0</v>
      </c>
      <c r="N998" s="2" t="s">
        <v>56</v>
      </c>
      <c r="O998" s="2" t="s">
        <v>57</v>
      </c>
      <c r="P998" s="2" t="s">
        <v>7677</v>
      </c>
      <c r="Q998" s="2" t="s">
        <v>7678</v>
      </c>
      <c r="R998" s="2" t="s">
        <v>8617</v>
      </c>
      <c r="S998" s="2" t="s">
        <v>8618</v>
      </c>
      <c r="V998" s="2" t="s">
        <v>8619</v>
      </c>
      <c r="W998" s="2" t="s">
        <v>8620</v>
      </c>
      <c r="Y998" s="2" t="s">
        <v>8621</v>
      </c>
      <c r="Z998" s="2" t="s">
        <v>8622</v>
      </c>
      <c r="AA998" s="2" t="s">
        <v>4913</v>
      </c>
      <c r="AC998" s="2" t="s">
        <v>8623</v>
      </c>
      <c r="AD998" s="2" t="s">
        <v>1903</v>
      </c>
      <c r="AE998" s="2" t="s">
        <v>69</v>
      </c>
      <c r="AF998" s="2" t="s">
        <v>70</v>
      </c>
      <c r="AK998" s="2" t="s">
        <v>8624</v>
      </c>
      <c r="AL998" s="2" t="s">
        <v>8546</v>
      </c>
      <c r="AM998" s="2" t="s">
        <v>72</v>
      </c>
      <c r="AN998" s="2" t="s">
        <v>473</v>
      </c>
      <c r="AP998" s="2" t="s">
        <v>7682</v>
      </c>
      <c r="AU998" s="2" t="s">
        <v>75</v>
      </c>
      <c r="AW998" s="2" t="s">
        <v>8625</v>
      </c>
      <c r="AZ998" s="2" t="s">
        <v>116</v>
      </c>
    </row>
    <row r="999" spans="1:52" s="3" customFormat="1" x14ac:dyDescent="0.35">
      <c r="A999" s="2" t="s">
        <v>8626</v>
      </c>
      <c r="B999" s="4">
        <v>241332</v>
      </c>
      <c r="C999" s="2" t="s">
        <v>8627</v>
      </c>
      <c r="D999" s="2">
        <f t="shared" si="15"/>
        <v>1</v>
      </c>
      <c r="F999" s="2" t="s">
        <v>7682</v>
      </c>
      <c r="G999" s="2" t="s">
        <v>53</v>
      </c>
      <c r="H999" s="4">
        <v>1</v>
      </c>
      <c r="I999" s="4">
        <v>0</v>
      </c>
      <c r="J999" s="4">
        <v>0</v>
      </c>
      <c r="L999" s="4">
        <v>0</v>
      </c>
      <c r="N999" s="2" t="s">
        <v>56</v>
      </c>
      <c r="O999" s="2" t="s">
        <v>57</v>
      </c>
      <c r="P999" s="2" t="s">
        <v>7677</v>
      </c>
      <c r="Q999" s="2" t="s">
        <v>7678</v>
      </c>
      <c r="R999" s="2" t="s">
        <v>8628</v>
      </c>
      <c r="S999" s="2" t="s">
        <v>8629</v>
      </c>
      <c r="V999" s="2" t="s">
        <v>8630</v>
      </c>
      <c r="W999" s="2" t="s">
        <v>8631</v>
      </c>
      <c r="Y999" s="2" t="s">
        <v>8632</v>
      </c>
      <c r="Z999" s="2" t="s">
        <v>8633</v>
      </c>
      <c r="AA999" s="2" t="s">
        <v>8634</v>
      </c>
      <c r="AC999" s="2" t="s">
        <v>1823</v>
      </c>
      <c r="AD999" s="2" t="s">
        <v>8635</v>
      </c>
      <c r="AE999" s="2" t="s">
        <v>2980</v>
      </c>
      <c r="AF999" s="2" t="s">
        <v>70</v>
      </c>
      <c r="AK999" s="2" t="s">
        <v>8636</v>
      </c>
      <c r="AL999" s="2" t="s">
        <v>8546</v>
      </c>
      <c r="AM999" s="2" t="s">
        <v>72</v>
      </c>
      <c r="AN999" s="2" t="s">
        <v>473</v>
      </c>
      <c r="AP999" s="2" t="s">
        <v>7682</v>
      </c>
      <c r="AU999" s="2" t="s">
        <v>75</v>
      </c>
      <c r="AW999" s="2" t="s">
        <v>8637</v>
      </c>
      <c r="AZ999" s="2" t="s">
        <v>116</v>
      </c>
    </row>
    <row r="1000" spans="1:52" s="3" customFormat="1" x14ac:dyDescent="0.35">
      <c r="A1000" s="2" t="s">
        <v>8638</v>
      </c>
      <c r="B1000" s="4">
        <v>241324</v>
      </c>
      <c r="C1000" s="2" t="s">
        <v>8639</v>
      </c>
      <c r="D1000" s="2">
        <f t="shared" si="15"/>
        <v>1</v>
      </c>
      <c r="F1000" s="2" t="s">
        <v>7682</v>
      </c>
      <c r="G1000" s="2" t="s">
        <v>53</v>
      </c>
      <c r="H1000" s="4">
        <v>1</v>
      </c>
      <c r="I1000" s="4">
        <v>0</v>
      </c>
      <c r="J1000" s="4">
        <v>0</v>
      </c>
      <c r="L1000" s="4">
        <v>0</v>
      </c>
      <c r="N1000" s="2" t="s">
        <v>56</v>
      </c>
      <c r="O1000" s="2" t="s">
        <v>57</v>
      </c>
      <c r="P1000" s="2" t="s">
        <v>7677</v>
      </c>
      <c r="Q1000" s="2" t="s">
        <v>7678</v>
      </c>
      <c r="R1000" s="2" t="s">
        <v>8640</v>
      </c>
      <c r="S1000" s="2" t="s">
        <v>8641</v>
      </c>
      <c r="V1000" s="2" t="s">
        <v>8642</v>
      </c>
      <c r="W1000" s="2" t="s">
        <v>8643</v>
      </c>
      <c r="Y1000" s="2" t="s">
        <v>8644</v>
      </c>
      <c r="Z1000" s="2" t="s">
        <v>8645</v>
      </c>
      <c r="AA1000" s="2" t="s">
        <v>8646</v>
      </c>
      <c r="AB1000" s="2" t="s">
        <v>8647</v>
      </c>
      <c r="AC1000" s="2" t="s">
        <v>8648</v>
      </c>
      <c r="AD1000" s="2" t="s">
        <v>68</v>
      </c>
      <c r="AE1000" s="2" t="s">
        <v>69</v>
      </c>
      <c r="AF1000" s="2" t="s">
        <v>70</v>
      </c>
      <c r="AK1000" s="2" t="s">
        <v>8649</v>
      </c>
      <c r="AL1000" s="2" t="s">
        <v>8546</v>
      </c>
      <c r="AM1000" s="2" t="s">
        <v>72</v>
      </c>
      <c r="AN1000" s="2" t="s">
        <v>473</v>
      </c>
      <c r="AP1000" s="2" t="s">
        <v>7682</v>
      </c>
      <c r="AU1000" s="2" t="s">
        <v>75</v>
      </c>
      <c r="AV1000" s="2" t="s">
        <v>8650</v>
      </c>
      <c r="AW1000" s="2" t="s">
        <v>8651</v>
      </c>
      <c r="AZ1000" s="2" t="s">
        <v>116</v>
      </c>
    </row>
    <row r="1001" spans="1:52" s="3" customFormat="1" x14ac:dyDescent="0.35">
      <c r="A1001" s="2" t="s">
        <v>8652</v>
      </c>
      <c r="B1001" s="4">
        <v>241323</v>
      </c>
      <c r="C1001" s="2" t="s">
        <v>8653</v>
      </c>
      <c r="D1001" s="2">
        <f t="shared" si="15"/>
        <v>1</v>
      </c>
      <c r="F1001" s="2" t="s">
        <v>7682</v>
      </c>
      <c r="G1001" s="2" t="s">
        <v>53</v>
      </c>
      <c r="H1001" s="4">
        <v>1</v>
      </c>
      <c r="I1001" s="4">
        <v>0</v>
      </c>
      <c r="J1001" s="4">
        <v>0</v>
      </c>
      <c r="L1001" s="4">
        <v>0</v>
      </c>
      <c r="N1001" s="2" t="s">
        <v>56</v>
      </c>
      <c r="O1001" s="2" t="s">
        <v>57</v>
      </c>
      <c r="P1001" s="2" t="s">
        <v>7677</v>
      </c>
      <c r="Q1001" s="2" t="s">
        <v>7678</v>
      </c>
      <c r="R1001" s="2" t="s">
        <v>8654</v>
      </c>
      <c r="S1001" s="2" t="s">
        <v>8655</v>
      </c>
      <c r="V1001" s="2" t="s">
        <v>8656</v>
      </c>
      <c r="W1001" s="2" t="s">
        <v>8657</v>
      </c>
      <c r="Y1001" s="2" t="s">
        <v>8602</v>
      </c>
      <c r="Z1001" s="2" t="s">
        <v>8612</v>
      </c>
      <c r="AA1001" s="2" t="s">
        <v>8568</v>
      </c>
      <c r="AC1001" s="2" t="s">
        <v>8613</v>
      </c>
      <c r="AD1001" s="2" t="s">
        <v>68</v>
      </c>
      <c r="AE1001" s="2" t="s">
        <v>69</v>
      </c>
      <c r="AF1001" s="2" t="s">
        <v>70</v>
      </c>
      <c r="AK1001" s="2" t="s">
        <v>8658</v>
      </c>
      <c r="AL1001" s="2" t="s">
        <v>8546</v>
      </c>
      <c r="AM1001" s="2" t="s">
        <v>72</v>
      </c>
      <c r="AN1001" s="2" t="s">
        <v>473</v>
      </c>
      <c r="AP1001" s="2" t="s">
        <v>7682</v>
      </c>
      <c r="AU1001" s="2" t="s">
        <v>75</v>
      </c>
      <c r="AW1001" s="2" t="s">
        <v>8659</v>
      </c>
      <c r="AZ1001" s="2" t="s">
        <v>116</v>
      </c>
    </row>
    <row r="1002" spans="1:52" s="3" customFormat="1" x14ac:dyDescent="0.35">
      <c r="A1002" s="2" t="s">
        <v>8660</v>
      </c>
      <c r="B1002" s="4">
        <v>241322</v>
      </c>
      <c r="C1002" s="2" t="s">
        <v>8661</v>
      </c>
      <c r="D1002" s="2">
        <f t="shared" si="15"/>
        <v>1</v>
      </c>
      <c r="F1002" s="2" t="s">
        <v>7682</v>
      </c>
      <c r="G1002" s="2" t="s">
        <v>53</v>
      </c>
      <c r="H1002" s="4">
        <v>1</v>
      </c>
      <c r="I1002" s="4">
        <v>0</v>
      </c>
      <c r="J1002" s="4">
        <v>0</v>
      </c>
      <c r="L1002" s="4">
        <v>0</v>
      </c>
      <c r="N1002" s="2" t="s">
        <v>56</v>
      </c>
      <c r="O1002" s="2" t="s">
        <v>57</v>
      </c>
      <c r="P1002" s="2" t="s">
        <v>7677</v>
      </c>
      <c r="Q1002" s="2" t="s">
        <v>7678</v>
      </c>
      <c r="R1002" s="2" t="s">
        <v>8662</v>
      </c>
      <c r="S1002" s="2" t="s">
        <v>8655</v>
      </c>
      <c r="V1002" s="2" t="s">
        <v>8663</v>
      </c>
      <c r="W1002" s="2" t="s">
        <v>8664</v>
      </c>
      <c r="Y1002" s="2" t="s">
        <v>8602</v>
      </c>
      <c r="Z1002" s="2" t="s">
        <v>8612</v>
      </c>
      <c r="AA1002" s="2" t="s">
        <v>8568</v>
      </c>
      <c r="AC1002" s="2" t="s">
        <v>8613</v>
      </c>
      <c r="AD1002" s="2" t="s">
        <v>68</v>
      </c>
      <c r="AE1002" s="2" t="s">
        <v>69</v>
      </c>
      <c r="AF1002" s="2" t="s">
        <v>70</v>
      </c>
      <c r="AK1002" s="2" t="s">
        <v>8665</v>
      </c>
      <c r="AL1002" s="2" t="s">
        <v>8546</v>
      </c>
      <c r="AM1002" s="2" t="s">
        <v>72</v>
      </c>
      <c r="AN1002" s="2" t="s">
        <v>473</v>
      </c>
      <c r="AP1002" s="2" t="s">
        <v>7682</v>
      </c>
      <c r="AU1002" s="2" t="s">
        <v>75</v>
      </c>
      <c r="AW1002" s="2" t="s">
        <v>8659</v>
      </c>
      <c r="AZ1002" s="2" t="s">
        <v>116</v>
      </c>
    </row>
    <row r="1003" spans="1:52" s="3" customFormat="1" x14ac:dyDescent="0.35">
      <c r="A1003" s="2" t="s">
        <v>8666</v>
      </c>
      <c r="B1003" s="4">
        <v>241320</v>
      </c>
      <c r="C1003" s="2" t="s">
        <v>8667</v>
      </c>
      <c r="D1003" s="2">
        <f t="shared" si="15"/>
        <v>1</v>
      </c>
      <c r="F1003" s="2" t="s">
        <v>7682</v>
      </c>
      <c r="G1003" s="2" t="s">
        <v>53</v>
      </c>
      <c r="H1003" s="4">
        <v>1</v>
      </c>
      <c r="I1003" s="4">
        <v>0</v>
      </c>
      <c r="J1003" s="4">
        <v>0</v>
      </c>
      <c r="L1003" s="4">
        <v>0</v>
      </c>
      <c r="N1003" s="2" t="s">
        <v>56</v>
      </c>
      <c r="O1003" s="2" t="s">
        <v>57</v>
      </c>
      <c r="P1003" s="2" t="s">
        <v>7677</v>
      </c>
      <c r="Q1003" s="2" t="s">
        <v>7678</v>
      </c>
      <c r="R1003" s="2" t="s">
        <v>8668</v>
      </c>
      <c r="S1003" s="2" t="s">
        <v>8669</v>
      </c>
      <c r="V1003" s="2" t="s">
        <v>8670</v>
      </c>
      <c r="W1003" s="2" t="s">
        <v>8671</v>
      </c>
      <c r="Y1003" s="2" t="s">
        <v>8602</v>
      </c>
      <c r="Z1003" s="2" t="s">
        <v>8612</v>
      </c>
      <c r="AA1003" s="2" t="s">
        <v>8568</v>
      </c>
      <c r="AC1003" s="2" t="s">
        <v>8613</v>
      </c>
      <c r="AD1003" s="2" t="s">
        <v>68</v>
      </c>
      <c r="AE1003" s="2" t="s">
        <v>69</v>
      </c>
      <c r="AF1003" s="2" t="s">
        <v>70</v>
      </c>
      <c r="AK1003" s="2" t="s">
        <v>8672</v>
      </c>
      <c r="AL1003" s="2" t="s">
        <v>8546</v>
      </c>
      <c r="AM1003" s="2" t="s">
        <v>72</v>
      </c>
      <c r="AN1003" s="2" t="s">
        <v>473</v>
      </c>
      <c r="AP1003" s="2" t="s">
        <v>7682</v>
      </c>
      <c r="AU1003" s="2" t="s">
        <v>75</v>
      </c>
      <c r="AW1003" s="2" t="s">
        <v>8673</v>
      </c>
      <c r="AZ1003" s="2" t="s">
        <v>116</v>
      </c>
    </row>
    <row r="1004" spans="1:52" s="3" customFormat="1" x14ac:dyDescent="0.35">
      <c r="A1004" s="2" t="s">
        <v>8674</v>
      </c>
      <c r="B1004" s="4">
        <v>241318</v>
      </c>
      <c r="C1004" s="2" t="s">
        <v>8675</v>
      </c>
      <c r="D1004" s="2">
        <f t="shared" si="15"/>
        <v>1</v>
      </c>
      <c r="F1004" s="2" t="s">
        <v>7682</v>
      </c>
      <c r="G1004" s="2" t="s">
        <v>53</v>
      </c>
      <c r="H1004" s="4">
        <v>1</v>
      </c>
      <c r="I1004" s="4">
        <v>0</v>
      </c>
      <c r="J1004" s="4">
        <v>0</v>
      </c>
      <c r="L1004" s="4">
        <v>0</v>
      </c>
      <c r="N1004" s="2" t="s">
        <v>56</v>
      </c>
      <c r="O1004" s="2" t="s">
        <v>57</v>
      </c>
      <c r="P1004" s="2" t="s">
        <v>7677</v>
      </c>
      <c r="Q1004" s="2" t="s">
        <v>7678</v>
      </c>
      <c r="R1004" s="2" t="s">
        <v>8676</v>
      </c>
      <c r="S1004" s="2" t="s">
        <v>8677</v>
      </c>
      <c r="V1004" s="2" t="s">
        <v>8678</v>
      </c>
      <c r="W1004" s="2" t="s">
        <v>8679</v>
      </c>
      <c r="Y1004" s="2" t="s">
        <v>8602</v>
      </c>
      <c r="Z1004" s="2" t="s">
        <v>8612</v>
      </c>
      <c r="AA1004" s="2" t="s">
        <v>8568</v>
      </c>
      <c r="AC1004" s="2" t="s">
        <v>8613</v>
      </c>
      <c r="AD1004" s="2" t="s">
        <v>68</v>
      </c>
      <c r="AE1004" s="2" t="s">
        <v>69</v>
      </c>
      <c r="AF1004" s="2" t="s">
        <v>70</v>
      </c>
      <c r="AK1004" s="2" t="s">
        <v>8680</v>
      </c>
      <c r="AL1004" s="2" t="s">
        <v>8546</v>
      </c>
      <c r="AM1004" s="2" t="s">
        <v>72</v>
      </c>
      <c r="AN1004" s="2" t="s">
        <v>473</v>
      </c>
      <c r="AP1004" s="2" t="s">
        <v>7682</v>
      </c>
      <c r="AU1004" s="2" t="s">
        <v>75</v>
      </c>
      <c r="AW1004" s="2" t="s">
        <v>8681</v>
      </c>
      <c r="AZ1004" s="2" t="s">
        <v>116</v>
      </c>
    </row>
    <row r="1005" spans="1:52" s="3" customFormat="1" x14ac:dyDescent="0.35">
      <c r="A1005" s="2" t="s">
        <v>8682</v>
      </c>
      <c r="B1005" s="4">
        <v>241316</v>
      </c>
      <c r="C1005" s="2" t="s">
        <v>8683</v>
      </c>
      <c r="D1005" s="2">
        <f t="shared" si="15"/>
        <v>1</v>
      </c>
      <c r="F1005" s="2" t="s">
        <v>7682</v>
      </c>
      <c r="G1005" s="2" t="s">
        <v>53</v>
      </c>
      <c r="H1005" s="4">
        <v>1</v>
      </c>
      <c r="I1005" s="4">
        <v>0</v>
      </c>
      <c r="J1005" s="4">
        <v>0</v>
      </c>
      <c r="L1005" s="4">
        <v>0</v>
      </c>
      <c r="N1005" s="2" t="s">
        <v>56</v>
      </c>
      <c r="O1005" s="2" t="s">
        <v>57</v>
      </c>
      <c r="P1005" s="2" t="s">
        <v>7677</v>
      </c>
      <c r="Q1005" s="2" t="s">
        <v>7678</v>
      </c>
      <c r="R1005" s="2" t="s">
        <v>8684</v>
      </c>
      <c r="S1005" s="2" t="s">
        <v>8685</v>
      </c>
      <c r="V1005" s="2" t="s">
        <v>8686</v>
      </c>
      <c r="W1005" s="2" t="s">
        <v>8687</v>
      </c>
      <c r="Y1005" s="2" t="s">
        <v>8688</v>
      </c>
      <c r="Z1005" s="2" t="s">
        <v>8689</v>
      </c>
      <c r="AA1005" s="2" t="s">
        <v>8690</v>
      </c>
      <c r="AC1005" s="2" t="s">
        <v>8691</v>
      </c>
      <c r="AD1005" s="2" t="s">
        <v>8692</v>
      </c>
      <c r="AE1005" s="2" t="s">
        <v>69</v>
      </c>
      <c r="AF1005" s="2" t="s">
        <v>70</v>
      </c>
      <c r="AK1005" s="2" t="s">
        <v>8693</v>
      </c>
      <c r="AL1005" s="2" t="s">
        <v>8546</v>
      </c>
      <c r="AM1005" s="2" t="s">
        <v>72</v>
      </c>
      <c r="AN1005" s="2" t="s">
        <v>473</v>
      </c>
      <c r="AP1005" s="2" t="s">
        <v>7682</v>
      </c>
      <c r="AU1005" s="2" t="s">
        <v>75</v>
      </c>
      <c r="AW1005" s="2" t="s">
        <v>8694</v>
      </c>
      <c r="AZ1005" s="2" t="s">
        <v>116</v>
      </c>
    </row>
    <row r="1006" spans="1:52" s="3" customFormat="1" x14ac:dyDescent="0.35">
      <c r="A1006" s="2" t="s">
        <v>8695</v>
      </c>
      <c r="B1006" s="4">
        <v>241315</v>
      </c>
      <c r="C1006" s="2" t="s">
        <v>8683</v>
      </c>
      <c r="D1006" s="2">
        <f t="shared" si="15"/>
        <v>1</v>
      </c>
      <c r="F1006" s="2" t="s">
        <v>7682</v>
      </c>
      <c r="G1006" s="2" t="s">
        <v>53</v>
      </c>
      <c r="H1006" s="4">
        <v>1</v>
      </c>
      <c r="I1006" s="4">
        <v>0</v>
      </c>
      <c r="J1006" s="4">
        <v>0</v>
      </c>
      <c r="L1006" s="4">
        <v>0</v>
      </c>
      <c r="N1006" s="2" t="s">
        <v>56</v>
      </c>
      <c r="O1006" s="2" t="s">
        <v>57</v>
      </c>
      <c r="P1006" s="2" t="s">
        <v>7677</v>
      </c>
      <c r="Q1006" s="2" t="s">
        <v>7678</v>
      </c>
      <c r="R1006" s="2" t="s">
        <v>8696</v>
      </c>
      <c r="S1006" s="2" t="s">
        <v>8697</v>
      </c>
      <c r="V1006" s="2" t="s">
        <v>8698</v>
      </c>
      <c r="W1006" s="2" t="s">
        <v>8699</v>
      </c>
      <c r="Y1006" s="2" t="s">
        <v>8700</v>
      </c>
      <c r="Z1006" s="2" t="s">
        <v>8701</v>
      </c>
      <c r="AA1006" s="2" t="s">
        <v>8702</v>
      </c>
      <c r="AB1006" s="2" t="s">
        <v>8703</v>
      </c>
      <c r="AC1006" s="2" t="s">
        <v>8704</v>
      </c>
      <c r="AD1006" s="2" t="s">
        <v>3652</v>
      </c>
      <c r="AE1006" s="2" t="s">
        <v>69</v>
      </c>
      <c r="AF1006" s="2" t="s">
        <v>70</v>
      </c>
      <c r="AK1006" s="2" t="s">
        <v>8705</v>
      </c>
      <c r="AL1006" s="2" t="s">
        <v>8546</v>
      </c>
      <c r="AM1006" s="2" t="s">
        <v>72</v>
      </c>
      <c r="AN1006" s="2" t="s">
        <v>473</v>
      </c>
      <c r="AP1006" s="2" t="s">
        <v>7682</v>
      </c>
      <c r="AU1006" s="2" t="s">
        <v>75</v>
      </c>
      <c r="AW1006" s="2" t="s">
        <v>8706</v>
      </c>
      <c r="AZ1006" s="2" t="s">
        <v>116</v>
      </c>
    </row>
    <row r="1007" spans="1:52" s="3" customFormat="1" x14ac:dyDescent="0.35">
      <c r="A1007" s="2" t="s">
        <v>8707</v>
      </c>
      <c r="B1007" s="4">
        <v>241312</v>
      </c>
      <c r="C1007" s="2" t="s">
        <v>8708</v>
      </c>
      <c r="D1007" s="2">
        <f t="shared" si="15"/>
        <v>1</v>
      </c>
      <c r="F1007" s="2" t="s">
        <v>7682</v>
      </c>
      <c r="G1007" s="2" t="s">
        <v>53</v>
      </c>
      <c r="H1007" s="4">
        <v>1</v>
      </c>
      <c r="I1007" s="4">
        <v>0</v>
      </c>
      <c r="J1007" s="4">
        <v>0</v>
      </c>
      <c r="L1007" s="4">
        <v>0</v>
      </c>
      <c r="N1007" s="2" t="s">
        <v>56</v>
      </c>
      <c r="O1007" s="2" t="s">
        <v>57</v>
      </c>
      <c r="P1007" s="2" t="s">
        <v>7677</v>
      </c>
      <c r="Q1007" s="2" t="s">
        <v>7678</v>
      </c>
      <c r="R1007" s="2" t="s">
        <v>8709</v>
      </c>
      <c r="S1007" s="2" t="s">
        <v>8677</v>
      </c>
      <c r="V1007" s="2" t="s">
        <v>8710</v>
      </c>
      <c r="W1007" s="2" t="s">
        <v>8711</v>
      </c>
      <c r="Y1007" s="2" t="s">
        <v>8602</v>
      </c>
      <c r="Z1007" s="2" t="s">
        <v>8612</v>
      </c>
      <c r="AA1007" s="2" t="s">
        <v>8568</v>
      </c>
      <c r="AC1007" s="2" t="s">
        <v>8613</v>
      </c>
      <c r="AD1007" s="2" t="s">
        <v>68</v>
      </c>
      <c r="AE1007" s="2" t="s">
        <v>69</v>
      </c>
      <c r="AF1007" s="2" t="s">
        <v>70</v>
      </c>
      <c r="AK1007" s="2" t="s">
        <v>8712</v>
      </c>
      <c r="AL1007" s="2" t="s">
        <v>8546</v>
      </c>
      <c r="AM1007" s="2" t="s">
        <v>72</v>
      </c>
      <c r="AN1007" s="2" t="s">
        <v>473</v>
      </c>
      <c r="AP1007" s="2" t="s">
        <v>7682</v>
      </c>
      <c r="AU1007" s="2" t="s">
        <v>75</v>
      </c>
      <c r="AW1007" s="2" t="s">
        <v>8681</v>
      </c>
      <c r="AZ1007" s="2" t="s">
        <v>116</v>
      </c>
    </row>
    <row r="1008" spans="1:52" s="3" customFormat="1" x14ac:dyDescent="0.35">
      <c r="A1008" s="2" t="s">
        <v>8713</v>
      </c>
      <c r="B1008" s="4">
        <v>241311</v>
      </c>
      <c r="C1008" s="2" t="s">
        <v>8714</v>
      </c>
      <c r="D1008" s="2">
        <f t="shared" si="15"/>
        <v>1</v>
      </c>
      <c r="F1008" s="2" t="s">
        <v>7682</v>
      </c>
      <c r="G1008" s="2" t="s">
        <v>53</v>
      </c>
      <c r="H1008" s="4">
        <v>1</v>
      </c>
      <c r="I1008" s="4">
        <v>0</v>
      </c>
      <c r="J1008" s="4">
        <v>0</v>
      </c>
      <c r="L1008" s="4">
        <v>0</v>
      </c>
      <c r="N1008" s="2" t="s">
        <v>56</v>
      </c>
      <c r="O1008" s="2" t="s">
        <v>57</v>
      </c>
      <c r="P1008" s="2" t="s">
        <v>7677</v>
      </c>
      <c r="Q1008" s="2" t="s">
        <v>7678</v>
      </c>
      <c r="R1008" s="2" t="s">
        <v>8715</v>
      </c>
      <c r="S1008" s="2" t="s">
        <v>8716</v>
      </c>
      <c r="V1008" s="2" t="s">
        <v>8717</v>
      </c>
      <c r="W1008" s="2" t="s">
        <v>8718</v>
      </c>
      <c r="Y1008" s="2" t="s">
        <v>8602</v>
      </c>
      <c r="Z1008" s="2" t="s">
        <v>8612</v>
      </c>
      <c r="AA1008" s="2" t="s">
        <v>8568</v>
      </c>
      <c r="AC1008" s="2" t="s">
        <v>8613</v>
      </c>
      <c r="AD1008" s="2" t="s">
        <v>68</v>
      </c>
      <c r="AE1008" s="2" t="s">
        <v>69</v>
      </c>
      <c r="AF1008" s="2" t="s">
        <v>70</v>
      </c>
      <c r="AK1008" s="2" t="s">
        <v>8719</v>
      </c>
      <c r="AL1008" s="2" t="s">
        <v>8546</v>
      </c>
      <c r="AM1008" s="2" t="s">
        <v>72</v>
      </c>
      <c r="AN1008" s="2" t="s">
        <v>473</v>
      </c>
      <c r="AP1008" s="2" t="s">
        <v>7682</v>
      </c>
      <c r="AU1008" s="2" t="s">
        <v>75</v>
      </c>
      <c r="AW1008" s="2" t="s">
        <v>8720</v>
      </c>
      <c r="AZ1008" s="2" t="s">
        <v>116</v>
      </c>
    </row>
    <row r="1009" spans="1:52" s="3" customFormat="1" x14ac:dyDescent="0.35">
      <c r="A1009" s="2" t="s">
        <v>8721</v>
      </c>
      <c r="B1009" s="4">
        <v>241308</v>
      </c>
      <c r="C1009" s="2" t="s">
        <v>8722</v>
      </c>
      <c r="D1009" s="2">
        <f t="shared" si="15"/>
        <v>1</v>
      </c>
      <c r="F1009" s="2" t="s">
        <v>7682</v>
      </c>
      <c r="G1009" s="2" t="s">
        <v>53</v>
      </c>
      <c r="H1009" s="4">
        <v>1</v>
      </c>
      <c r="I1009" s="4">
        <v>0</v>
      </c>
      <c r="J1009" s="4">
        <v>0</v>
      </c>
      <c r="L1009" s="4">
        <v>0</v>
      </c>
      <c r="N1009" s="2" t="s">
        <v>56</v>
      </c>
      <c r="O1009" s="2" t="s">
        <v>57</v>
      </c>
      <c r="P1009" s="2" t="s">
        <v>7677</v>
      </c>
      <c r="Q1009" s="2" t="s">
        <v>7678</v>
      </c>
      <c r="R1009" s="2" t="s">
        <v>8723</v>
      </c>
      <c r="S1009" s="2" t="s">
        <v>8724</v>
      </c>
      <c r="V1009" s="2" t="s">
        <v>8725</v>
      </c>
      <c r="W1009" s="2" t="s">
        <v>8726</v>
      </c>
      <c r="Y1009" s="2" t="s">
        <v>8602</v>
      </c>
      <c r="Z1009" s="2" t="s">
        <v>8612</v>
      </c>
      <c r="AA1009" s="2" t="s">
        <v>8568</v>
      </c>
      <c r="AC1009" s="2" t="s">
        <v>8613</v>
      </c>
      <c r="AD1009" s="2" t="s">
        <v>68</v>
      </c>
      <c r="AE1009" s="2" t="s">
        <v>69</v>
      </c>
      <c r="AF1009" s="2" t="s">
        <v>70</v>
      </c>
      <c r="AK1009" s="2" t="s">
        <v>8727</v>
      </c>
      <c r="AL1009" s="2" t="s">
        <v>8546</v>
      </c>
      <c r="AM1009" s="2" t="s">
        <v>72</v>
      </c>
      <c r="AN1009" s="2" t="s">
        <v>473</v>
      </c>
      <c r="AP1009" s="2" t="s">
        <v>7682</v>
      </c>
      <c r="AU1009" s="2" t="s">
        <v>75</v>
      </c>
      <c r="AW1009" s="2" t="s">
        <v>8728</v>
      </c>
      <c r="AZ1009" s="2" t="s">
        <v>116</v>
      </c>
    </row>
    <row r="1010" spans="1:52" s="3" customFormat="1" x14ac:dyDescent="0.35">
      <c r="A1010" s="2" t="s">
        <v>8729</v>
      </c>
      <c r="B1010" s="4">
        <v>241305</v>
      </c>
      <c r="C1010" s="2" t="s">
        <v>8730</v>
      </c>
      <c r="D1010" s="2">
        <f t="shared" si="15"/>
        <v>1</v>
      </c>
      <c r="F1010" s="2" t="s">
        <v>7682</v>
      </c>
      <c r="G1010" s="2" t="s">
        <v>53</v>
      </c>
      <c r="H1010" s="4">
        <v>1</v>
      </c>
      <c r="I1010" s="4">
        <v>0</v>
      </c>
      <c r="J1010" s="4">
        <v>0</v>
      </c>
      <c r="L1010" s="4">
        <v>0</v>
      </c>
      <c r="N1010" s="2" t="s">
        <v>56</v>
      </c>
      <c r="O1010" s="2" t="s">
        <v>57</v>
      </c>
      <c r="P1010" s="2" t="s">
        <v>7677</v>
      </c>
      <c r="Q1010" s="2" t="s">
        <v>7678</v>
      </c>
      <c r="R1010" s="2" t="s">
        <v>8731</v>
      </c>
      <c r="S1010" s="2" t="s">
        <v>8732</v>
      </c>
      <c r="V1010" s="2" t="s">
        <v>8733</v>
      </c>
      <c r="W1010" s="2" t="s">
        <v>8734</v>
      </c>
      <c r="Y1010" s="2" t="s">
        <v>8602</v>
      </c>
      <c r="Z1010" s="2" t="s">
        <v>8612</v>
      </c>
      <c r="AA1010" s="2" t="s">
        <v>8568</v>
      </c>
      <c r="AC1010" s="2" t="s">
        <v>8613</v>
      </c>
      <c r="AD1010" s="2" t="s">
        <v>68</v>
      </c>
      <c r="AE1010" s="2" t="s">
        <v>69</v>
      </c>
      <c r="AF1010" s="2" t="s">
        <v>70</v>
      </c>
      <c r="AK1010" s="2" t="s">
        <v>8735</v>
      </c>
      <c r="AL1010" s="2" t="s">
        <v>8546</v>
      </c>
      <c r="AM1010" s="2" t="s">
        <v>72</v>
      </c>
      <c r="AN1010" s="2" t="s">
        <v>473</v>
      </c>
      <c r="AP1010" s="2" t="s">
        <v>7682</v>
      </c>
      <c r="AU1010" s="2" t="s">
        <v>75</v>
      </c>
      <c r="AW1010" s="2" t="s">
        <v>8736</v>
      </c>
      <c r="AZ1010" s="2" t="s">
        <v>116</v>
      </c>
    </row>
    <row r="1011" spans="1:52" s="3" customFormat="1" x14ac:dyDescent="0.35">
      <c r="A1011" s="2" t="s">
        <v>8737</v>
      </c>
      <c r="B1011" s="4">
        <v>241300</v>
      </c>
      <c r="C1011" s="2" t="s">
        <v>8738</v>
      </c>
      <c r="D1011" s="2">
        <f t="shared" si="15"/>
        <v>1</v>
      </c>
      <c r="F1011" s="2" t="s">
        <v>7682</v>
      </c>
      <c r="G1011" s="2" t="s">
        <v>53</v>
      </c>
      <c r="H1011" s="4">
        <v>1</v>
      </c>
      <c r="I1011" s="4">
        <v>0</v>
      </c>
      <c r="J1011" s="4">
        <v>0</v>
      </c>
      <c r="L1011" s="4">
        <v>0</v>
      </c>
      <c r="N1011" s="2" t="s">
        <v>56</v>
      </c>
      <c r="O1011" s="2" t="s">
        <v>57</v>
      </c>
      <c r="P1011" s="2" t="s">
        <v>7677</v>
      </c>
      <c r="Q1011" s="2" t="s">
        <v>7678</v>
      </c>
      <c r="R1011" s="2" t="s">
        <v>8739</v>
      </c>
      <c r="S1011" s="2" t="s">
        <v>8740</v>
      </c>
      <c r="V1011" s="2" t="s">
        <v>8741</v>
      </c>
      <c r="W1011" s="2" t="s">
        <v>8742</v>
      </c>
      <c r="Y1011" s="2" t="s">
        <v>8743</v>
      </c>
      <c r="Z1011" s="2" t="s">
        <v>8744</v>
      </c>
      <c r="AA1011" s="2" t="s">
        <v>8745</v>
      </c>
      <c r="AB1011" s="2" t="s">
        <v>8746</v>
      </c>
      <c r="AC1011" s="2" t="s">
        <v>8747</v>
      </c>
      <c r="AD1011" s="2" t="s">
        <v>7535</v>
      </c>
      <c r="AE1011" s="2" t="s">
        <v>69</v>
      </c>
      <c r="AF1011" s="2" t="s">
        <v>70</v>
      </c>
      <c r="AK1011" s="2" t="s">
        <v>8748</v>
      </c>
      <c r="AL1011" s="2" t="s">
        <v>8546</v>
      </c>
      <c r="AM1011" s="2" t="s">
        <v>72</v>
      </c>
      <c r="AN1011" s="2" t="s">
        <v>473</v>
      </c>
      <c r="AP1011" s="2" t="s">
        <v>7682</v>
      </c>
      <c r="AU1011" s="2" t="s">
        <v>75</v>
      </c>
      <c r="AW1011" s="2" t="s">
        <v>8749</v>
      </c>
      <c r="AZ1011" s="2" t="s">
        <v>116</v>
      </c>
    </row>
    <row r="1012" spans="1:52" s="3" customFormat="1" x14ac:dyDescent="0.35">
      <c r="A1012" s="2" t="s">
        <v>8750</v>
      </c>
      <c r="B1012" s="4">
        <v>241299</v>
      </c>
      <c r="C1012" s="2" t="s">
        <v>8751</v>
      </c>
      <c r="D1012" s="2">
        <f t="shared" si="15"/>
        <v>1</v>
      </c>
      <c r="F1012" s="2" t="s">
        <v>7682</v>
      </c>
      <c r="G1012" s="2" t="s">
        <v>53</v>
      </c>
      <c r="H1012" s="4">
        <v>1</v>
      </c>
      <c r="I1012" s="4">
        <v>0</v>
      </c>
      <c r="J1012" s="4">
        <v>0</v>
      </c>
      <c r="L1012" s="4">
        <v>0</v>
      </c>
      <c r="N1012" s="2" t="s">
        <v>56</v>
      </c>
      <c r="O1012" s="2" t="s">
        <v>57</v>
      </c>
      <c r="P1012" s="2" t="s">
        <v>7677</v>
      </c>
      <c r="Q1012" s="2" t="s">
        <v>7678</v>
      </c>
      <c r="R1012" s="2" t="s">
        <v>8752</v>
      </c>
      <c r="S1012" s="2" t="s">
        <v>8753</v>
      </c>
      <c r="V1012" s="2" t="s">
        <v>8754</v>
      </c>
      <c r="W1012" s="2" t="s">
        <v>8755</v>
      </c>
      <c r="Y1012" s="2" t="s">
        <v>8756</v>
      </c>
      <c r="Z1012" s="2" t="s">
        <v>8757</v>
      </c>
      <c r="AA1012" s="2" t="s">
        <v>6928</v>
      </c>
      <c r="AC1012" s="2" t="s">
        <v>8758</v>
      </c>
      <c r="AD1012" s="2" t="s">
        <v>7535</v>
      </c>
      <c r="AE1012" s="2" t="s">
        <v>69</v>
      </c>
      <c r="AF1012" s="2" t="s">
        <v>70</v>
      </c>
      <c r="AK1012" s="2" t="s">
        <v>8759</v>
      </c>
      <c r="AL1012" s="2" t="s">
        <v>8546</v>
      </c>
      <c r="AM1012" s="2" t="s">
        <v>72</v>
      </c>
      <c r="AN1012" s="2" t="s">
        <v>473</v>
      </c>
      <c r="AP1012" s="2" t="s">
        <v>7682</v>
      </c>
      <c r="AU1012" s="2" t="s">
        <v>75</v>
      </c>
      <c r="AW1012" s="2" t="s">
        <v>8760</v>
      </c>
      <c r="AZ1012" s="2" t="s">
        <v>116</v>
      </c>
    </row>
    <row r="1013" spans="1:52" s="3" customFormat="1" x14ac:dyDescent="0.35">
      <c r="A1013" s="2" t="s">
        <v>8761</v>
      </c>
      <c r="B1013" s="4">
        <v>241298</v>
      </c>
      <c r="C1013" s="2" t="s">
        <v>8762</v>
      </c>
      <c r="D1013" s="2">
        <f t="shared" si="15"/>
        <v>1</v>
      </c>
      <c r="F1013" s="2" t="s">
        <v>7682</v>
      </c>
      <c r="G1013" s="2" t="s">
        <v>53</v>
      </c>
      <c r="H1013" s="4">
        <v>1</v>
      </c>
      <c r="I1013" s="4">
        <v>0</v>
      </c>
      <c r="J1013" s="4">
        <v>0</v>
      </c>
      <c r="L1013" s="4">
        <v>0</v>
      </c>
      <c r="N1013" s="2" t="s">
        <v>56</v>
      </c>
      <c r="O1013" s="2" t="s">
        <v>57</v>
      </c>
      <c r="P1013" s="2" t="s">
        <v>7677</v>
      </c>
      <c r="Q1013" s="2" t="s">
        <v>7678</v>
      </c>
      <c r="R1013" s="2" t="s">
        <v>8763</v>
      </c>
      <c r="S1013" s="2" t="s">
        <v>8764</v>
      </c>
      <c r="V1013" s="2" t="s">
        <v>8765</v>
      </c>
      <c r="W1013" s="2" t="s">
        <v>8711</v>
      </c>
      <c r="Y1013" s="2" t="s">
        <v>8602</v>
      </c>
      <c r="Z1013" s="2" t="s">
        <v>8612</v>
      </c>
      <c r="AA1013" s="2" t="s">
        <v>8568</v>
      </c>
      <c r="AC1013" s="2" t="s">
        <v>8613</v>
      </c>
      <c r="AD1013" s="2" t="s">
        <v>68</v>
      </c>
      <c r="AE1013" s="2" t="s">
        <v>69</v>
      </c>
      <c r="AF1013" s="2" t="s">
        <v>70</v>
      </c>
      <c r="AK1013" s="2" t="s">
        <v>8766</v>
      </c>
      <c r="AL1013" s="2" t="s">
        <v>8546</v>
      </c>
      <c r="AM1013" s="2" t="s">
        <v>72</v>
      </c>
      <c r="AN1013" s="2" t="s">
        <v>473</v>
      </c>
      <c r="AP1013" s="2" t="s">
        <v>7682</v>
      </c>
      <c r="AU1013" s="2" t="s">
        <v>75</v>
      </c>
      <c r="AW1013" s="2" t="s">
        <v>8767</v>
      </c>
      <c r="AZ1013" s="2" t="s">
        <v>116</v>
      </c>
    </row>
    <row r="1014" spans="1:52" s="3" customFormat="1" x14ac:dyDescent="0.35">
      <c r="A1014" s="2" t="s">
        <v>8768</v>
      </c>
      <c r="B1014" s="4">
        <v>241297</v>
      </c>
      <c r="C1014" s="2" t="s">
        <v>8769</v>
      </c>
      <c r="D1014" s="2">
        <f t="shared" si="15"/>
        <v>1</v>
      </c>
      <c r="F1014" s="2" t="s">
        <v>7682</v>
      </c>
      <c r="G1014" s="2" t="s">
        <v>53</v>
      </c>
      <c r="H1014" s="4">
        <v>1</v>
      </c>
      <c r="I1014" s="4">
        <v>0</v>
      </c>
      <c r="J1014" s="4">
        <v>0</v>
      </c>
      <c r="L1014" s="4">
        <v>0</v>
      </c>
      <c r="N1014" s="2" t="s">
        <v>56</v>
      </c>
      <c r="O1014" s="2" t="s">
        <v>57</v>
      </c>
      <c r="P1014" s="2" t="s">
        <v>7677</v>
      </c>
      <c r="Q1014" s="2" t="s">
        <v>7678</v>
      </c>
      <c r="R1014" s="2" t="s">
        <v>8770</v>
      </c>
      <c r="S1014" s="2" t="s">
        <v>8771</v>
      </c>
      <c r="V1014" s="2" t="s">
        <v>8772</v>
      </c>
      <c r="W1014" s="2" t="s">
        <v>8711</v>
      </c>
      <c r="Y1014" s="2" t="s">
        <v>8602</v>
      </c>
      <c r="Z1014" s="2" t="s">
        <v>8612</v>
      </c>
      <c r="AA1014" s="2" t="s">
        <v>8568</v>
      </c>
      <c r="AC1014" s="2" t="s">
        <v>8613</v>
      </c>
      <c r="AD1014" s="2" t="s">
        <v>68</v>
      </c>
      <c r="AE1014" s="2" t="s">
        <v>69</v>
      </c>
      <c r="AF1014" s="2" t="s">
        <v>70</v>
      </c>
      <c r="AK1014" s="2" t="s">
        <v>8773</v>
      </c>
      <c r="AL1014" s="2" t="s">
        <v>8546</v>
      </c>
      <c r="AM1014" s="2" t="s">
        <v>72</v>
      </c>
      <c r="AN1014" s="2" t="s">
        <v>473</v>
      </c>
      <c r="AP1014" s="2" t="s">
        <v>7682</v>
      </c>
      <c r="AU1014" s="2" t="s">
        <v>75</v>
      </c>
      <c r="AW1014" s="2" t="s">
        <v>8774</v>
      </c>
      <c r="AZ1014" s="2" t="s">
        <v>116</v>
      </c>
    </row>
    <row r="1015" spans="1:52" s="3" customFormat="1" x14ac:dyDescent="0.35">
      <c r="A1015" s="2" t="s">
        <v>8775</v>
      </c>
      <c r="B1015" s="4">
        <v>241296</v>
      </c>
      <c r="C1015" s="2" t="s">
        <v>8776</v>
      </c>
      <c r="D1015" s="2">
        <f t="shared" si="15"/>
        <v>1</v>
      </c>
      <c r="F1015" s="2" t="s">
        <v>7682</v>
      </c>
      <c r="G1015" s="2" t="s">
        <v>53</v>
      </c>
      <c r="H1015" s="4">
        <v>1</v>
      </c>
      <c r="I1015" s="4">
        <v>0</v>
      </c>
      <c r="J1015" s="4">
        <v>0</v>
      </c>
      <c r="L1015" s="4">
        <v>0</v>
      </c>
      <c r="N1015" s="2" t="s">
        <v>56</v>
      </c>
      <c r="O1015" s="2" t="s">
        <v>57</v>
      </c>
      <c r="P1015" s="2" t="s">
        <v>7677</v>
      </c>
      <c r="Q1015" s="2" t="s">
        <v>7678</v>
      </c>
      <c r="R1015" s="2" t="s">
        <v>8777</v>
      </c>
      <c r="S1015" s="2" t="s">
        <v>8778</v>
      </c>
      <c r="V1015" s="2" t="s">
        <v>8779</v>
      </c>
      <c r="W1015" s="2" t="s">
        <v>8780</v>
      </c>
      <c r="Y1015" s="2" t="s">
        <v>8602</v>
      </c>
      <c r="Z1015" s="2" t="s">
        <v>8612</v>
      </c>
      <c r="AA1015" s="2" t="s">
        <v>8568</v>
      </c>
      <c r="AC1015" s="2" t="s">
        <v>8613</v>
      </c>
      <c r="AD1015" s="2" t="s">
        <v>68</v>
      </c>
      <c r="AE1015" s="2" t="s">
        <v>69</v>
      </c>
      <c r="AF1015" s="2" t="s">
        <v>70</v>
      </c>
      <c r="AK1015" s="2" t="s">
        <v>8781</v>
      </c>
      <c r="AL1015" s="2" t="s">
        <v>8546</v>
      </c>
      <c r="AM1015" s="2" t="s">
        <v>72</v>
      </c>
      <c r="AN1015" s="2" t="s">
        <v>473</v>
      </c>
      <c r="AP1015" s="2" t="s">
        <v>7682</v>
      </c>
      <c r="AU1015" s="2" t="s">
        <v>75</v>
      </c>
      <c r="AW1015" s="2" t="s">
        <v>8782</v>
      </c>
      <c r="AZ1015" s="2" t="s">
        <v>116</v>
      </c>
    </row>
    <row r="1016" spans="1:52" s="3" customFormat="1" x14ac:dyDescent="0.35">
      <c r="A1016" s="2" t="s">
        <v>8783</v>
      </c>
      <c r="B1016" s="4">
        <v>241293</v>
      </c>
      <c r="C1016" s="2" t="s">
        <v>8784</v>
      </c>
      <c r="D1016" s="2">
        <f t="shared" si="15"/>
        <v>1</v>
      </c>
      <c r="F1016" s="2" t="s">
        <v>7682</v>
      </c>
      <c r="G1016" s="2" t="s">
        <v>53</v>
      </c>
      <c r="H1016" s="4">
        <v>1</v>
      </c>
      <c r="I1016" s="4">
        <v>0</v>
      </c>
      <c r="J1016" s="4">
        <v>0</v>
      </c>
      <c r="L1016" s="4">
        <v>0</v>
      </c>
      <c r="N1016" s="2" t="s">
        <v>56</v>
      </c>
      <c r="O1016" s="2" t="s">
        <v>57</v>
      </c>
      <c r="P1016" s="2" t="s">
        <v>7677</v>
      </c>
      <c r="Q1016" s="2" t="s">
        <v>7678</v>
      </c>
      <c r="R1016" s="2" t="s">
        <v>8785</v>
      </c>
      <c r="S1016" s="2" t="s">
        <v>8786</v>
      </c>
      <c r="V1016" s="2" t="s">
        <v>8787</v>
      </c>
      <c r="W1016" s="2" t="s">
        <v>8788</v>
      </c>
      <c r="Y1016" s="2" t="s">
        <v>8602</v>
      </c>
      <c r="Z1016" s="2" t="s">
        <v>8612</v>
      </c>
      <c r="AA1016" s="2" t="s">
        <v>8568</v>
      </c>
      <c r="AC1016" s="2" t="s">
        <v>8613</v>
      </c>
      <c r="AD1016" s="2" t="s">
        <v>68</v>
      </c>
      <c r="AE1016" s="2" t="s">
        <v>69</v>
      </c>
      <c r="AF1016" s="2" t="s">
        <v>70</v>
      </c>
      <c r="AK1016" s="2" t="s">
        <v>8789</v>
      </c>
      <c r="AL1016" s="2" t="s">
        <v>8546</v>
      </c>
      <c r="AM1016" s="2" t="s">
        <v>72</v>
      </c>
      <c r="AN1016" s="2" t="s">
        <v>473</v>
      </c>
      <c r="AP1016" s="2" t="s">
        <v>7682</v>
      </c>
      <c r="AU1016" s="2" t="s">
        <v>75</v>
      </c>
      <c r="AW1016" s="2" t="s">
        <v>8790</v>
      </c>
      <c r="AZ1016" s="2" t="s">
        <v>116</v>
      </c>
    </row>
    <row r="1017" spans="1:52" s="3" customFormat="1" x14ac:dyDescent="0.35">
      <c r="A1017" s="2" t="s">
        <v>8791</v>
      </c>
      <c r="B1017" s="4">
        <v>241291</v>
      </c>
      <c r="C1017" s="2" t="s">
        <v>8792</v>
      </c>
      <c r="D1017" s="2">
        <f t="shared" si="15"/>
        <v>1</v>
      </c>
      <c r="F1017" s="2" t="s">
        <v>7682</v>
      </c>
      <c r="G1017" s="2" t="s">
        <v>53</v>
      </c>
      <c r="H1017" s="4">
        <v>1</v>
      </c>
      <c r="I1017" s="4">
        <v>1</v>
      </c>
      <c r="J1017" s="5">
        <v>13500</v>
      </c>
      <c r="K1017" s="2" t="s">
        <v>1814</v>
      </c>
      <c r="L1017" s="5">
        <v>13500</v>
      </c>
      <c r="N1017" s="2" t="s">
        <v>1814</v>
      </c>
      <c r="O1017" s="2" t="s">
        <v>1815</v>
      </c>
      <c r="P1017" s="2" t="s">
        <v>4877</v>
      </c>
      <c r="Q1017" s="2" t="s">
        <v>4878</v>
      </c>
      <c r="R1017" s="2" t="s">
        <v>8793</v>
      </c>
      <c r="S1017" s="2" t="s">
        <v>8794</v>
      </c>
      <c r="V1017" s="2" t="s">
        <v>8795</v>
      </c>
      <c r="W1017" s="2" t="s">
        <v>8796</v>
      </c>
      <c r="Y1017" s="2" t="s">
        <v>8797</v>
      </c>
      <c r="Z1017" s="2" t="s">
        <v>8798</v>
      </c>
      <c r="AA1017" s="2" t="s">
        <v>8799</v>
      </c>
      <c r="AC1017" s="2" t="s">
        <v>8800</v>
      </c>
      <c r="AD1017" s="2" t="s">
        <v>68</v>
      </c>
      <c r="AE1017" s="2" t="s">
        <v>69</v>
      </c>
      <c r="AF1017" s="2" t="s">
        <v>70</v>
      </c>
      <c r="AK1017" s="2" t="s">
        <v>8801</v>
      </c>
      <c r="AL1017" s="2" t="s">
        <v>8802</v>
      </c>
      <c r="AM1017" s="2" t="s">
        <v>72</v>
      </c>
      <c r="AN1017" s="2" t="s">
        <v>73</v>
      </c>
      <c r="AP1017" s="2" t="s">
        <v>3758</v>
      </c>
      <c r="AU1017" s="2" t="s">
        <v>75</v>
      </c>
      <c r="AV1017" s="2" t="s">
        <v>7682</v>
      </c>
      <c r="AW1017" s="2" t="s">
        <v>8803</v>
      </c>
      <c r="AZ1017" s="2" t="s">
        <v>77</v>
      </c>
    </row>
    <row r="1018" spans="1:52" s="3" customFormat="1" x14ac:dyDescent="0.35">
      <c r="A1018" s="2" t="s">
        <v>8804</v>
      </c>
      <c r="B1018" s="4">
        <v>241290</v>
      </c>
      <c r="C1018" s="2" t="s">
        <v>8805</v>
      </c>
      <c r="D1018" s="2">
        <f t="shared" si="15"/>
        <v>1</v>
      </c>
      <c r="F1018" s="2" t="s">
        <v>7682</v>
      </c>
      <c r="G1018" s="2" t="s">
        <v>53</v>
      </c>
      <c r="H1018" s="4">
        <v>1</v>
      </c>
      <c r="I1018" s="4">
        <v>0</v>
      </c>
      <c r="J1018" s="4">
        <v>0</v>
      </c>
      <c r="L1018" s="4">
        <v>0</v>
      </c>
      <c r="N1018" s="2" t="s">
        <v>56</v>
      </c>
      <c r="O1018" s="2" t="s">
        <v>57</v>
      </c>
      <c r="P1018" s="2" t="s">
        <v>7677</v>
      </c>
      <c r="Q1018" s="2" t="s">
        <v>7678</v>
      </c>
      <c r="R1018" s="2" t="s">
        <v>8806</v>
      </c>
      <c r="S1018" s="2" t="s">
        <v>8807</v>
      </c>
      <c r="V1018" s="2" t="s">
        <v>8808</v>
      </c>
      <c r="W1018" s="2" t="s">
        <v>8809</v>
      </c>
      <c r="Y1018" s="2" t="s">
        <v>8810</v>
      </c>
      <c r="Z1018" s="2" t="s">
        <v>8811</v>
      </c>
      <c r="AA1018" s="2" t="s">
        <v>8812</v>
      </c>
      <c r="AB1018" s="2" t="s">
        <v>8813</v>
      </c>
      <c r="AC1018" s="2" t="s">
        <v>8814</v>
      </c>
      <c r="AD1018" s="2" t="s">
        <v>2979</v>
      </c>
      <c r="AE1018" s="2" t="s">
        <v>2980</v>
      </c>
      <c r="AF1018" s="2" t="s">
        <v>70</v>
      </c>
      <c r="AK1018" s="2" t="s">
        <v>8815</v>
      </c>
      <c r="AL1018" s="2" t="s">
        <v>8546</v>
      </c>
      <c r="AM1018" s="2" t="s">
        <v>72</v>
      </c>
      <c r="AN1018" s="2" t="s">
        <v>473</v>
      </c>
      <c r="AP1018" s="2" t="s">
        <v>7682</v>
      </c>
      <c r="AU1018" s="2" t="s">
        <v>75</v>
      </c>
      <c r="AW1018" s="2" t="s">
        <v>8816</v>
      </c>
      <c r="AZ1018" s="2" t="s">
        <v>116</v>
      </c>
    </row>
    <row r="1019" spans="1:52" s="3" customFormat="1" x14ac:dyDescent="0.35">
      <c r="A1019" s="2" t="s">
        <v>8817</v>
      </c>
      <c r="B1019" s="4">
        <v>241287</v>
      </c>
      <c r="C1019" s="2" t="s">
        <v>8818</v>
      </c>
      <c r="D1019" s="2">
        <f t="shared" si="15"/>
        <v>1</v>
      </c>
      <c r="F1019" s="2" t="s">
        <v>7682</v>
      </c>
      <c r="G1019" s="2" t="s">
        <v>53</v>
      </c>
      <c r="H1019" s="4">
        <v>1</v>
      </c>
      <c r="I1019" s="4">
        <v>0</v>
      </c>
      <c r="J1019" s="4">
        <v>0</v>
      </c>
      <c r="L1019" s="4">
        <v>0</v>
      </c>
      <c r="N1019" s="2" t="s">
        <v>56</v>
      </c>
      <c r="O1019" s="2" t="s">
        <v>57</v>
      </c>
      <c r="P1019" s="2" t="s">
        <v>7677</v>
      </c>
      <c r="Q1019" s="2" t="s">
        <v>7678</v>
      </c>
      <c r="R1019" s="2" t="s">
        <v>8819</v>
      </c>
      <c r="S1019" s="2" t="s">
        <v>8820</v>
      </c>
      <c r="V1019" s="2" t="s">
        <v>8821</v>
      </c>
      <c r="W1019" s="2" t="s">
        <v>8822</v>
      </c>
      <c r="Y1019" s="2" t="s">
        <v>8823</v>
      </c>
      <c r="Z1019" s="2" t="s">
        <v>8824</v>
      </c>
      <c r="AA1019" s="2" t="s">
        <v>7210</v>
      </c>
      <c r="AC1019" s="2" t="s">
        <v>8758</v>
      </c>
      <c r="AD1019" s="2" t="s">
        <v>7535</v>
      </c>
      <c r="AE1019" s="2" t="s">
        <v>69</v>
      </c>
      <c r="AF1019" s="2" t="s">
        <v>70</v>
      </c>
      <c r="AK1019" s="2" t="s">
        <v>8825</v>
      </c>
      <c r="AL1019" s="2" t="s">
        <v>8546</v>
      </c>
      <c r="AM1019" s="2" t="s">
        <v>72</v>
      </c>
      <c r="AN1019" s="2" t="s">
        <v>473</v>
      </c>
      <c r="AP1019" s="2" t="s">
        <v>7682</v>
      </c>
      <c r="AU1019" s="2" t="s">
        <v>75</v>
      </c>
      <c r="AW1019" s="2" t="s">
        <v>8826</v>
      </c>
      <c r="AZ1019" s="2" t="s">
        <v>116</v>
      </c>
    </row>
    <row r="1020" spans="1:52" s="3" customFormat="1" x14ac:dyDescent="0.35">
      <c r="A1020" s="2" t="s">
        <v>8827</v>
      </c>
      <c r="B1020" s="4">
        <v>241286</v>
      </c>
      <c r="C1020" s="2" t="s">
        <v>8828</v>
      </c>
      <c r="D1020" s="2">
        <f t="shared" si="15"/>
        <v>1</v>
      </c>
      <c r="F1020" s="2" t="s">
        <v>7682</v>
      </c>
      <c r="G1020" s="2" t="s">
        <v>53</v>
      </c>
      <c r="H1020" s="4">
        <v>1</v>
      </c>
      <c r="I1020" s="4">
        <v>0</v>
      </c>
      <c r="J1020" s="4">
        <v>0</v>
      </c>
      <c r="L1020" s="4">
        <v>0</v>
      </c>
      <c r="N1020" s="2" t="s">
        <v>56</v>
      </c>
      <c r="O1020" s="2" t="s">
        <v>57</v>
      </c>
      <c r="P1020" s="2" t="s">
        <v>7677</v>
      </c>
      <c r="Q1020" s="2" t="s">
        <v>7678</v>
      </c>
      <c r="R1020" s="2" t="s">
        <v>8829</v>
      </c>
      <c r="S1020" s="2" t="s">
        <v>8830</v>
      </c>
      <c r="V1020" s="2" t="s">
        <v>8831</v>
      </c>
      <c r="W1020" s="2" t="s">
        <v>8832</v>
      </c>
      <c r="Y1020" s="2" t="s">
        <v>8833</v>
      </c>
      <c r="Z1020" s="2" t="s">
        <v>8834</v>
      </c>
      <c r="AA1020" s="2" t="s">
        <v>8835</v>
      </c>
      <c r="AB1020" s="2" t="s">
        <v>8836</v>
      </c>
      <c r="AC1020" s="2" t="s">
        <v>8623</v>
      </c>
      <c r="AD1020" s="2" t="s">
        <v>7760</v>
      </c>
      <c r="AE1020" s="2" t="s">
        <v>69</v>
      </c>
      <c r="AF1020" s="2" t="s">
        <v>70</v>
      </c>
      <c r="AK1020" s="2" t="s">
        <v>8837</v>
      </c>
      <c r="AL1020" s="2" t="s">
        <v>8546</v>
      </c>
      <c r="AM1020" s="2" t="s">
        <v>72</v>
      </c>
      <c r="AN1020" s="2" t="s">
        <v>473</v>
      </c>
      <c r="AP1020" s="2" t="s">
        <v>7682</v>
      </c>
      <c r="AU1020" s="2" t="s">
        <v>75</v>
      </c>
      <c r="AW1020" s="2" t="s">
        <v>8838</v>
      </c>
      <c r="AZ1020" s="2" t="s">
        <v>116</v>
      </c>
    </row>
    <row r="1021" spans="1:52" s="3" customFormat="1" x14ac:dyDescent="0.35">
      <c r="A1021" s="2" t="s">
        <v>8839</v>
      </c>
      <c r="B1021" s="4">
        <v>241285</v>
      </c>
      <c r="C1021" s="2" t="s">
        <v>8828</v>
      </c>
      <c r="D1021" s="2">
        <f t="shared" si="15"/>
        <v>1</v>
      </c>
      <c r="F1021" s="2" t="s">
        <v>7682</v>
      </c>
      <c r="G1021" s="2" t="s">
        <v>53</v>
      </c>
      <c r="H1021" s="4">
        <v>1</v>
      </c>
      <c r="I1021" s="4">
        <v>0</v>
      </c>
      <c r="J1021" s="4">
        <v>0</v>
      </c>
      <c r="L1021" s="4">
        <v>0</v>
      </c>
      <c r="N1021" s="2" t="s">
        <v>56</v>
      </c>
      <c r="O1021" s="2" t="s">
        <v>57</v>
      </c>
      <c r="P1021" s="2" t="s">
        <v>7677</v>
      </c>
      <c r="Q1021" s="2" t="s">
        <v>7678</v>
      </c>
      <c r="R1021" s="2" t="s">
        <v>8840</v>
      </c>
      <c r="S1021" s="2" t="s">
        <v>8841</v>
      </c>
      <c r="V1021" s="2" t="s">
        <v>8842</v>
      </c>
      <c r="W1021" s="2" t="s">
        <v>8843</v>
      </c>
      <c r="Y1021" s="2" t="s">
        <v>8844</v>
      </c>
      <c r="Z1021" s="2" t="s">
        <v>8845</v>
      </c>
      <c r="AA1021" s="2" t="s">
        <v>8592</v>
      </c>
      <c r="AB1021" s="2" t="s">
        <v>8846</v>
      </c>
      <c r="AC1021" s="2" t="s">
        <v>8847</v>
      </c>
      <c r="AD1021" s="2" t="s">
        <v>68</v>
      </c>
      <c r="AE1021" s="2" t="s">
        <v>69</v>
      </c>
      <c r="AF1021" s="2" t="s">
        <v>70</v>
      </c>
      <c r="AK1021" s="2" t="s">
        <v>8848</v>
      </c>
      <c r="AL1021" s="2" t="s">
        <v>8546</v>
      </c>
      <c r="AM1021" s="2" t="s">
        <v>72</v>
      </c>
      <c r="AN1021" s="2" t="s">
        <v>473</v>
      </c>
      <c r="AP1021" s="2" t="s">
        <v>7682</v>
      </c>
      <c r="AU1021" s="2" t="s">
        <v>75</v>
      </c>
      <c r="AW1021" s="2" t="s">
        <v>8849</v>
      </c>
      <c r="AZ1021" s="2" t="s">
        <v>116</v>
      </c>
    </row>
    <row r="1022" spans="1:52" s="3" customFormat="1" x14ac:dyDescent="0.35">
      <c r="A1022" s="2" t="s">
        <v>8850</v>
      </c>
      <c r="B1022" s="4">
        <v>241282</v>
      </c>
      <c r="C1022" s="2" t="s">
        <v>8851</v>
      </c>
      <c r="D1022" s="2">
        <f t="shared" si="15"/>
        <v>1</v>
      </c>
      <c r="F1022" s="2" t="s">
        <v>7682</v>
      </c>
      <c r="G1022" s="2" t="s">
        <v>53</v>
      </c>
      <c r="H1022" s="4">
        <v>2</v>
      </c>
      <c r="I1022" s="4">
        <v>1</v>
      </c>
      <c r="J1022" s="4">
        <v>0</v>
      </c>
      <c r="L1022" s="4">
        <v>0</v>
      </c>
      <c r="M1022" s="2" t="s">
        <v>55</v>
      </c>
      <c r="N1022" s="2" t="s">
        <v>56</v>
      </c>
      <c r="O1022" s="2" t="s">
        <v>57</v>
      </c>
      <c r="P1022" s="2" t="s">
        <v>3131</v>
      </c>
      <c r="Q1022" s="2" t="s">
        <v>3132</v>
      </c>
      <c r="R1022" s="2" t="s">
        <v>8852</v>
      </c>
      <c r="S1022" s="2" t="s">
        <v>8853</v>
      </c>
      <c r="V1022" s="2" t="s">
        <v>8854</v>
      </c>
      <c r="W1022" s="2" t="s">
        <v>8855</v>
      </c>
      <c r="Y1022" s="2" t="s">
        <v>64</v>
      </c>
      <c r="Z1022" s="2" t="s">
        <v>65</v>
      </c>
      <c r="AA1022" s="2" t="s">
        <v>66</v>
      </c>
      <c r="AC1022" s="2" t="s">
        <v>67</v>
      </c>
      <c r="AD1022" s="2" t="s">
        <v>68</v>
      </c>
      <c r="AE1022" s="2" t="s">
        <v>69</v>
      </c>
      <c r="AF1022" s="2" t="s">
        <v>70</v>
      </c>
      <c r="AG1022" s="2" t="s">
        <v>3131</v>
      </c>
      <c r="AK1022" s="2" t="s">
        <v>8856</v>
      </c>
      <c r="AM1022" s="2" t="s">
        <v>72</v>
      </c>
      <c r="AN1022" s="2" t="s">
        <v>403</v>
      </c>
      <c r="AP1022" s="2" t="s">
        <v>3144</v>
      </c>
      <c r="AT1022" s="2" t="s">
        <v>114</v>
      </c>
      <c r="AU1022" s="2" t="s">
        <v>75</v>
      </c>
      <c r="AW1022" s="2" t="s">
        <v>8857</v>
      </c>
      <c r="AZ1022" s="2" t="s">
        <v>116</v>
      </c>
    </row>
    <row r="1023" spans="1:52" s="3" customFormat="1" x14ac:dyDescent="0.35">
      <c r="A1023" s="2" t="s">
        <v>8858</v>
      </c>
      <c r="B1023" s="4">
        <v>241277</v>
      </c>
      <c r="C1023" s="2" t="s">
        <v>8859</v>
      </c>
      <c r="D1023" s="2">
        <f t="shared" si="15"/>
        <v>1</v>
      </c>
      <c r="F1023" s="2" t="s">
        <v>7682</v>
      </c>
      <c r="G1023" s="2" t="s">
        <v>53</v>
      </c>
      <c r="H1023" s="4">
        <v>2</v>
      </c>
      <c r="I1023" s="4">
        <v>1</v>
      </c>
      <c r="J1023" s="4">
        <v>0</v>
      </c>
      <c r="L1023" s="4">
        <v>0</v>
      </c>
      <c r="M1023" s="2" t="s">
        <v>55</v>
      </c>
      <c r="N1023" s="2" t="s">
        <v>56</v>
      </c>
      <c r="O1023" s="2" t="s">
        <v>57</v>
      </c>
      <c r="P1023" s="2" t="s">
        <v>6234</v>
      </c>
      <c r="Q1023" s="2" t="s">
        <v>6235</v>
      </c>
      <c r="R1023" s="2" t="s">
        <v>8860</v>
      </c>
      <c r="S1023" s="2" t="s">
        <v>8861</v>
      </c>
      <c r="V1023" s="2" t="s">
        <v>8862</v>
      </c>
      <c r="W1023" s="2" t="s">
        <v>8863</v>
      </c>
      <c r="Y1023" s="2" t="s">
        <v>64</v>
      </c>
      <c r="Z1023" s="2" t="s">
        <v>65</v>
      </c>
      <c r="AA1023" s="2" t="s">
        <v>66</v>
      </c>
      <c r="AC1023" s="2" t="s">
        <v>67</v>
      </c>
      <c r="AD1023" s="2" t="s">
        <v>68</v>
      </c>
      <c r="AE1023" s="2" t="s">
        <v>69</v>
      </c>
      <c r="AF1023" s="2" t="s">
        <v>70</v>
      </c>
      <c r="AG1023" s="2" t="s">
        <v>6234</v>
      </c>
      <c r="AK1023" s="2" t="s">
        <v>8864</v>
      </c>
      <c r="AM1023" s="2" t="s">
        <v>72</v>
      </c>
      <c r="AN1023" s="2" t="s">
        <v>473</v>
      </c>
      <c r="AP1023" s="2" t="s">
        <v>4546</v>
      </c>
      <c r="AU1023" s="2" t="s">
        <v>75</v>
      </c>
      <c r="AW1023" s="2" t="s">
        <v>8865</v>
      </c>
      <c r="AZ1023" s="2" t="s">
        <v>116</v>
      </c>
    </row>
    <row r="1024" spans="1:52" s="3" customFormat="1" x14ac:dyDescent="0.35">
      <c r="A1024" s="2" t="s">
        <v>8866</v>
      </c>
      <c r="B1024" s="4">
        <v>241276</v>
      </c>
      <c r="C1024" s="2" t="s">
        <v>8867</v>
      </c>
      <c r="D1024" s="2">
        <f t="shared" si="15"/>
        <v>1</v>
      </c>
      <c r="F1024" s="2" t="s">
        <v>7682</v>
      </c>
      <c r="G1024" s="2" t="s">
        <v>53</v>
      </c>
      <c r="H1024" s="4">
        <v>1</v>
      </c>
      <c r="I1024" s="4">
        <v>0</v>
      </c>
      <c r="J1024" s="4">
        <v>0</v>
      </c>
      <c r="L1024" s="4">
        <v>0</v>
      </c>
      <c r="N1024" s="2" t="s">
        <v>56</v>
      </c>
      <c r="O1024" s="2" t="s">
        <v>57</v>
      </c>
      <c r="P1024" s="2" t="s">
        <v>7677</v>
      </c>
      <c r="Q1024" s="2" t="s">
        <v>7678</v>
      </c>
      <c r="R1024" s="2" t="s">
        <v>8868</v>
      </c>
      <c r="S1024" s="2" t="s">
        <v>8869</v>
      </c>
      <c r="V1024" s="2" t="s">
        <v>8870</v>
      </c>
      <c r="W1024" s="2" t="s">
        <v>8871</v>
      </c>
      <c r="Y1024" s="2" t="s">
        <v>8872</v>
      </c>
      <c r="Z1024" s="2" t="s">
        <v>8873</v>
      </c>
      <c r="AA1024" s="2" t="s">
        <v>8874</v>
      </c>
      <c r="AB1024" s="2" t="s">
        <v>8875</v>
      </c>
      <c r="AC1024" s="2" t="s">
        <v>8876</v>
      </c>
      <c r="AD1024" s="2" t="s">
        <v>1402</v>
      </c>
      <c r="AE1024" s="2" t="s">
        <v>1403</v>
      </c>
      <c r="AF1024" s="2" t="s">
        <v>70</v>
      </c>
      <c r="AK1024" s="2" t="s">
        <v>8877</v>
      </c>
      <c r="AL1024" s="2" t="s">
        <v>8546</v>
      </c>
      <c r="AM1024" s="2" t="s">
        <v>72</v>
      </c>
      <c r="AN1024" s="2" t="s">
        <v>473</v>
      </c>
      <c r="AP1024" s="2" t="s">
        <v>7682</v>
      </c>
      <c r="AU1024" s="2" t="s">
        <v>75</v>
      </c>
      <c r="AW1024" s="2" t="s">
        <v>8878</v>
      </c>
      <c r="AZ1024" s="2" t="s">
        <v>116</v>
      </c>
    </row>
    <row r="1025" spans="1:52" s="3" customFormat="1" x14ac:dyDescent="0.35">
      <c r="A1025" s="2" t="s">
        <v>8879</v>
      </c>
      <c r="B1025" s="4">
        <v>241271</v>
      </c>
      <c r="C1025" s="2" t="s">
        <v>8880</v>
      </c>
      <c r="D1025" s="2">
        <f t="shared" si="15"/>
        <v>1</v>
      </c>
      <c r="F1025" s="2" t="s">
        <v>7682</v>
      </c>
      <c r="G1025" s="2" t="s">
        <v>53</v>
      </c>
      <c r="H1025" s="4">
        <v>1</v>
      </c>
      <c r="I1025" s="4">
        <v>0</v>
      </c>
      <c r="J1025" s="4">
        <v>0</v>
      </c>
      <c r="L1025" s="4">
        <v>0</v>
      </c>
      <c r="N1025" s="2" t="s">
        <v>56</v>
      </c>
      <c r="O1025" s="2" t="s">
        <v>57</v>
      </c>
      <c r="P1025" s="2" t="s">
        <v>7677</v>
      </c>
      <c r="Q1025" s="2" t="s">
        <v>7678</v>
      </c>
      <c r="R1025" s="2" t="s">
        <v>8881</v>
      </c>
      <c r="S1025" s="2" t="s">
        <v>8882</v>
      </c>
      <c r="V1025" s="2" t="s">
        <v>8883</v>
      </c>
      <c r="W1025" s="2" t="s">
        <v>8884</v>
      </c>
      <c r="Y1025" s="2" t="s">
        <v>8885</v>
      </c>
      <c r="Z1025" s="2" t="s">
        <v>8886</v>
      </c>
      <c r="AA1025" s="2" t="s">
        <v>8887</v>
      </c>
      <c r="AB1025" s="2" t="s">
        <v>8888</v>
      </c>
      <c r="AC1025" s="2" t="s">
        <v>8889</v>
      </c>
      <c r="AD1025" s="2" t="s">
        <v>1402</v>
      </c>
      <c r="AE1025" s="2" t="s">
        <v>1403</v>
      </c>
      <c r="AF1025" s="2" t="s">
        <v>70</v>
      </c>
      <c r="AK1025" s="2" t="s">
        <v>8890</v>
      </c>
      <c r="AL1025" s="2" t="s">
        <v>8546</v>
      </c>
      <c r="AM1025" s="2" t="s">
        <v>72</v>
      </c>
      <c r="AN1025" s="2" t="s">
        <v>473</v>
      </c>
      <c r="AP1025" s="2" t="s">
        <v>7682</v>
      </c>
      <c r="AU1025" s="2" t="s">
        <v>75</v>
      </c>
      <c r="AW1025" s="2" t="s">
        <v>8891</v>
      </c>
      <c r="AZ1025" s="2" t="s">
        <v>116</v>
      </c>
    </row>
    <row r="1026" spans="1:52" s="3" customFormat="1" x14ac:dyDescent="0.35">
      <c r="A1026" s="2" t="s">
        <v>8892</v>
      </c>
      <c r="B1026" s="4">
        <v>241263</v>
      </c>
      <c r="C1026" s="2" t="s">
        <v>8893</v>
      </c>
      <c r="D1026" s="2">
        <f t="shared" si="15"/>
        <v>1</v>
      </c>
      <c r="F1026" s="2" t="s">
        <v>7682</v>
      </c>
      <c r="G1026" s="2" t="s">
        <v>53</v>
      </c>
      <c r="H1026" s="4">
        <v>1</v>
      </c>
      <c r="I1026" s="4">
        <v>0</v>
      </c>
      <c r="J1026" s="4">
        <v>0</v>
      </c>
      <c r="L1026" s="4">
        <v>0</v>
      </c>
      <c r="N1026" s="2" t="s">
        <v>56</v>
      </c>
      <c r="O1026" s="2" t="s">
        <v>57</v>
      </c>
      <c r="P1026" s="2" t="s">
        <v>4619</v>
      </c>
      <c r="Q1026" s="2" t="s">
        <v>4620</v>
      </c>
      <c r="R1026" s="2" t="s">
        <v>8117</v>
      </c>
      <c r="S1026" s="2" t="s">
        <v>8118</v>
      </c>
      <c r="V1026" s="2" t="s">
        <v>8141</v>
      </c>
      <c r="W1026" s="2" t="s">
        <v>8120</v>
      </c>
      <c r="Y1026" s="2" t="s">
        <v>8121</v>
      </c>
      <c r="Z1026" s="2" t="s">
        <v>8122</v>
      </c>
      <c r="AA1026" s="2" t="s">
        <v>8123</v>
      </c>
      <c r="AC1026" s="2" t="s">
        <v>8124</v>
      </c>
      <c r="AD1026" s="2" t="s">
        <v>3756</v>
      </c>
      <c r="AE1026" s="2" t="s">
        <v>2980</v>
      </c>
      <c r="AF1026" s="2" t="s">
        <v>70</v>
      </c>
      <c r="AK1026" s="2" t="s">
        <v>8894</v>
      </c>
      <c r="AL1026" s="2" t="s">
        <v>4629</v>
      </c>
      <c r="AM1026" s="2" t="s">
        <v>72</v>
      </c>
      <c r="AN1026" s="2" t="s">
        <v>73</v>
      </c>
      <c r="AP1026" s="2" t="s">
        <v>3341</v>
      </c>
      <c r="AT1026" s="2" t="s">
        <v>114</v>
      </c>
      <c r="AU1026" s="2" t="s">
        <v>75</v>
      </c>
      <c r="AW1026" s="2" t="s">
        <v>8126</v>
      </c>
      <c r="AZ1026" s="2" t="s">
        <v>116</v>
      </c>
    </row>
    <row r="1027" spans="1:52" s="3" customFormat="1" x14ac:dyDescent="0.35">
      <c r="A1027" s="2" t="s">
        <v>8895</v>
      </c>
      <c r="B1027" s="4">
        <v>241262</v>
      </c>
      <c r="C1027" s="2" t="s">
        <v>8896</v>
      </c>
      <c r="D1027" s="2">
        <f t="shared" ref="D1027:D1090" si="16">MONTH(C1027)</f>
        <v>1</v>
      </c>
      <c r="F1027" s="2" t="s">
        <v>7682</v>
      </c>
      <c r="G1027" s="2" t="s">
        <v>53</v>
      </c>
      <c r="H1027" s="4">
        <v>1</v>
      </c>
      <c r="I1027" s="4">
        <v>0</v>
      </c>
      <c r="J1027" s="4">
        <v>0</v>
      </c>
      <c r="L1027" s="4">
        <v>0</v>
      </c>
      <c r="N1027" s="2" t="s">
        <v>56</v>
      </c>
      <c r="O1027" s="2" t="s">
        <v>57</v>
      </c>
      <c r="P1027" s="2" t="s">
        <v>7677</v>
      </c>
      <c r="Q1027" s="2" t="s">
        <v>7678</v>
      </c>
      <c r="R1027" s="2" t="s">
        <v>8897</v>
      </c>
      <c r="S1027" s="2" t="s">
        <v>8898</v>
      </c>
      <c r="V1027" s="2" t="s">
        <v>8899</v>
      </c>
      <c r="W1027" s="2" t="s">
        <v>8900</v>
      </c>
      <c r="Y1027" s="2" t="s">
        <v>8901</v>
      </c>
      <c r="Z1027" s="2" t="s">
        <v>8902</v>
      </c>
      <c r="AA1027" s="2" t="s">
        <v>6894</v>
      </c>
      <c r="AB1027" s="2" t="s">
        <v>8903</v>
      </c>
      <c r="AC1027" s="2" t="s">
        <v>8904</v>
      </c>
      <c r="AD1027" s="2" t="s">
        <v>68</v>
      </c>
      <c r="AE1027" s="2" t="s">
        <v>69</v>
      </c>
      <c r="AF1027" s="2" t="s">
        <v>70</v>
      </c>
      <c r="AK1027" s="2" t="s">
        <v>8905</v>
      </c>
      <c r="AL1027" s="2" t="s">
        <v>8546</v>
      </c>
      <c r="AM1027" s="2" t="s">
        <v>72</v>
      </c>
      <c r="AN1027" s="2" t="s">
        <v>473</v>
      </c>
      <c r="AP1027" s="2" t="s">
        <v>7682</v>
      </c>
      <c r="AU1027" s="2" t="s">
        <v>75</v>
      </c>
      <c r="AV1027" s="2" t="s">
        <v>8906</v>
      </c>
      <c r="AW1027" s="2" t="s">
        <v>8907</v>
      </c>
      <c r="AZ1027" s="2" t="s">
        <v>116</v>
      </c>
    </row>
    <row r="1028" spans="1:52" s="3" customFormat="1" x14ac:dyDescent="0.35">
      <c r="A1028" s="2" t="s">
        <v>8908</v>
      </c>
      <c r="B1028" s="4">
        <v>241258</v>
      </c>
      <c r="C1028" s="2" t="s">
        <v>8909</v>
      </c>
      <c r="D1028" s="2">
        <f t="shared" si="16"/>
        <v>1</v>
      </c>
      <c r="F1028" s="2" t="s">
        <v>7682</v>
      </c>
      <c r="G1028" s="2" t="s">
        <v>53</v>
      </c>
      <c r="H1028" s="4">
        <v>1</v>
      </c>
      <c r="I1028" s="4">
        <v>0</v>
      </c>
      <c r="J1028" s="4">
        <v>0</v>
      </c>
      <c r="L1028" s="4">
        <v>0</v>
      </c>
      <c r="N1028" s="2" t="s">
        <v>56</v>
      </c>
      <c r="O1028" s="2" t="s">
        <v>57</v>
      </c>
      <c r="P1028" s="2" t="s">
        <v>7677</v>
      </c>
      <c r="Q1028" s="2" t="s">
        <v>7678</v>
      </c>
      <c r="R1028" s="2" t="s">
        <v>8910</v>
      </c>
      <c r="S1028" s="2" t="s">
        <v>8911</v>
      </c>
      <c r="V1028" s="2" t="s">
        <v>8912</v>
      </c>
      <c r="W1028" s="2" t="s">
        <v>8913</v>
      </c>
      <c r="Y1028" s="2" t="s">
        <v>8914</v>
      </c>
      <c r="Z1028" s="2" t="s">
        <v>8915</v>
      </c>
      <c r="AA1028" s="2" t="s">
        <v>8916</v>
      </c>
      <c r="AC1028" s="2" t="s">
        <v>3173</v>
      </c>
      <c r="AD1028" s="2" t="s">
        <v>68</v>
      </c>
      <c r="AE1028" s="2" t="s">
        <v>69</v>
      </c>
      <c r="AF1028" s="2" t="s">
        <v>70</v>
      </c>
      <c r="AK1028" s="2" t="s">
        <v>8917</v>
      </c>
      <c r="AL1028" s="2" t="s">
        <v>8546</v>
      </c>
      <c r="AM1028" s="2" t="s">
        <v>72</v>
      </c>
      <c r="AN1028" s="2" t="s">
        <v>473</v>
      </c>
      <c r="AP1028" s="2" t="s">
        <v>7682</v>
      </c>
      <c r="AU1028" s="2" t="s">
        <v>75</v>
      </c>
      <c r="AV1028" s="2" t="s">
        <v>8918</v>
      </c>
      <c r="AW1028" s="2" t="s">
        <v>8919</v>
      </c>
      <c r="AZ1028" s="2" t="s">
        <v>116</v>
      </c>
    </row>
    <row r="1029" spans="1:52" s="3" customFormat="1" x14ac:dyDescent="0.35">
      <c r="A1029" s="2" t="s">
        <v>8920</v>
      </c>
      <c r="B1029" s="4">
        <v>241255</v>
      </c>
      <c r="C1029" s="2" t="s">
        <v>8921</v>
      </c>
      <c r="D1029" s="2">
        <f t="shared" si="16"/>
        <v>1</v>
      </c>
      <c r="F1029" s="2" t="s">
        <v>7682</v>
      </c>
      <c r="G1029" s="2" t="s">
        <v>53</v>
      </c>
      <c r="H1029" s="4">
        <v>1</v>
      </c>
      <c r="I1029" s="4">
        <v>0</v>
      </c>
      <c r="J1029" s="4">
        <v>0</v>
      </c>
      <c r="L1029" s="4">
        <v>0</v>
      </c>
      <c r="N1029" s="2" t="s">
        <v>56</v>
      </c>
      <c r="O1029" s="2" t="s">
        <v>57</v>
      </c>
      <c r="P1029" s="2" t="s">
        <v>7677</v>
      </c>
      <c r="Q1029" s="2" t="s">
        <v>7678</v>
      </c>
      <c r="R1029" s="2" t="s">
        <v>8922</v>
      </c>
      <c r="S1029" s="2" t="s">
        <v>8923</v>
      </c>
      <c r="V1029" s="2" t="s">
        <v>8924</v>
      </c>
      <c r="W1029" s="2" t="s">
        <v>8925</v>
      </c>
      <c r="Y1029" s="2" t="s">
        <v>8926</v>
      </c>
      <c r="Z1029" s="2" t="s">
        <v>8927</v>
      </c>
      <c r="AA1029" s="2" t="s">
        <v>8928</v>
      </c>
      <c r="AB1029" s="2" t="s">
        <v>8929</v>
      </c>
      <c r="AC1029" s="2" t="s">
        <v>8930</v>
      </c>
      <c r="AD1029" s="2" t="s">
        <v>68</v>
      </c>
      <c r="AE1029" s="2" t="s">
        <v>69</v>
      </c>
      <c r="AF1029" s="2" t="s">
        <v>70</v>
      </c>
      <c r="AK1029" s="2" t="s">
        <v>8931</v>
      </c>
      <c r="AL1029" s="2" t="s">
        <v>8546</v>
      </c>
      <c r="AM1029" s="2" t="s">
        <v>72</v>
      </c>
      <c r="AN1029" s="2" t="s">
        <v>473</v>
      </c>
      <c r="AP1029" s="2" t="s">
        <v>7682</v>
      </c>
      <c r="AU1029" s="2" t="s">
        <v>75</v>
      </c>
      <c r="AW1029" s="2" t="s">
        <v>8932</v>
      </c>
      <c r="AZ1029" s="2" t="s">
        <v>116</v>
      </c>
    </row>
    <row r="1030" spans="1:52" s="3" customFormat="1" x14ac:dyDescent="0.35">
      <c r="A1030" s="2" t="s">
        <v>8933</v>
      </c>
      <c r="B1030" s="4">
        <v>241253</v>
      </c>
      <c r="C1030" s="2" t="s">
        <v>8934</v>
      </c>
      <c r="D1030" s="2">
        <f t="shared" si="16"/>
        <v>1</v>
      </c>
      <c r="F1030" s="2" t="s">
        <v>7682</v>
      </c>
      <c r="G1030" s="2" t="s">
        <v>53</v>
      </c>
      <c r="H1030" s="4">
        <v>1</v>
      </c>
      <c r="I1030" s="4">
        <v>0</v>
      </c>
      <c r="J1030" s="4">
        <v>0</v>
      </c>
      <c r="L1030" s="4">
        <v>0</v>
      </c>
      <c r="N1030" s="2" t="s">
        <v>56</v>
      </c>
      <c r="O1030" s="2" t="s">
        <v>57</v>
      </c>
      <c r="P1030" s="2" t="s">
        <v>7677</v>
      </c>
      <c r="Q1030" s="2" t="s">
        <v>7678</v>
      </c>
      <c r="R1030" s="2" t="s">
        <v>8935</v>
      </c>
      <c r="S1030" s="2" t="s">
        <v>8936</v>
      </c>
      <c r="V1030" s="2" t="s">
        <v>8937</v>
      </c>
      <c r="W1030" s="2" t="s">
        <v>8938</v>
      </c>
      <c r="Y1030" s="2" t="s">
        <v>8939</v>
      </c>
      <c r="Z1030" s="2" t="s">
        <v>8940</v>
      </c>
      <c r="AA1030" s="2" t="s">
        <v>3599</v>
      </c>
      <c r="AB1030" s="2" t="s">
        <v>8941</v>
      </c>
      <c r="AC1030" s="2" t="s">
        <v>8942</v>
      </c>
      <c r="AD1030" s="2" t="s">
        <v>68</v>
      </c>
      <c r="AE1030" s="2" t="s">
        <v>69</v>
      </c>
      <c r="AF1030" s="2" t="s">
        <v>70</v>
      </c>
      <c r="AK1030" s="2" t="s">
        <v>8943</v>
      </c>
      <c r="AL1030" s="2" t="s">
        <v>8546</v>
      </c>
      <c r="AM1030" s="2" t="s">
        <v>72</v>
      </c>
      <c r="AN1030" s="2" t="s">
        <v>473</v>
      </c>
      <c r="AP1030" s="2" t="s">
        <v>7682</v>
      </c>
      <c r="AU1030" s="2" t="s">
        <v>75</v>
      </c>
      <c r="AW1030" s="2" t="s">
        <v>8944</v>
      </c>
      <c r="AZ1030" s="2" t="s">
        <v>116</v>
      </c>
    </row>
    <row r="1031" spans="1:52" s="3" customFormat="1" x14ac:dyDescent="0.35">
      <c r="A1031" s="2" t="s">
        <v>8945</v>
      </c>
      <c r="B1031" s="4">
        <v>241251</v>
      </c>
      <c r="C1031" s="2" t="s">
        <v>8946</v>
      </c>
      <c r="D1031" s="2">
        <f t="shared" si="16"/>
        <v>1</v>
      </c>
      <c r="F1031" s="2" t="s">
        <v>7682</v>
      </c>
      <c r="G1031" s="2" t="s">
        <v>53</v>
      </c>
      <c r="H1031" s="4">
        <v>1</v>
      </c>
      <c r="I1031" s="4">
        <v>0</v>
      </c>
      <c r="J1031" s="4">
        <v>0</v>
      </c>
      <c r="L1031" s="4">
        <v>0</v>
      </c>
      <c r="N1031" s="2" t="s">
        <v>56</v>
      </c>
      <c r="O1031" s="2" t="s">
        <v>57</v>
      </c>
      <c r="P1031" s="2" t="s">
        <v>7677</v>
      </c>
      <c r="Q1031" s="2" t="s">
        <v>7678</v>
      </c>
      <c r="R1031" s="2" t="s">
        <v>8947</v>
      </c>
      <c r="S1031" s="2" t="s">
        <v>8948</v>
      </c>
      <c r="V1031" s="2" t="s">
        <v>8949</v>
      </c>
      <c r="W1031" s="2" t="s">
        <v>8950</v>
      </c>
      <c r="Y1031" s="2" t="s">
        <v>8951</v>
      </c>
      <c r="Z1031" s="2" t="s">
        <v>8952</v>
      </c>
      <c r="AA1031" s="2" t="s">
        <v>8953</v>
      </c>
      <c r="AC1031" s="2" t="s">
        <v>8954</v>
      </c>
      <c r="AD1031" s="2" t="s">
        <v>8955</v>
      </c>
      <c r="AE1031" s="2" t="s">
        <v>69</v>
      </c>
      <c r="AF1031" s="2" t="s">
        <v>70</v>
      </c>
      <c r="AK1031" s="2" t="s">
        <v>8956</v>
      </c>
      <c r="AL1031" s="2" t="s">
        <v>8546</v>
      </c>
      <c r="AM1031" s="2" t="s">
        <v>72</v>
      </c>
      <c r="AN1031" s="2" t="s">
        <v>473</v>
      </c>
      <c r="AP1031" s="2" t="s">
        <v>7682</v>
      </c>
      <c r="AU1031" s="2" t="s">
        <v>75</v>
      </c>
      <c r="AV1031" s="2" t="s">
        <v>8957</v>
      </c>
      <c r="AW1031" s="2" t="s">
        <v>8958</v>
      </c>
      <c r="AZ1031" s="2" t="s">
        <v>116</v>
      </c>
    </row>
    <row r="1032" spans="1:52" s="3" customFormat="1" x14ac:dyDescent="0.35">
      <c r="A1032" s="2" t="s">
        <v>8959</v>
      </c>
      <c r="B1032" s="4">
        <v>241250</v>
      </c>
      <c r="C1032" s="2" t="s">
        <v>8960</v>
      </c>
      <c r="D1032" s="2">
        <f t="shared" si="16"/>
        <v>1</v>
      </c>
      <c r="F1032" s="2" t="s">
        <v>7682</v>
      </c>
      <c r="G1032" s="2" t="s">
        <v>53</v>
      </c>
      <c r="H1032" s="4">
        <v>1</v>
      </c>
      <c r="I1032" s="4">
        <v>0</v>
      </c>
      <c r="J1032" s="4">
        <v>0</v>
      </c>
      <c r="L1032" s="4">
        <v>0</v>
      </c>
      <c r="N1032" s="2" t="s">
        <v>56</v>
      </c>
      <c r="O1032" s="2" t="s">
        <v>57</v>
      </c>
      <c r="P1032" s="2" t="s">
        <v>7677</v>
      </c>
      <c r="Q1032" s="2" t="s">
        <v>7678</v>
      </c>
      <c r="R1032" s="2" t="s">
        <v>8961</v>
      </c>
      <c r="S1032" s="2" t="s">
        <v>8962</v>
      </c>
      <c r="V1032" s="2" t="s">
        <v>8963</v>
      </c>
      <c r="W1032" s="2" t="s">
        <v>8964</v>
      </c>
      <c r="Y1032" s="2" t="s">
        <v>8965</v>
      </c>
      <c r="Z1032" s="2" t="s">
        <v>8966</v>
      </c>
      <c r="AA1032" s="2" t="s">
        <v>8967</v>
      </c>
      <c r="AC1032" s="2" t="s">
        <v>8968</v>
      </c>
      <c r="AD1032" s="2" t="s">
        <v>68</v>
      </c>
      <c r="AE1032" s="2" t="s">
        <v>69</v>
      </c>
      <c r="AF1032" s="2" t="s">
        <v>70</v>
      </c>
      <c r="AK1032" s="2" t="s">
        <v>8969</v>
      </c>
      <c r="AL1032" s="2" t="s">
        <v>8546</v>
      </c>
      <c r="AM1032" s="2" t="s">
        <v>72</v>
      </c>
      <c r="AN1032" s="2" t="s">
        <v>473</v>
      </c>
      <c r="AP1032" s="2" t="s">
        <v>7682</v>
      </c>
      <c r="AU1032" s="2" t="s">
        <v>75</v>
      </c>
      <c r="AV1032" s="2" t="s">
        <v>8970</v>
      </c>
      <c r="AW1032" s="2" t="s">
        <v>8971</v>
      </c>
      <c r="AZ1032" s="2" t="s">
        <v>116</v>
      </c>
    </row>
    <row r="1033" spans="1:52" s="3" customFormat="1" x14ac:dyDescent="0.35">
      <c r="A1033" s="2" t="s">
        <v>8972</v>
      </c>
      <c r="B1033" s="4">
        <v>241248</v>
      </c>
      <c r="C1033" s="2" t="s">
        <v>8973</v>
      </c>
      <c r="D1033" s="2">
        <f t="shared" si="16"/>
        <v>1</v>
      </c>
      <c r="F1033" s="2" t="s">
        <v>7682</v>
      </c>
      <c r="G1033" s="2" t="s">
        <v>53</v>
      </c>
      <c r="H1033" s="4">
        <v>1</v>
      </c>
      <c r="I1033" s="4">
        <v>0</v>
      </c>
      <c r="J1033" s="4">
        <v>0</v>
      </c>
      <c r="L1033" s="4">
        <v>0</v>
      </c>
      <c r="N1033" s="2" t="s">
        <v>56</v>
      </c>
      <c r="O1033" s="2" t="s">
        <v>57</v>
      </c>
      <c r="P1033" s="2" t="s">
        <v>7677</v>
      </c>
      <c r="Q1033" s="2" t="s">
        <v>7678</v>
      </c>
      <c r="R1033" s="2" t="s">
        <v>8974</v>
      </c>
      <c r="S1033" s="2" t="s">
        <v>8975</v>
      </c>
      <c r="V1033" s="2" t="s">
        <v>8976</v>
      </c>
      <c r="W1033" s="2" t="s">
        <v>8977</v>
      </c>
      <c r="Y1033" s="2" t="s">
        <v>8978</v>
      </c>
      <c r="Z1033" s="2" t="s">
        <v>8979</v>
      </c>
      <c r="AA1033" s="2" t="s">
        <v>8980</v>
      </c>
      <c r="AB1033" s="2" t="s">
        <v>8981</v>
      </c>
      <c r="AC1033" s="2" t="s">
        <v>8982</v>
      </c>
      <c r="AD1033" s="2" t="s">
        <v>68</v>
      </c>
      <c r="AE1033" s="2" t="s">
        <v>69</v>
      </c>
      <c r="AF1033" s="2" t="s">
        <v>70</v>
      </c>
      <c r="AK1033" s="2" t="s">
        <v>8983</v>
      </c>
      <c r="AL1033" s="2" t="s">
        <v>8546</v>
      </c>
      <c r="AM1033" s="2" t="s">
        <v>72</v>
      </c>
      <c r="AN1033" s="2" t="s">
        <v>403</v>
      </c>
      <c r="AP1033" s="2" t="s">
        <v>7682</v>
      </c>
      <c r="AU1033" s="2" t="s">
        <v>75</v>
      </c>
      <c r="AW1033" s="2" t="s">
        <v>8984</v>
      </c>
      <c r="AZ1033" s="2" t="s">
        <v>116</v>
      </c>
    </row>
    <row r="1034" spans="1:52" s="3" customFormat="1" x14ac:dyDescent="0.35">
      <c r="A1034" s="2" t="s">
        <v>8985</v>
      </c>
      <c r="B1034" s="4">
        <v>241245</v>
      </c>
      <c r="C1034" s="2" t="s">
        <v>8986</v>
      </c>
      <c r="D1034" s="2">
        <f t="shared" si="16"/>
        <v>1</v>
      </c>
      <c r="F1034" s="2" t="s">
        <v>7682</v>
      </c>
      <c r="G1034" s="2" t="s">
        <v>53</v>
      </c>
      <c r="H1034" s="4">
        <v>1</v>
      </c>
      <c r="I1034" s="4">
        <v>0</v>
      </c>
      <c r="J1034" s="4">
        <v>0</v>
      </c>
      <c r="L1034" s="4">
        <v>0</v>
      </c>
      <c r="N1034" s="2" t="s">
        <v>56</v>
      </c>
      <c r="O1034" s="2" t="s">
        <v>57</v>
      </c>
      <c r="P1034" s="2" t="s">
        <v>7677</v>
      </c>
      <c r="Q1034" s="2" t="s">
        <v>7678</v>
      </c>
      <c r="R1034" s="2" t="s">
        <v>8987</v>
      </c>
      <c r="S1034" s="2" t="s">
        <v>8988</v>
      </c>
      <c r="V1034" s="2" t="s">
        <v>8989</v>
      </c>
      <c r="W1034" s="2" t="s">
        <v>8990</v>
      </c>
      <c r="Y1034" s="2" t="s">
        <v>8991</v>
      </c>
      <c r="Z1034" s="2" t="s">
        <v>8992</v>
      </c>
      <c r="AA1034" s="2" t="s">
        <v>8993</v>
      </c>
      <c r="AB1034" s="2" t="s">
        <v>8994</v>
      </c>
      <c r="AC1034" s="2" t="s">
        <v>8995</v>
      </c>
      <c r="AD1034" s="2" t="s">
        <v>2756</v>
      </c>
      <c r="AE1034" s="2" t="s">
        <v>2757</v>
      </c>
      <c r="AF1034" s="2" t="s">
        <v>70</v>
      </c>
      <c r="AK1034" s="2" t="s">
        <v>8996</v>
      </c>
      <c r="AL1034" s="2" t="s">
        <v>8546</v>
      </c>
      <c r="AM1034" s="2" t="s">
        <v>72</v>
      </c>
      <c r="AN1034" s="2" t="s">
        <v>473</v>
      </c>
      <c r="AP1034" s="2" t="s">
        <v>7682</v>
      </c>
      <c r="AU1034" s="2" t="s">
        <v>75</v>
      </c>
      <c r="AW1034" s="2" t="s">
        <v>8997</v>
      </c>
      <c r="AZ1034" s="2" t="s">
        <v>116</v>
      </c>
    </row>
    <row r="1035" spans="1:52" s="3" customFormat="1" x14ac:dyDescent="0.35">
      <c r="A1035" s="2" t="s">
        <v>8998</v>
      </c>
      <c r="B1035" s="4">
        <v>241244</v>
      </c>
      <c r="C1035" s="2" t="s">
        <v>8986</v>
      </c>
      <c r="D1035" s="2">
        <f t="shared" si="16"/>
        <v>1</v>
      </c>
      <c r="F1035" s="2" t="s">
        <v>7682</v>
      </c>
      <c r="G1035" s="2" t="s">
        <v>53</v>
      </c>
      <c r="H1035" s="4">
        <v>1</v>
      </c>
      <c r="I1035" s="4">
        <v>0</v>
      </c>
      <c r="J1035" s="4">
        <v>0</v>
      </c>
      <c r="L1035" s="4">
        <v>0</v>
      </c>
      <c r="N1035" s="2" t="s">
        <v>56</v>
      </c>
      <c r="O1035" s="2" t="s">
        <v>57</v>
      </c>
      <c r="P1035" s="2" t="s">
        <v>7677</v>
      </c>
      <c r="Q1035" s="2" t="s">
        <v>7678</v>
      </c>
      <c r="R1035" s="2" t="s">
        <v>8999</v>
      </c>
      <c r="S1035" s="2" t="s">
        <v>9000</v>
      </c>
      <c r="V1035" s="2" t="s">
        <v>9001</v>
      </c>
      <c r="W1035" s="2" t="s">
        <v>9002</v>
      </c>
      <c r="Y1035" s="2" t="s">
        <v>9003</v>
      </c>
      <c r="Z1035" s="2" t="s">
        <v>9004</v>
      </c>
      <c r="AA1035" s="2" t="s">
        <v>9005</v>
      </c>
      <c r="AB1035" s="2" t="s">
        <v>9006</v>
      </c>
      <c r="AC1035" s="2" t="s">
        <v>9007</v>
      </c>
      <c r="AD1035" s="2" t="s">
        <v>1402</v>
      </c>
      <c r="AE1035" s="2" t="s">
        <v>1403</v>
      </c>
      <c r="AF1035" s="2" t="s">
        <v>70</v>
      </c>
      <c r="AK1035" s="2" t="s">
        <v>9008</v>
      </c>
      <c r="AL1035" s="2" t="s">
        <v>8546</v>
      </c>
      <c r="AM1035" s="2" t="s">
        <v>72</v>
      </c>
      <c r="AN1035" s="2" t="s">
        <v>473</v>
      </c>
      <c r="AP1035" s="2" t="s">
        <v>7682</v>
      </c>
      <c r="AU1035" s="2" t="s">
        <v>75</v>
      </c>
      <c r="AW1035" s="2" t="s">
        <v>9009</v>
      </c>
      <c r="AZ1035" s="2" t="s">
        <v>116</v>
      </c>
    </row>
    <row r="1036" spans="1:52" s="3" customFormat="1" x14ac:dyDescent="0.35">
      <c r="A1036" s="2" t="s">
        <v>9010</v>
      </c>
      <c r="B1036" s="4">
        <v>241243</v>
      </c>
      <c r="C1036" s="2" t="s">
        <v>9011</v>
      </c>
      <c r="D1036" s="2">
        <f t="shared" si="16"/>
        <v>1</v>
      </c>
      <c r="F1036" s="2" t="s">
        <v>7682</v>
      </c>
      <c r="G1036" s="2" t="s">
        <v>53</v>
      </c>
      <c r="H1036" s="4">
        <v>1</v>
      </c>
      <c r="I1036" s="4">
        <v>0</v>
      </c>
      <c r="J1036" s="4">
        <v>0</v>
      </c>
      <c r="L1036" s="4">
        <v>0</v>
      </c>
      <c r="N1036" s="2" t="s">
        <v>56</v>
      </c>
      <c r="O1036" s="2" t="s">
        <v>57</v>
      </c>
      <c r="P1036" s="2" t="s">
        <v>7677</v>
      </c>
      <c r="Q1036" s="2" t="s">
        <v>7678</v>
      </c>
      <c r="R1036" s="2" t="s">
        <v>8562</v>
      </c>
      <c r="S1036" s="2" t="s">
        <v>8563</v>
      </c>
      <c r="V1036" s="2" t="s">
        <v>8564</v>
      </c>
      <c r="W1036" s="2" t="s">
        <v>8565</v>
      </c>
      <c r="Y1036" s="2" t="s">
        <v>8566</v>
      </c>
      <c r="Z1036" s="2" t="s">
        <v>8567</v>
      </c>
      <c r="AA1036" s="2" t="s">
        <v>8568</v>
      </c>
      <c r="AC1036" s="2" t="s">
        <v>1823</v>
      </c>
      <c r="AD1036" s="2" t="s">
        <v>1402</v>
      </c>
      <c r="AE1036" s="2" t="s">
        <v>1403</v>
      </c>
      <c r="AF1036" s="2" t="s">
        <v>70</v>
      </c>
      <c r="AK1036" s="2" t="s">
        <v>9012</v>
      </c>
      <c r="AL1036" s="2" t="s">
        <v>8546</v>
      </c>
      <c r="AM1036" s="2" t="s">
        <v>72</v>
      </c>
      <c r="AN1036" s="2" t="s">
        <v>473</v>
      </c>
      <c r="AP1036" s="2" t="s">
        <v>7682</v>
      </c>
      <c r="AU1036" s="2" t="s">
        <v>75</v>
      </c>
      <c r="AW1036" s="2" t="s">
        <v>8570</v>
      </c>
      <c r="AZ1036" s="2" t="s">
        <v>116</v>
      </c>
    </row>
    <row r="1037" spans="1:52" s="3" customFormat="1" x14ac:dyDescent="0.35">
      <c r="A1037" s="2" t="s">
        <v>9013</v>
      </c>
      <c r="B1037" s="4">
        <v>241236</v>
      </c>
      <c r="C1037" s="2" t="s">
        <v>9014</v>
      </c>
      <c r="D1037" s="2">
        <f t="shared" si="16"/>
        <v>1</v>
      </c>
      <c r="F1037" s="2" t="s">
        <v>7682</v>
      </c>
      <c r="G1037" s="2" t="s">
        <v>53</v>
      </c>
      <c r="H1037" s="4">
        <v>1</v>
      </c>
      <c r="I1037" s="4">
        <v>0</v>
      </c>
      <c r="J1037" s="4">
        <v>0</v>
      </c>
      <c r="L1037" s="4">
        <v>0</v>
      </c>
      <c r="N1037" s="2" t="s">
        <v>56</v>
      </c>
      <c r="O1037" s="2" t="s">
        <v>57</v>
      </c>
      <c r="P1037" s="2" t="s">
        <v>7677</v>
      </c>
      <c r="Q1037" s="2" t="s">
        <v>7678</v>
      </c>
      <c r="R1037" s="2" t="s">
        <v>9015</v>
      </c>
      <c r="S1037" s="2" t="s">
        <v>9016</v>
      </c>
      <c r="V1037" s="2" t="s">
        <v>9017</v>
      </c>
      <c r="W1037" s="2" t="s">
        <v>9018</v>
      </c>
      <c r="Y1037" s="2" t="s">
        <v>9019</v>
      </c>
      <c r="Z1037" s="2" t="s">
        <v>9020</v>
      </c>
      <c r="AA1037" s="2" t="s">
        <v>3148</v>
      </c>
      <c r="AC1037" s="2" t="s">
        <v>9021</v>
      </c>
      <c r="AD1037" s="2" t="s">
        <v>5930</v>
      </c>
      <c r="AE1037" s="2" t="s">
        <v>69</v>
      </c>
      <c r="AF1037" s="2" t="s">
        <v>70</v>
      </c>
      <c r="AK1037" s="2" t="s">
        <v>9022</v>
      </c>
      <c r="AL1037" s="2" t="s">
        <v>8546</v>
      </c>
      <c r="AM1037" s="2" t="s">
        <v>72</v>
      </c>
      <c r="AN1037" s="2" t="s">
        <v>473</v>
      </c>
      <c r="AP1037" s="2" t="s">
        <v>7682</v>
      </c>
      <c r="AU1037" s="2" t="s">
        <v>75</v>
      </c>
      <c r="AW1037" s="2" t="s">
        <v>9023</v>
      </c>
      <c r="AZ1037" s="2" t="s">
        <v>116</v>
      </c>
    </row>
    <row r="1038" spans="1:52" s="3" customFormat="1" x14ac:dyDescent="0.35">
      <c r="A1038" s="2" t="s">
        <v>9024</v>
      </c>
      <c r="B1038" s="4">
        <v>241232</v>
      </c>
      <c r="C1038" s="2" t="s">
        <v>9025</v>
      </c>
      <c r="D1038" s="2">
        <f t="shared" si="16"/>
        <v>1</v>
      </c>
      <c r="F1038" s="2" t="s">
        <v>7682</v>
      </c>
      <c r="G1038" s="2" t="s">
        <v>53</v>
      </c>
      <c r="H1038" s="4">
        <v>1</v>
      </c>
      <c r="I1038" s="4">
        <v>0</v>
      </c>
      <c r="J1038" s="4">
        <v>0</v>
      </c>
      <c r="L1038" s="4">
        <v>0</v>
      </c>
      <c r="N1038" s="2" t="s">
        <v>56</v>
      </c>
      <c r="O1038" s="2" t="s">
        <v>57</v>
      </c>
      <c r="P1038" s="2" t="s">
        <v>7677</v>
      </c>
      <c r="Q1038" s="2" t="s">
        <v>7678</v>
      </c>
      <c r="R1038" s="2" t="s">
        <v>9026</v>
      </c>
      <c r="S1038" s="2" t="s">
        <v>9027</v>
      </c>
      <c r="V1038" s="2" t="s">
        <v>9028</v>
      </c>
      <c r="W1038" s="2" t="s">
        <v>9029</v>
      </c>
      <c r="Y1038" s="2" t="s">
        <v>9030</v>
      </c>
      <c r="Z1038" s="2" t="s">
        <v>9031</v>
      </c>
      <c r="AA1038" s="2" t="s">
        <v>2282</v>
      </c>
      <c r="AB1038" s="2" t="s">
        <v>9032</v>
      </c>
      <c r="AC1038" s="2" t="s">
        <v>1401</v>
      </c>
      <c r="AD1038" s="2" t="s">
        <v>9033</v>
      </c>
      <c r="AE1038" s="2" t="s">
        <v>1403</v>
      </c>
      <c r="AF1038" s="2" t="s">
        <v>70</v>
      </c>
      <c r="AK1038" s="2" t="s">
        <v>9034</v>
      </c>
      <c r="AL1038" s="2" t="s">
        <v>8546</v>
      </c>
      <c r="AM1038" s="2" t="s">
        <v>72</v>
      </c>
      <c r="AN1038" s="2" t="s">
        <v>473</v>
      </c>
      <c r="AP1038" s="2" t="s">
        <v>7682</v>
      </c>
      <c r="AU1038" s="2" t="s">
        <v>75</v>
      </c>
      <c r="AW1038" s="2" t="s">
        <v>9035</v>
      </c>
      <c r="AZ1038" s="2" t="s">
        <v>116</v>
      </c>
    </row>
    <row r="1039" spans="1:52" s="3" customFormat="1" x14ac:dyDescent="0.35">
      <c r="A1039" s="2" t="s">
        <v>9036</v>
      </c>
      <c r="B1039" s="4">
        <v>241231</v>
      </c>
      <c r="C1039" s="2" t="s">
        <v>9037</v>
      </c>
      <c r="D1039" s="2">
        <f t="shared" si="16"/>
        <v>1</v>
      </c>
      <c r="F1039" s="2" t="s">
        <v>7682</v>
      </c>
      <c r="G1039" s="2" t="s">
        <v>53</v>
      </c>
      <c r="H1039" s="4">
        <v>1</v>
      </c>
      <c r="I1039" s="4">
        <v>0</v>
      </c>
      <c r="J1039" s="4">
        <v>0</v>
      </c>
      <c r="L1039" s="4">
        <v>0</v>
      </c>
      <c r="N1039" s="2" t="s">
        <v>56</v>
      </c>
      <c r="O1039" s="2" t="s">
        <v>57</v>
      </c>
      <c r="P1039" s="2" t="s">
        <v>7677</v>
      </c>
      <c r="Q1039" s="2" t="s">
        <v>7678</v>
      </c>
      <c r="R1039" s="2" t="s">
        <v>9038</v>
      </c>
      <c r="S1039" s="2" t="s">
        <v>9039</v>
      </c>
      <c r="V1039" s="2" t="s">
        <v>9040</v>
      </c>
      <c r="W1039" s="2" t="s">
        <v>9041</v>
      </c>
      <c r="Y1039" s="2" t="s">
        <v>9042</v>
      </c>
      <c r="Z1039" s="2" t="s">
        <v>9043</v>
      </c>
      <c r="AA1039" s="2" t="s">
        <v>4251</v>
      </c>
      <c r="AC1039" s="2" t="s">
        <v>9044</v>
      </c>
      <c r="AD1039" s="2" t="s">
        <v>8692</v>
      </c>
      <c r="AE1039" s="2" t="s">
        <v>69</v>
      </c>
      <c r="AF1039" s="2" t="s">
        <v>70</v>
      </c>
      <c r="AK1039" s="2" t="s">
        <v>9045</v>
      </c>
      <c r="AL1039" s="2" t="s">
        <v>8546</v>
      </c>
      <c r="AM1039" s="2" t="s">
        <v>72</v>
      </c>
      <c r="AN1039" s="2" t="s">
        <v>473</v>
      </c>
      <c r="AP1039" s="2" t="s">
        <v>7682</v>
      </c>
      <c r="AU1039" s="2" t="s">
        <v>75</v>
      </c>
      <c r="AW1039" s="2" t="s">
        <v>9046</v>
      </c>
      <c r="AZ1039" s="2" t="s">
        <v>116</v>
      </c>
    </row>
    <row r="1040" spans="1:52" s="3" customFormat="1" x14ac:dyDescent="0.35">
      <c r="A1040" s="2" t="s">
        <v>9047</v>
      </c>
      <c r="B1040" s="4">
        <v>241230</v>
      </c>
      <c r="C1040" s="2" t="s">
        <v>9037</v>
      </c>
      <c r="D1040" s="2">
        <f t="shared" si="16"/>
        <v>1</v>
      </c>
      <c r="F1040" s="2" t="s">
        <v>7682</v>
      </c>
      <c r="G1040" s="2" t="s">
        <v>53</v>
      </c>
      <c r="H1040" s="4">
        <v>1</v>
      </c>
      <c r="I1040" s="4">
        <v>0</v>
      </c>
      <c r="J1040" s="4">
        <v>0</v>
      </c>
      <c r="L1040" s="4">
        <v>0</v>
      </c>
      <c r="N1040" s="2" t="s">
        <v>56</v>
      </c>
      <c r="O1040" s="2" t="s">
        <v>57</v>
      </c>
      <c r="P1040" s="2" t="s">
        <v>7677</v>
      </c>
      <c r="Q1040" s="2" t="s">
        <v>7678</v>
      </c>
      <c r="R1040" s="2" t="s">
        <v>9048</v>
      </c>
      <c r="S1040" s="2" t="s">
        <v>9049</v>
      </c>
      <c r="V1040" s="2" t="s">
        <v>9050</v>
      </c>
      <c r="W1040" s="2" t="s">
        <v>9051</v>
      </c>
      <c r="Y1040" s="2" t="s">
        <v>9052</v>
      </c>
      <c r="Z1040" s="2" t="s">
        <v>9053</v>
      </c>
      <c r="AA1040" s="2" t="s">
        <v>9054</v>
      </c>
      <c r="AB1040" s="2" t="s">
        <v>9055</v>
      </c>
      <c r="AC1040" s="2" t="s">
        <v>1823</v>
      </c>
      <c r="AD1040" s="2" t="s">
        <v>9056</v>
      </c>
      <c r="AE1040" s="2" t="s">
        <v>69</v>
      </c>
      <c r="AF1040" s="2" t="s">
        <v>70</v>
      </c>
      <c r="AK1040" s="2" t="s">
        <v>9057</v>
      </c>
      <c r="AL1040" s="2" t="s">
        <v>8546</v>
      </c>
      <c r="AM1040" s="2" t="s">
        <v>72</v>
      </c>
      <c r="AN1040" s="2" t="s">
        <v>473</v>
      </c>
      <c r="AP1040" s="2" t="s">
        <v>7682</v>
      </c>
      <c r="AU1040" s="2" t="s">
        <v>75</v>
      </c>
      <c r="AW1040" s="2" t="s">
        <v>9058</v>
      </c>
      <c r="AZ1040" s="2" t="s">
        <v>116</v>
      </c>
    </row>
    <row r="1041" spans="1:52" s="3" customFormat="1" x14ac:dyDescent="0.35">
      <c r="A1041" s="2" t="s">
        <v>9059</v>
      </c>
      <c r="B1041" s="4">
        <v>241228</v>
      </c>
      <c r="C1041" s="2" t="s">
        <v>9060</v>
      </c>
      <c r="D1041" s="2">
        <f t="shared" si="16"/>
        <v>1</v>
      </c>
      <c r="F1041" s="2" t="s">
        <v>7682</v>
      </c>
      <c r="G1041" s="2" t="s">
        <v>53</v>
      </c>
      <c r="H1041" s="4">
        <v>1</v>
      </c>
      <c r="I1041" s="4">
        <v>0</v>
      </c>
      <c r="J1041" s="4">
        <v>0</v>
      </c>
      <c r="L1041" s="4">
        <v>0</v>
      </c>
      <c r="N1041" s="2" t="s">
        <v>56</v>
      </c>
      <c r="O1041" s="2" t="s">
        <v>57</v>
      </c>
      <c r="P1041" s="2" t="s">
        <v>7677</v>
      </c>
      <c r="Q1041" s="2" t="s">
        <v>7678</v>
      </c>
      <c r="R1041" s="2" t="s">
        <v>9061</v>
      </c>
      <c r="S1041" s="2" t="s">
        <v>8618</v>
      </c>
      <c r="V1041" s="2" t="s">
        <v>9062</v>
      </c>
      <c r="W1041" s="2" t="s">
        <v>8620</v>
      </c>
      <c r="Y1041" s="2" t="s">
        <v>8621</v>
      </c>
      <c r="Z1041" s="2" t="s">
        <v>8622</v>
      </c>
      <c r="AA1041" s="2" t="s">
        <v>4913</v>
      </c>
      <c r="AC1041" s="2" t="s">
        <v>8623</v>
      </c>
      <c r="AD1041" s="2" t="s">
        <v>1903</v>
      </c>
      <c r="AE1041" s="2" t="s">
        <v>69</v>
      </c>
      <c r="AF1041" s="2" t="s">
        <v>70</v>
      </c>
      <c r="AK1041" s="2" t="s">
        <v>9063</v>
      </c>
      <c r="AL1041" s="2" t="s">
        <v>8546</v>
      </c>
      <c r="AM1041" s="2" t="s">
        <v>72</v>
      </c>
      <c r="AN1041" s="2" t="s">
        <v>473</v>
      </c>
      <c r="AP1041" s="2" t="s">
        <v>7682</v>
      </c>
      <c r="AU1041" s="2" t="s">
        <v>75</v>
      </c>
      <c r="AW1041" s="2" t="s">
        <v>8625</v>
      </c>
      <c r="AZ1041" s="2" t="s">
        <v>116</v>
      </c>
    </row>
    <row r="1042" spans="1:52" s="3" customFormat="1" x14ac:dyDescent="0.35">
      <c r="A1042" s="2" t="s">
        <v>9064</v>
      </c>
      <c r="B1042" s="4">
        <v>241227</v>
      </c>
      <c r="C1042" s="2" t="s">
        <v>9065</v>
      </c>
      <c r="D1042" s="2">
        <f t="shared" si="16"/>
        <v>1</v>
      </c>
      <c r="F1042" s="2" t="s">
        <v>7682</v>
      </c>
      <c r="G1042" s="2" t="s">
        <v>53</v>
      </c>
      <c r="H1042" s="4">
        <v>1</v>
      </c>
      <c r="I1042" s="4">
        <v>0</v>
      </c>
      <c r="J1042" s="4">
        <v>0</v>
      </c>
      <c r="L1042" s="4">
        <v>0</v>
      </c>
      <c r="N1042" s="2" t="s">
        <v>56</v>
      </c>
      <c r="O1042" s="2" t="s">
        <v>57</v>
      </c>
      <c r="P1042" s="2" t="s">
        <v>7677</v>
      </c>
      <c r="Q1042" s="2" t="s">
        <v>7678</v>
      </c>
      <c r="R1042" s="2" t="s">
        <v>9066</v>
      </c>
      <c r="S1042" s="2" t="s">
        <v>9067</v>
      </c>
      <c r="V1042" s="2" t="s">
        <v>9068</v>
      </c>
      <c r="W1042" s="2" t="s">
        <v>9069</v>
      </c>
      <c r="Y1042" s="2" t="s">
        <v>9070</v>
      </c>
      <c r="Z1042" s="2" t="s">
        <v>9071</v>
      </c>
      <c r="AA1042" s="2" t="s">
        <v>3421</v>
      </c>
      <c r="AC1042" s="2" t="s">
        <v>9072</v>
      </c>
      <c r="AD1042" s="2" t="s">
        <v>9073</v>
      </c>
      <c r="AE1042" s="2" t="s">
        <v>69</v>
      </c>
      <c r="AF1042" s="2" t="s">
        <v>70</v>
      </c>
      <c r="AK1042" s="2" t="s">
        <v>9074</v>
      </c>
      <c r="AL1042" s="2" t="s">
        <v>8546</v>
      </c>
      <c r="AM1042" s="2" t="s">
        <v>72</v>
      </c>
      <c r="AN1042" s="2" t="s">
        <v>473</v>
      </c>
      <c r="AP1042" s="2" t="s">
        <v>7682</v>
      </c>
      <c r="AU1042" s="2" t="s">
        <v>75</v>
      </c>
      <c r="AW1042" s="2" t="s">
        <v>9075</v>
      </c>
      <c r="AZ1042" s="2" t="s">
        <v>116</v>
      </c>
    </row>
    <row r="1043" spans="1:52" s="3" customFormat="1" x14ac:dyDescent="0.35">
      <c r="A1043" s="2" t="s">
        <v>9076</v>
      </c>
      <c r="B1043" s="4">
        <v>241223</v>
      </c>
      <c r="C1043" s="2" t="s">
        <v>9077</v>
      </c>
      <c r="D1043" s="2">
        <f t="shared" si="16"/>
        <v>1</v>
      </c>
      <c r="F1043" s="2" t="s">
        <v>7682</v>
      </c>
      <c r="G1043" s="2" t="s">
        <v>53</v>
      </c>
      <c r="H1043" s="4">
        <v>1</v>
      </c>
      <c r="I1043" s="4">
        <v>0</v>
      </c>
      <c r="J1043" s="4">
        <v>0</v>
      </c>
      <c r="L1043" s="4">
        <v>0</v>
      </c>
      <c r="N1043" s="2" t="s">
        <v>56</v>
      </c>
      <c r="O1043" s="2" t="s">
        <v>57</v>
      </c>
      <c r="P1043" s="2" t="s">
        <v>7677</v>
      </c>
      <c r="Q1043" s="2" t="s">
        <v>7678</v>
      </c>
      <c r="R1043" s="2" t="s">
        <v>9078</v>
      </c>
      <c r="S1043" s="2" t="s">
        <v>9079</v>
      </c>
      <c r="V1043" s="2" t="s">
        <v>9080</v>
      </c>
      <c r="W1043" s="2" t="s">
        <v>9081</v>
      </c>
      <c r="Y1043" s="2" t="s">
        <v>9082</v>
      </c>
      <c r="Z1043" s="2" t="s">
        <v>9083</v>
      </c>
      <c r="AA1043" s="2" t="s">
        <v>9084</v>
      </c>
      <c r="AB1043" s="2" t="s">
        <v>9085</v>
      </c>
      <c r="AC1043" s="2" t="s">
        <v>9086</v>
      </c>
      <c r="AD1043" s="2" t="s">
        <v>68</v>
      </c>
      <c r="AE1043" s="2" t="s">
        <v>69</v>
      </c>
      <c r="AF1043" s="2" t="s">
        <v>70</v>
      </c>
      <c r="AK1043" s="2" t="s">
        <v>9087</v>
      </c>
      <c r="AL1043" s="2" t="s">
        <v>8546</v>
      </c>
      <c r="AM1043" s="2" t="s">
        <v>72</v>
      </c>
      <c r="AN1043" s="2" t="s">
        <v>473</v>
      </c>
      <c r="AP1043" s="2" t="s">
        <v>7682</v>
      </c>
      <c r="AU1043" s="2" t="s">
        <v>75</v>
      </c>
      <c r="AV1043" s="2" t="s">
        <v>9088</v>
      </c>
      <c r="AW1043" s="2" t="s">
        <v>9089</v>
      </c>
      <c r="AZ1043" s="2" t="s">
        <v>116</v>
      </c>
    </row>
    <row r="1044" spans="1:52" s="3" customFormat="1" x14ac:dyDescent="0.35">
      <c r="A1044" s="2" t="s">
        <v>9090</v>
      </c>
      <c r="B1044" s="4">
        <v>241222</v>
      </c>
      <c r="C1044" s="2" t="s">
        <v>9091</v>
      </c>
      <c r="D1044" s="2">
        <f t="shared" si="16"/>
        <v>1</v>
      </c>
      <c r="F1044" s="2" t="s">
        <v>7682</v>
      </c>
      <c r="G1044" s="2" t="s">
        <v>53</v>
      </c>
      <c r="H1044" s="4">
        <v>1</v>
      </c>
      <c r="I1044" s="4">
        <v>0</v>
      </c>
      <c r="J1044" s="4">
        <v>0</v>
      </c>
      <c r="L1044" s="4">
        <v>0</v>
      </c>
      <c r="N1044" s="2" t="s">
        <v>56</v>
      </c>
      <c r="O1044" s="2" t="s">
        <v>57</v>
      </c>
      <c r="P1044" s="2" t="s">
        <v>7677</v>
      </c>
      <c r="Q1044" s="2" t="s">
        <v>7678</v>
      </c>
      <c r="R1044" s="2" t="s">
        <v>9092</v>
      </c>
      <c r="S1044" s="2" t="s">
        <v>9093</v>
      </c>
      <c r="V1044" s="2" t="s">
        <v>9094</v>
      </c>
      <c r="W1044" s="2" t="s">
        <v>9095</v>
      </c>
      <c r="Y1044" s="2" t="s">
        <v>9096</v>
      </c>
      <c r="Z1044" s="2" t="s">
        <v>9097</v>
      </c>
      <c r="AA1044" s="2" t="s">
        <v>9098</v>
      </c>
      <c r="AB1044" s="2" t="s">
        <v>9099</v>
      </c>
      <c r="AC1044" s="2" t="s">
        <v>9100</v>
      </c>
      <c r="AD1044" s="2" t="s">
        <v>68</v>
      </c>
      <c r="AE1044" s="2" t="s">
        <v>69</v>
      </c>
      <c r="AF1044" s="2" t="s">
        <v>70</v>
      </c>
      <c r="AK1044" s="2" t="s">
        <v>9101</v>
      </c>
      <c r="AL1044" s="2" t="s">
        <v>8546</v>
      </c>
      <c r="AM1044" s="2" t="s">
        <v>72</v>
      </c>
      <c r="AN1044" s="2" t="s">
        <v>473</v>
      </c>
      <c r="AP1044" s="2" t="s">
        <v>7682</v>
      </c>
      <c r="AU1044" s="2" t="s">
        <v>75</v>
      </c>
      <c r="AW1044" s="2" t="s">
        <v>9102</v>
      </c>
      <c r="AZ1044" s="2" t="s">
        <v>116</v>
      </c>
    </row>
    <row r="1045" spans="1:52" s="3" customFormat="1" x14ac:dyDescent="0.35">
      <c r="A1045" s="2" t="s">
        <v>9103</v>
      </c>
      <c r="B1045" s="4">
        <v>241196</v>
      </c>
      <c r="C1045" s="2" t="s">
        <v>9104</v>
      </c>
      <c r="D1045" s="2">
        <f t="shared" si="16"/>
        <v>1</v>
      </c>
      <c r="F1045" s="2" t="s">
        <v>9105</v>
      </c>
      <c r="G1045" s="2" t="s">
        <v>53</v>
      </c>
      <c r="H1045" s="4">
        <v>1</v>
      </c>
      <c r="I1045" s="4">
        <v>0</v>
      </c>
      <c r="J1045" s="4">
        <v>0</v>
      </c>
      <c r="L1045" s="4">
        <v>0</v>
      </c>
      <c r="N1045" s="2" t="s">
        <v>56</v>
      </c>
      <c r="O1045" s="2" t="s">
        <v>57</v>
      </c>
      <c r="P1045" s="2" t="s">
        <v>7677</v>
      </c>
      <c r="Q1045" s="2" t="s">
        <v>7678</v>
      </c>
      <c r="R1045" s="2" t="s">
        <v>9106</v>
      </c>
      <c r="S1045" s="2" t="s">
        <v>9107</v>
      </c>
      <c r="V1045" s="2" t="s">
        <v>9108</v>
      </c>
      <c r="W1045" s="2" t="s">
        <v>9109</v>
      </c>
      <c r="Y1045" s="2" t="s">
        <v>9110</v>
      </c>
      <c r="Z1045" s="2" t="s">
        <v>9111</v>
      </c>
      <c r="AA1045" s="2" t="s">
        <v>9112</v>
      </c>
      <c r="AC1045" s="2" t="s">
        <v>1823</v>
      </c>
      <c r="AD1045" s="2" t="s">
        <v>9113</v>
      </c>
      <c r="AE1045" s="2" t="s">
        <v>96</v>
      </c>
      <c r="AF1045" s="2" t="s">
        <v>70</v>
      </c>
      <c r="AK1045" s="2" t="s">
        <v>9114</v>
      </c>
      <c r="AL1045" s="2" t="s">
        <v>8546</v>
      </c>
      <c r="AM1045" s="2" t="s">
        <v>72</v>
      </c>
      <c r="AN1045" s="2" t="s">
        <v>473</v>
      </c>
      <c r="AP1045" s="2" t="s">
        <v>7682</v>
      </c>
      <c r="AU1045" s="2" t="s">
        <v>75</v>
      </c>
      <c r="AV1045" s="2" t="s">
        <v>9115</v>
      </c>
      <c r="AW1045" s="2" t="s">
        <v>9116</v>
      </c>
      <c r="AZ1045" s="2" t="s">
        <v>116</v>
      </c>
    </row>
    <row r="1046" spans="1:52" s="3" customFormat="1" x14ac:dyDescent="0.35">
      <c r="A1046" s="2" t="s">
        <v>9117</v>
      </c>
      <c r="B1046" s="4">
        <v>241190</v>
      </c>
      <c r="C1046" s="2" t="s">
        <v>9118</v>
      </c>
      <c r="D1046" s="2">
        <f t="shared" si="16"/>
        <v>1</v>
      </c>
      <c r="F1046" s="2" t="s">
        <v>9105</v>
      </c>
      <c r="G1046" s="2" t="s">
        <v>53</v>
      </c>
      <c r="H1046" s="4">
        <v>1</v>
      </c>
      <c r="I1046" s="4">
        <v>0</v>
      </c>
      <c r="J1046" s="4">
        <v>0</v>
      </c>
      <c r="L1046" s="4">
        <v>0</v>
      </c>
      <c r="N1046" s="2" t="s">
        <v>56</v>
      </c>
      <c r="O1046" s="2" t="s">
        <v>57</v>
      </c>
      <c r="P1046" s="2" t="s">
        <v>7677</v>
      </c>
      <c r="Q1046" s="2" t="s">
        <v>7678</v>
      </c>
      <c r="R1046" s="2" t="s">
        <v>8640</v>
      </c>
      <c r="S1046" s="2" t="s">
        <v>8641</v>
      </c>
      <c r="V1046" s="2" t="s">
        <v>9119</v>
      </c>
      <c r="W1046" s="2" t="s">
        <v>8643</v>
      </c>
      <c r="Y1046" s="2" t="s">
        <v>8644</v>
      </c>
      <c r="Z1046" s="2" t="s">
        <v>8645</v>
      </c>
      <c r="AA1046" s="2" t="s">
        <v>8646</v>
      </c>
      <c r="AB1046" s="2" t="s">
        <v>8647</v>
      </c>
      <c r="AC1046" s="2" t="s">
        <v>8648</v>
      </c>
      <c r="AD1046" s="2" t="s">
        <v>68</v>
      </c>
      <c r="AE1046" s="2" t="s">
        <v>69</v>
      </c>
      <c r="AF1046" s="2" t="s">
        <v>70</v>
      </c>
      <c r="AK1046" s="2" t="s">
        <v>9120</v>
      </c>
      <c r="AL1046" s="2" t="s">
        <v>8546</v>
      </c>
      <c r="AM1046" s="2" t="s">
        <v>72</v>
      </c>
      <c r="AN1046" s="2" t="s">
        <v>473</v>
      </c>
      <c r="AP1046" s="2" t="s">
        <v>7682</v>
      </c>
      <c r="AU1046" s="2" t="s">
        <v>75</v>
      </c>
      <c r="AV1046" s="2" t="s">
        <v>8650</v>
      </c>
      <c r="AW1046" s="2" t="s">
        <v>8651</v>
      </c>
      <c r="AZ1046" s="2" t="s">
        <v>116</v>
      </c>
    </row>
    <row r="1047" spans="1:52" s="3" customFormat="1" x14ac:dyDescent="0.35">
      <c r="A1047" s="2" t="s">
        <v>9121</v>
      </c>
      <c r="B1047" s="4">
        <v>241166</v>
      </c>
      <c r="C1047" s="2" t="s">
        <v>9122</v>
      </c>
      <c r="D1047" s="2">
        <f t="shared" si="16"/>
        <v>1</v>
      </c>
      <c r="F1047" s="2" t="s">
        <v>7682</v>
      </c>
      <c r="G1047" s="2" t="s">
        <v>53</v>
      </c>
      <c r="H1047" s="4">
        <v>1</v>
      </c>
      <c r="I1047" s="4">
        <v>1</v>
      </c>
      <c r="J1047" s="5">
        <v>175000</v>
      </c>
      <c r="K1047" s="2" t="s">
        <v>1252</v>
      </c>
      <c r="L1047" s="5">
        <v>328475</v>
      </c>
      <c r="M1047" s="2" t="s">
        <v>55</v>
      </c>
      <c r="N1047" s="2" t="s">
        <v>1253</v>
      </c>
      <c r="O1047" s="2" t="s">
        <v>1254</v>
      </c>
      <c r="P1047" s="2" t="s">
        <v>9123</v>
      </c>
      <c r="Q1047" s="2" t="s">
        <v>9124</v>
      </c>
      <c r="R1047" s="2" t="s">
        <v>9125</v>
      </c>
      <c r="T1047" s="2" t="s">
        <v>9126</v>
      </c>
      <c r="U1047" s="2" t="s">
        <v>9127</v>
      </c>
      <c r="V1047" s="2" t="s">
        <v>9128</v>
      </c>
      <c r="W1047" s="2" t="s">
        <v>9129</v>
      </c>
      <c r="X1047" s="2" t="s">
        <v>9130</v>
      </c>
      <c r="Y1047" s="2" t="s">
        <v>9131</v>
      </c>
      <c r="Z1047" s="2" t="s">
        <v>9132</v>
      </c>
      <c r="AA1047" s="2" t="s">
        <v>6861</v>
      </c>
      <c r="AC1047" s="2" t="s">
        <v>2842</v>
      </c>
      <c r="AD1047" s="2" t="s">
        <v>9133</v>
      </c>
      <c r="AE1047" s="2" t="s">
        <v>96</v>
      </c>
      <c r="AF1047" s="2" t="s">
        <v>70</v>
      </c>
      <c r="AG1047" s="2" t="s">
        <v>9135</v>
      </c>
      <c r="AK1047" s="2" t="s">
        <v>9136</v>
      </c>
      <c r="AM1047" s="2" t="s">
        <v>72</v>
      </c>
      <c r="AN1047" s="2" t="s">
        <v>473</v>
      </c>
      <c r="AP1047" s="2" t="s">
        <v>9137</v>
      </c>
      <c r="AU1047" s="2" t="s">
        <v>75</v>
      </c>
      <c r="AV1047" s="2" t="s">
        <v>9138</v>
      </c>
      <c r="AW1047" s="2" t="s">
        <v>9139</v>
      </c>
      <c r="AX1047" s="2" t="s">
        <v>477</v>
      </c>
      <c r="AZ1047" s="2" t="s">
        <v>4750</v>
      </c>
    </row>
    <row r="1048" spans="1:52" s="3" customFormat="1" x14ac:dyDescent="0.35">
      <c r="A1048" s="2" t="s">
        <v>9121</v>
      </c>
      <c r="B1048" s="4">
        <v>241166</v>
      </c>
      <c r="C1048" s="2" t="s">
        <v>9122</v>
      </c>
      <c r="D1048" s="2">
        <f t="shared" si="16"/>
        <v>1</v>
      </c>
      <c r="F1048" s="2" t="s">
        <v>7682</v>
      </c>
      <c r="G1048" s="2" t="s">
        <v>53</v>
      </c>
      <c r="H1048" s="4">
        <v>1</v>
      </c>
      <c r="I1048" s="4">
        <v>1</v>
      </c>
      <c r="J1048" s="5">
        <v>175000</v>
      </c>
      <c r="K1048" s="2" t="s">
        <v>1252</v>
      </c>
      <c r="L1048" s="5">
        <v>328475</v>
      </c>
      <c r="M1048" s="2" t="s">
        <v>55</v>
      </c>
      <c r="N1048" s="2" t="s">
        <v>1253</v>
      </c>
      <c r="O1048" s="2" t="s">
        <v>1254</v>
      </c>
      <c r="P1048" s="2" t="s">
        <v>9140</v>
      </c>
      <c r="Q1048" s="2" t="s">
        <v>9141</v>
      </c>
      <c r="R1048" s="2" t="s">
        <v>9125</v>
      </c>
      <c r="T1048" s="2" t="s">
        <v>9126</v>
      </c>
      <c r="U1048" s="2" t="s">
        <v>9127</v>
      </c>
      <c r="V1048" s="2" t="s">
        <v>9128</v>
      </c>
      <c r="W1048" s="2" t="s">
        <v>9129</v>
      </c>
      <c r="X1048" s="2" t="s">
        <v>9130</v>
      </c>
      <c r="Y1048" s="2" t="s">
        <v>9131</v>
      </c>
      <c r="Z1048" s="2" t="s">
        <v>9132</v>
      </c>
      <c r="AA1048" s="2" t="s">
        <v>6861</v>
      </c>
      <c r="AC1048" s="2" t="s">
        <v>2842</v>
      </c>
      <c r="AD1048" s="2" t="s">
        <v>9133</v>
      </c>
      <c r="AE1048" s="2" t="s">
        <v>96</v>
      </c>
      <c r="AF1048" s="2" t="s">
        <v>70</v>
      </c>
      <c r="AG1048" s="2" t="s">
        <v>9135</v>
      </c>
      <c r="AK1048" s="2" t="s">
        <v>9136</v>
      </c>
      <c r="AM1048" s="2" t="s">
        <v>72</v>
      </c>
      <c r="AN1048" s="2" t="s">
        <v>473</v>
      </c>
      <c r="AP1048" s="2" t="s">
        <v>4449</v>
      </c>
      <c r="AU1048" s="2" t="s">
        <v>75</v>
      </c>
      <c r="AV1048" s="2" t="s">
        <v>9138</v>
      </c>
      <c r="AW1048" s="2" t="s">
        <v>9139</v>
      </c>
      <c r="AX1048" s="2" t="s">
        <v>477</v>
      </c>
      <c r="AZ1048" s="2" t="s">
        <v>4750</v>
      </c>
    </row>
    <row r="1049" spans="1:52" s="3" customFormat="1" x14ac:dyDescent="0.35">
      <c r="A1049" s="2" t="s">
        <v>9121</v>
      </c>
      <c r="B1049" s="4">
        <v>241166</v>
      </c>
      <c r="C1049" s="2" t="s">
        <v>9122</v>
      </c>
      <c r="D1049" s="2">
        <f t="shared" si="16"/>
        <v>1</v>
      </c>
      <c r="F1049" s="2" t="s">
        <v>7682</v>
      </c>
      <c r="G1049" s="2" t="s">
        <v>53</v>
      </c>
      <c r="H1049" s="4">
        <v>50</v>
      </c>
      <c r="I1049" s="4">
        <v>1</v>
      </c>
      <c r="J1049" s="4">
        <v>0</v>
      </c>
      <c r="K1049" s="2" t="s">
        <v>1252</v>
      </c>
      <c r="L1049" s="5">
        <v>328475</v>
      </c>
      <c r="M1049" s="2" t="s">
        <v>55</v>
      </c>
      <c r="N1049" s="2" t="s">
        <v>1253</v>
      </c>
      <c r="O1049" s="2" t="s">
        <v>1254</v>
      </c>
      <c r="P1049" s="2" t="s">
        <v>9142</v>
      </c>
      <c r="Q1049" s="2" t="s">
        <v>9143</v>
      </c>
      <c r="R1049" s="2" t="s">
        <v>9125</v>
      </c>
      <c r="T1049" s="2" t="s">
        <v>9126</v>
      </c>
      <c r="U1049" s="2" t="s">
        <v>9127</v>
      </c>
      <c r="V1049" s="2" t="s">
        <v>9128</v>
      </c>
      <c r="W1049" s="2" t="s">
        <v>9129</v>
      </c>
      <c r="X1049" s="2" t="s">
        <v>9130</v>
      </c>
      <c r="Y1049" s="2" t="s">
        <v>9131</v>
      </c>
      <c r="Z1049" s="2" t="s">
        <v>9132</v>
      </c>
      <c r="AA1049" s="2" t="s">
        <v>6861</v>
      </c>
      <c r="AC1049" s="2" t="s">
        <v>2842</v>
      </c>
      <c r="AD1049" s="2" t="s">
        <v>9133</v>
      </c>
      <c r="AE1049" s="2" t="s">
        <v>96</v>
      </c>
      <c r="AF1049" s="2" t="s">
        <v>70</v>
      </c>
      <c r="AG1049" s="2" t="s">
        <v>9135</v>
      </c>
      <c r="AK1049" s="2" t="s">
        <v>9136</v>
      </c>
      <c r="AM1049" s="2" t="s">
        <v>72</v>
      </c>
      <c r="AN1049" s="2" t="s">
        <v>473</v>
      </c>
      <c r="AP1049" s="2" t="s">
        <v>5883</v>
      </c>
      <c r="AU1049" s="2" t="s">
        <v>75</v>
      </c>
      <c r="AV1049" s="2" t="s">
        <v>9138</v>
      </c>
      <c r="AW1049" s="2" t="s">
        <v>9139</v>
      </c>
      <c r="AX1049" s="2" t="s">
        <v>477</v>
      </c>
      <c r="AZ1049" s="2" t="s">
        <v>4750</v>
      </c>
    </row>
    <row r="1050" spans="1:52" s="3" customFormat="1" x14ac:dyDescent="0.35">
      <c r="A1050" s="2" t="s">
        <v>9144</v>
      </c>
      <c r="B1050" s="4">
        <v>241151</v>
      </c>
      <c r="C1050" s="2" t="s">
        <v>9145</v>
      </c>
      <c r="D1050" s="2">
        <f t="shared" si="16"/>
        <v>1</v>
      </c>
      <c r="F1050" s="2" t="s">
        <v>9105</v>
      </c>
      <c r="G1050" s="2" t="s">
        <v>53</v>
      </c>
      <c r="H1050" s="4">
        <v>1</v>
      </c>
      <c r="I1050" s="4">
        <v>1</v>
      </c>
      <c r="J1050" s="4">
        <v>0</v>
      </c>
      <c r="L1050" s="4">
        <v>0</v>
      </c>
      <c r="M1050" s="2" t="s">
        <v>55</v>
      </c>
      <c r="N1050" s="2" t="s">
        <v>56</v>
      </c>
      <c r="O1050" s="2" t="s">
        <v>57</v>
      </c>
      <c r="P1050" s="2" t="s">
        <v>3131</v>
      </c>
      <c r="Q1050" s="2" t="s">
        <v>3132</v>
      </c>
      <c r="R1050" s="2" t="s">
        <v>9146</v>
      </c>
      <c r="S1050" s="2" t="s">
        <v>7323</v>
      </c>
      <c r="V1050" s="2" t="s">
        <v>9147</v>
      </c>
      <c r="W1050" s="2" t="s">
        <v>9148</v>
      </c>
      <c r="Y1050" s="2" t="s">
        <v>64</v>
      </c>
      <c r="Z1050" s="2" t="s">
        <v>65</v>
      </c>
      <c r="AA1050" s="2" t="s">
        <v>66</v>
      </c>
      <c r="AB1050" s="2" t="s">
        <v>7494</v>
      </c>
      <c r="AC1050" s="2" t="s">
        <v>67</v>
      </c>
      <c r="AD1050" s="2" t="s">
        <v>68</v>
      </c>
      <c r="AE1050" s="2" t="s">
        <v>69</v>
      </c>
      <c r="AF1050" s="2" t="s">
        <v>70</v>
      </c>
      <c r="AG1050" s="2" t="s">
        <v>9149</v>
      </c>
      <c r="AK1050" s="2" t="s">
        <v>9150</v>
      </c>
      <c r="AM1050" s="2" t="s">
        <v>72</v>
      </c>
      <c r="AN1050" s="2" t="s">
        <v>344</v>
      </c>
      <c r="AP1050" s="2" t="s">
        <v>3144</v>
      </c>
      <c r="AT1050" s="2" t="s">
        <v>114</v>
      </c>
      <c r="AU1050" s="2" t="s">
        <v>75</v>
      </c>
      <c r="AW1050" s="2" t="s">
        <v>7333</v>
      </c>
      <c r="AZ1050" s="2" t="s">
        <v>116</v>
      </c>
    </row>
    <row r="1051" spans="1:52" s="3" customFormat="1" x14ac:dyDescent="0.35">
      <c r="A1051" s="2" t="s">
        <v>9151</v>
      </c>
      <c r="B1051" s="4">
        <v>241144</v>
      </c>
      <c r="C1051" s="2" t="s">
        <v>9152</v>
      </c>
      <c r="D1051" s="2">
        <f t="shared" si="16"/>
        <v>1</v>
      </c>
      <c r="G1051" s="2" t="s">
        <v>53</v>
      </c>
      <c r="H1051" s="4">
        <v>1</v>
      </c>
      <c r="I1051" s="4">
        <v>1</v>
      </c>
      <c r="J1051" s="4">
        <v>0</v>
      </c>
      <c r="L1051" s="4">
        <v>0</v>
      </c>
      <c r="M1051" s="2" t="s">
        <v>55</v>
      </c>
      <c r="N1051" s="2" t="s">
        <v>56</v>
      </c>
      <c r="O1051" s="2" t="s">
        <v>57</v>
      </c>
      <c r="P1051" s="2" t="s">
        <v>5155</v>
      </c>
      <c r="Q1051" s="2" t="s">
        <v>5156</v>
      </c>
      <c r="R1051" s="2" t="s">
        <v>9153</v>
      </c>
      <c r="S1051" s="2" t="s">
        <v>9154</v>
      </c>
      <c r="V1051" s="2" t="s">
        <v>9155</v>
      </c>
      <c r="W1051" s="2" t="s">
        <v>5142</v>
      </c>
      <c r="Y1051" s="2" t="s">
        <v>64</v>
      </c>
      <c r="Z1051" s="2" t="s">
        <v>65</v>
      </c>
      <c r="AA1051" s="2" t="s">
        <v>66</v>
      </c>
      <c r="AC1051" s="2" t="s">
        <v>67</v>
      </c>
      <c r="AD1051" s="2" t="s">
        <v>68</v>
      </c>
      <c r="AE1051" s="2" t="s">
        <v>69</v>
      </c>
      <c r="AF1051" s="2" t="s">
        <v>70</v>
      </c>
      <c r="AG1051" s="2" t="s">
        <v>5159</v>
      </c>
      <c r="AK1051" s="2" t="s">
        <v>9156</v>
      </c>
      <c r="AM1051" s="2" t="s">
        <v>72</v>
      </c>
      <c r="AN1051" s="2" t="s">
        <v>1046</v>
      </c>
      <c r="AP1051" s="2" t="s">
        <v>5106</v>
      </c>
      <c r="AU1051" s="2" t="s">
        <v>75</v>
      </c>
      <c r="AW1051" s="2" t="s">
        <v>9157</v>
      </c>
      <c r="AZ1051" s="2" t="s">
        <v>116</v>
      </c>
    </row>
    <row r="1052" spans="1:52" s="3" customFormat="1" x14ac:dyDescent="0.35">
      <c r="A1052" s="2" t="s">
        <v>9158</v>
      </c>
      <c r="B1052" s="4">
        <v>240993</v>
      </c>
      <c r="C1052" s="2" t="s">
        <v>9159</v>
      </c>
      <c r="D1052" s="2">
        <f t="shared" si="16"/>
        <v>1</v>
      </c>
      <c r="F1052" s="2" t="s">
        <v>9160</v>
      </c>
      <c r="G1052" s="2" t="s">
        <v>53</v>
      </c>
      <c r="H1052" s="4">
        <v>1</v>
      </c>
      <c r="I1052" s="4">
        <v>0</v>
      </c>
      <c r="J1052" s="4">
        <v>0</v>
      </c>
      <c r="L1052" s="4">
        <v>0</v>
      </c>
      <c r="N1052" s="2" t="s">
        <v>56</v>
      </c>
      <c r="O1052" s="2" t="s">
        <v>57</v>
      </c>
      <c r="P1052" s="2" t="s">
        <v>4619</v>
      </c>
      <c r="Q1052" s="2" t="s">
        <v>4620</v>
      </c>
      <c r="R1052" s="2" t="s">
        <v>9161</v>
      </c>
      <c r="S1052" s="2" t="s">
        <v>9162</v>
      </c>
      <c r="V1052" s="2" t="s">
        <v>9163</v>
      </c>
      <c r="W1052" s="2" t="s">
        <v>9164</v>
      </c>
      <c r="Y1052" s="2" t="s">
        <v>9165</v>
      </c>
      <c r="Z1052" s="2" t="s">
        <v>9166</v>
      </c>
      <c r="AA1052" s="2" t="s">
        <v>6017</v>
      </c>
      <c r="AB1052" s="2" t="s">
        <v>9167</v>
      </c>
      <c r="AC1052" s="2" t="s">
        <v>9168</v>
      </c>
      <c r="AD1052" s="2" t="s">
        <v>3756</v>
      </c>
      <c r="AE1052" s="2" t="s">
        <v>2980</v>
      </c>
      <c r="AF1052" s="2" t="s">
        <v>70</v>
      </c>
      <c r="AK1052" s="2" t="s">
        <v>9169</v>
      </c>
      <c r="AL1052" s="2" t="s">
        <v>9170</v>
      </c>
      <c r="AM1052" s="2" t="s">
        <v>72</v>
      </c>
      <c r="AN1052" s="2" t="s">
        <v>73</v>
      </c>
      <c r="AP1052" s="2" t="s">
        <v>3341</v>
      </c>
      <c r="AT1052" s="2" t="s">
        <v>114</v>
      </c>
      <c r="AU1052" s="2" t="s">
        <v>75</v>
      </c>
      <c r="AW1052" s="2" t="s">
        <v>9171</v>
      </c>
      <c r="AZ1052" s="2" t="s">
        <v>116</v>
      </c>
    </row>
    <row r="1053" spans="1:52" s="3" customFormat="1" x14ac:dyDescent="0.35">
      <c r="A1053" s="2" t="s">
        <v>9172</v>
      </c>
      <c r="B1053" s="4">
        <v>240931</v>
      </c>
      <c r="C1053" s="2" t="s">
        <v>9173</v>
      </c>
      <c r="D1053" s="2">
        <f t="shared" si="16"/>
        <v>1</v>
      </c>
      <c r="G1053" s="2" t="s">
        <v>53</v>
      </c>
      <c r="H1053" s="4">
        <v>1</v>
      </c>
      <c r="I1053" s="4">
        <v>1</v>
      </c>
      <c r="J1053" s="4">
        <v>0</v>
      </c>
      <c r="L1053" s="4">
        <v>0</v>
      </c>
      <c r="M1053" s="2" t="s">
        <v>55</v>
      </c>
      <c r="N1053" s="2" t="s">
        <v>56</v>
      </c>
      <c r="O1053" s="2" t="s">
        <v>57</v>
      </c>
      <c r="P1053" s="2" t="s">
        <v>9174</v>
      </c>
      <c r="Q1053" s="2" t="s">
        <v>9175</v>
      </c>
      <c r="R1053" s="2" t="s">
        <v>5255</v>
      </c>
      <c r="S1053" s="2" t="s">
        <v>5256</v>
      </c>
      <c r="V1053" s="2" t="s">
        <v>4418</v>
      </c>
      <c r="W1053" s="2" t="s">
        <v>5257</v>
      </c>
      <c r="Y1053" s="2" t="s">
        <v>64</v>
      </c>
      <c r="Z1053" s="2" t="s">
        <v>65</v>
      </c>
      <c r="AA1053" s="2" t="s">
        <v>66</v>
      </c>
      <c r="AC1053" s="2" t="s">
        <v>67</v>
      </c>
      <c r="AD1053" s="2" t="s">
        <v>68</v>
      </c>
      <c r="AE1053" s="2" t="s">
        <v>69</v>
      </c>
      <c r="AF1053" s="2" t="s">
        <v>70</v>
      </c>
      <c r="AG1053" s="2" t="s">
        <v>9174</v>
      </c>
      <c r="AK1053" s="2" t="s">
        <v>9176</v>
      </c>
      <c r="AM1053" s="2" t="s">
        <v>72</v>
      </c>
      <c r="AN1053" s="2" t="s">
        <v>73</v>
      </c>
      <c r="AP1053" s="2" t="s">
        <v>9160</v>
      </c>
      <c r="AU1053" s="2" t="s">
        <v>75</v>
      </c>
      <c r="AW1053" s="2" t="s">
        <v>5259</v>
      </c>
      <c r="AZ1053" s="2" t="s">
        <v>116</v>
      </c>
    </row>
    <row r="1054" spans="1:52" s="3" customFormat="1" x14ac:dyDescent="0.35">
      <c r="A1054" s="2" t="s">
        <v>9177</v>
      </c>
      <c r="B1054" s="4">
        <v>240927</v>
      </c>
      <c r="C1054" s="2" t="s">
        <v>9178</v>
      </c>
      <c r="D1054" s="2">
        <f t="shared" si="16"/>
        <v>1</v>
      </c>
      <c r="G1054" s="2" t="s">
        <v>53</v>
      </c>
      <c r="H1054" s="4">
        <v>1</v>
      </c>
      <c r="I1054" s="4">
        <v>1</v>
      </c>
      <c r="J1054" s="4">
        <v>0</v>
      </c>
      <c r="L1054" s="4">
        <v>0</v>
      </c>
      <c r="M1054" s="2" t="s">
        <v>55</v>
      </c>
      <c r="N1054" s="2" t="s">
        <v>56</v>
      </c>
      <c r="O1054" s="2" t="s">
        <v>57</v>
      </c>
      <c r="P1054" s="2" t="s">
        <v>9174</v>
      </c>
      <c r="Q1054" s="2" t="s">
        <v>9175</v>
      </c>
      <c r="R1054" s="2" t="s">
        <v>9179</v>
      </c>
      <c r="S1054" s="2" t="s">
        <v>9180</v>
      </c>
      <c r="V1054" s="2" t="s">
        <v>9181</v>
      </c>
      <c r="W1054" s="2" t="s">
        <v>9182</v>
      </c>
      <c r="Y1054" s="2" t="s">
        <v>64</v>
      </c>
      <c r="Z1054" s="2" t="s">
        <v>65</v>
      </c>
      <c r="AA1054" s="2" t="s">
        <v>66</v>
      </c>
      <c r="AC1054" s="2" t="s">
        <v>67</v>
      </c>
      <c r="AD1054" s="2" t="s">
        <v>68</v>
      </c>
      <c r="AE1054" s="2" t="s">
        <v>69</v>
      </c>
      <c r="AF1054" s="2" t="s">
        <v>70</v>
      </c>
      <c r="AG1054" s="2" t="s">
        <v>9174</v>
      </c>
      <c r="AK1054" s="2" t="s">
        <v>9183</v>
      </c>
      <c r="AM1054" s="2" t="s">
        <v>72</v>
      </c>
      <c r="AN1054" s="2" t="s">
        <v>283</v>
      </c>
      <c r="AP1054" s="2" t="s">
        <v>9160</v>
      </c>
      <c r="AU1054" s="2" t="s">
        <v>75</v>
      </c>
      <c r="AW1054" s="2" t="s">
        <v>9184</v>
      </c>
      <c r="AZ1054" s="2" t="s">
        <v>116</v>
      </c>
    </row>
    <row r="1055" spans="1:52" s="3" customFormat="1" x14ac:dyDescent="0.35">
      <c r="A1055" s="2" t="s">
        <v>9185</v>
      </c>
      <c r="B1055" s="4">
        <v>240918</v>
      </c>
      <c r="C1055" s="2" t="s">
        <v>9186</v>
      </c>
      <c r="D1055" s="2">
        <f t="shared" si="16"/>
        <v>1</v>
      </c>
      <c r="F1055" s="2" t="s">
        <v>6881</v>
      </c>
      <c r="G1055" s="2" t="s">
        <v>53</v>
      </c>
      <c r="H1055" s="4">
        <v>1</v>
      </c>
      <c r="I1055" s="4">
        <v>1</v>
      </c>
      <c r="J1055" s="5">
        <v>325000</v>
      </c>
      <c r="K1055" s="2" t="s">
        <v>1252</v>
      </c>
      <c r="L1055" s="5">
        <v>1220050</v>
      </c>
      <c r="M1055" s="2" t="s">
        <v>55</v>
      </c>
      <c r="N1055" s="2" t="s">
        <v>1253</v>
      </c>
      <c r="O1055" s="2" t="s">
        <v>1254</v>
      </c>
      <c r="P1055" s="2" t="s">
        <v>9187</v>
      </c>
      <c r="Q1055" s="2" t="s">
        <v>9188</v>
      </c>
      <c r="R1055" s="2" t="s">
        <v>9189</v>
      </c>
      <c r="T1055" s="2" t="s">
        <v>9190</v>
      </c>
      <c r="U1055" s="2" t="s">
        <v>9191</v>
      </c>
      <c r="V1055" s="2" t="s">
        <v>9192</v>
      </c>
      <c r="W1055" s="2" t="s">
        <v>9193</v>
      </c>
      <c r="X1055" s="2" t="s">
        <v>9194</v>
      </c>
      <c r="Y1055" s="2" t="s">
        <v>9195</v>
      </c>
      <c r="Z1055" s="2" t="s">
        <v>9196</v>
      </c>
      <c r="AA1055" s="2" t="s">
        <v>9197</v>
      </c>
      <c r="AC1055" s="2" t="s">
        <v>9198</v>
      </c>
      <c r="AD1055" s="2" t="s">
        <v>5467</v>
      </c>
      <c r="AE1055" s="2" t="s">
        <v>1362</v>
      </c>
      <c r="AF1055" s="2" t="s">
        <v>70</v>
      </c>
      <c r="AG1055" s="2" t="s">
        <v>9199</v>
      </c>
      <c r="AK1055" s="2" t="s">
        <v>9200</v>
      </c>
      <c r="AM1055" s="2" t="s">
        <v>72</v>
      </c>
      <c r="AN1055" s="2" t="s">
        <v>473</v>
      </c>
      <c r="AP1055" s="2" t="s">
        <v>6459</v>
      </c>
      <c r="AU1055" s="2" t="s">
        <v>75</v>
      </c>
      <c r="AV1055" s="2" t="s">
        <v>9201</v>
      </c>
      <c r="AW1055" s="2" t="s">
        <v>9202</v>
      </c>
      <c r="AX1055" s="2" t="s">
        <v>77</v>
      </c>
      <c r="AZ1055" s="2" t="s">
        <v>77</v>
      </c>
    </row>
    <row r="1056" spans="1:52" s="3" customFormat="1" x14ac:dyDescent="0.35">
      <c r="A1056" s="2" t="s">
        <v>9185</v>
      </c>
      <c r="B1056" s="4">
        <v>240918</v>
      </c>
      <c r="C1056" s="2" t="s">
        <v>9186</v>
      </c>
      <c r="D1056" s="2">
        <f t="shared" si="16"/>
        <v>1</v>
      </c>
      <c r="F1056" s="2" t="s">
        <v>6881</v>
      </c>
      <c r="G1056" s="2" t="s">
        <v>53</v>
      </c>
      <c r="H1056" s="4">
        <v>1</v>
      </c>
      <c r="I1056" s="4">
        <v>1</v>
      </c>
      <c r="J1056" s="5">
        <v>325000</v>
      </c>
      <c r="K1056" s="2" t="s">
        <v>1252</v>
      </c>
      <c r="L1056" s="5">
        <v>1220050</v>
      </c>
      <c r="M1056" s="2" t="s">
        <v>55</v>
      </c>
      <c r="N1056" s="2" t="s">
        <v>1253</v>
      </c>
      <c r="O1056" s="2" t="s">
        <v>1254</v>
      </c>
      <c r="P1056" s="2" t="s">
        <v>9187</v>
      </c>
      <c r="Q1056" s="2" t="s">
        <v>9203</v>
      </c>
      <c r="R1056" s="2" t="s">
        <v>9189</v>
      </c>
      <c r="T1056" s="2" t="s">
        <v>9190</v>
      </c>
      <c r="U1056" s="2" t="s">
        <v>9191</v>
      </c>
      <c r="V1056" s="2" t="s">
        <v>9192</v>
      </c>
      <c r="W1056" s="2" t="s">
        <v>9193</v>
      </c>
      <c r="X1056" s="2" t="s">
        <v>9194</v>
      </c>
      <c r="Y1056" s="2" t="s">
        <v>9195</v>
      </c>
      <c r="Z1056" s="2" t="s">
        <v>9196</v>
      </c>
      <c r="AA1056" s="2" t="s">
        <v>9197</v>
      </c>
      <c r="AC1056" s="2" t="s">
        <v>9198</v>
      </c>
      <c r="AD1056" s="2" t="s">
        <v>5467</v>
      </c>
      <c r="AE1056" s="2" t="s">
        <v>1362</v>
      </c>
      <c r="AF1056" s="2" t="s">
        <v>70</v>
      </c>
      <c r="AG1056" s="2" t="s">
        <v>9199</v>
      </c>
      <c r="AK1056" s="2" t="s">
        <v>9200</v>
      </c>
      <c r="AM1056" s="2" t="s">
        <v>72</v>
      </c>
      <c r="AN1056" s="2" t="s">
        <v>473</v>
      </c>
      <c r="AP1056" s="2" t="s">
        <v>7188</v>
      </c>
      <c r="AU1056" s="2" t="s">
        <v>75</v>
      </c>
      <c r="AV1056" s="2" t="s">
        <v>9201</v>
      </c>
      <c r="AW1056" s="2" t="s">
        <v>9202</v>
      </c>
      <c r="AX1056" s="2" t="s">
        <v>77</v>
      </c>
      <c r="AZ1056" s="2" t="s">
        <v>77</v>
      </c>
    </row>
    <row r="1057" spans="1:52" s="3" customFormat="1" x14ac:dyDescent="0.35">
      <c r="A1057" s="2" t="s">
        <v>9185</v>
      </c>
      <c r="B1057" s="4">
        <v>240918</v>
      </c>
      <c r="C1057" s="2" t="s">
        <v>9186</v>
      </c>
      <c r="D1057" s="2">
        <f t="shared" si="16"/>
        <v>1</v>
      </c>
      <c r="F1057" s="2" t="s">
        <v>6881</v>
      </c>
      <c r="G1057" s="2" t="s">
        <v>53</v>
      </c>
      <c r="H1057" s="4">
        <v>1</v>
      </c>
      <c r="I1057" s="4">
        <v>1</v>
      </c>
      <c r="J1057" s="5">
        <v>325000</v>
      </c>
      <c r="K1057" s="2" t="s">
        <v>1252</v>
      </c>
      <c r="L1057" s="5">
        <v>1220050</v>
      </c>
      <c r="M1057" s="2" t="s">
        <v>55</v>
      </c>
      <c r="N1057" s="2" t="s">
        <v>1253</v>
      </c>
      <c r="O1057" s="2" t="s">
        <v>1254</v>
      </c>
      <c r="P1057" s="2" t="s">
        <v>9187</v>
      </c>
      <c r="Q1057" s="2" t="s">
        <v>9204</v>
      </c>
      <c r="R1057" s="2" t="s">
        <v>9189</v>
      </c>
      <c r="T1057" s="2" t="s">
        <v>9190</v>
      </c>
      <c r="U1057" s="2" t="s">
        <v>9191</v>
      </c>
      <c r="V1057" s="2" t="s">
        <v>9192</v>
      </c>
      <c r="W1057" s="2" t="s">
        <v>9193</v>
      </c>
      <c r="X1057" s="2" t="s">
        <v>9194</v>
      </c>
      <c r="Y1057" s="2" t="s">
        <v>9195</v>
      </c>
      <c r="Z1057" s="2" t="s">
        <v>9196</v>
      </c>
      <c r="AA1057" s="2" t="s">
        <v>9197</v>
      </c>
      <c r="AC1057" s="2" t="s">
        <v>9198</v>
      </c>
      <c r="AD1057" s="2" t="s">
        <v>5467</v>
      </c>
      <c r="AE1057" s="2" t="s">
        <v>1362</v>
      </c>
      <c r="AF1057" s="2" t="s">
        <v>70</v>
      </c>
      <c r="AG1057" s="2" t="s">
        <v>9199</v>
      </c>
      <c r="AK1057" s="2" t="s">
        <v>9200</v>
      </c>
      <c r="AM1057" s="2" t="s">
        <v>72</v>
      </c>
      <c r="AN1057" s="2" t="s">
        <v>473</v>
      </c>
      <c r="AP1057" s="2" t="s">
        <v>9205</v>
      </c>
      <c r="AU1057" s="2" t="s">
        <v>75</v>
      </c>
      <c r="AV1057" s="2" t="s">
        <v>9201</v>
      </c>
      <c r="AW1057" s="2" t="s">
        <v>9202</v>
      </c>
      <c r="AX1057" s="2" t="s">
        <v>77</v>
      </c>
      <c r="AZ1057" s="2" t="s">
        <v>77</v>
      </c>
    </row>
    <row r="1058" spans="1:52" s="3" customFormat="1" x14ac:dyDescent="0.35">
      <c r="A1058" s="2" t="s">
        <v>9185</v>
      </c>
      <c r="B1058" s="4">
        <v>240918</v>
      </c>
      <c r="C1058" s="2" t="s">
        <v>9186</v>
      </c>
      <c r="D1058" s="2">
        <f t="shared" si="16"/>
        <v>1</v>
      </c>
      <c r="F1058" s="2" t="s">
        <v>6881</v>
      </c>
      <c r="G1058" s="2" t="s">
        <v>53</v>
      </c>
      <c r="H1058" s="4">
        <v>1</v>
      </c>
      <c r="I1058" s="4">
        <v>1</v>
      </c>
      <c r="J1058" s="5">
        <v>325000</v>
      </c>
      <c r="K1058" s="2" t="s">
        <v>1252</v>
      </c>
      <c r="L1058" s="5">
        <v>1220050</v>
      </c>
      <c r="M1058" s="2" t="s">
        <v>55</v>
      </c>
      <c r="N1058" s="2" t="s">
        <v>1253</v>
      </c>
      <c r="O1058" s="2" t="s">
        <v>1254</v>
      </c>
      <c r="P1058" s="2" t="s">
        <v>9187</v>
      </c>
      <c r="Q1058" s="2" t="s">
        <v>9206</v>
      </c>
      <c r="R1058" s="2" t="s">
        <v>9189</v>
      </c>
      <c r="T1058" s="2" t="s">
        <v>9190</v>
      </c>
      <c r="U1058" s="2" t="s">
        <v>9191</v>
      </c>
      <c r="V1058" s="2" t="s">
        <v>9192</v>
      </c>
      <c r="W1058" s="2" t="s">
        <v>9193</v>
      </c>
      <c r="X1058" s="2" t="s">
        <v>9194</v>
      </c>
      <c r="Y1058" s="2" t="s">
        <v>9195</v>
      </c>
      <c r="Z1058" s="2" t="s">
        <v>9196</v>
      </c>
      <c r="AA1058" s="2" t="s">
        <v>9197</v>
      </c>
      <c r="AC1058" s="2" t="s">
        <v>9198</v>
      </c>
      <c r="AD1058" s="2" t="s">
        <v>5467</v>
      </c>
      <c r="AE1058" s="2" t="s">
        <v>1362</v>
      </c>
      <c r="AF1058" s="2" t="s">
        <v>70</v>
      </c>
      <c r="AG1058" s="2" t="s">
        <v>9199</v>
      </c>
      <c r="AK1058" s="2" t="s">
        <v>9200</v>
      </c>
      <c r="AM1058" s="2" t="s">
        <v>72</v>
      </c>
      <c r="AN1058" s="2" t="s">
        <v>473</v>
      </c>
      <c r="AP1058" s="2" t="s">
        <v>2563</v>
      </c>
      <c r="AU1058" s="2" t="s">
        <v>75</v>
      </c>
      <c r="AV1058" s="2" t="s">
        <v>9201</v>
      </c>
      <c r="AW1058" s="2" t="s">
        <v>9202</v>
      </c>
      <c r="AX1058" s="2" t="s">
        <v>77</v>
      </c>
      <c r="AZ1058" s="2" t="s">
        <v>77</v>
      </c>
    </row>
    <row r="1059" spans="1:52" s="3" customFormat="1" x14ac:dyDescent="0.35">
      <c r="A1059" s="2" t="s">
        <v>9207</v>
      </c>
      <c r="B1059" s="4">
        <v>240890</v>
      </c>
      <c r="C1059" s="2" t="s">
        <v>9208</v>
      </c>
      <c r="D1059" s="2">
        <f t="shared" si="16"/>
        <v>1</v>
      </c>
      <c r="F1059" s="2" t="s">
        <v>6881</v>
      </c>
      <c r="G1059" s="2" t="s">
        <v>53</v>
      </c>
      <c r="H1059" s="4">
        <v>35</v>
      </c>
      <c r="I1059" s="4">
        <v>1</v>
      </c>
      <c r="J1059" s="5">
        <v>275000</v>
      </c>
      <c r="K1059" s="2" t="s">
        <v>1252</v>
      </c>
      <c r="L1059" s="5">
        <v>516175</v>
      </c>
      <c r="M1059" s="2" t="s">
        <v>55</v>
      </c>
      <c r="N1059" s="2" t="s">
        <v>1253</v>
      </c>
      <c r="O1059" s="2" t="s">
        <v>1254</v>
      </c>
      <c r="P1059" s="2" t="s">
        <v>9209</v>
      </c>
      <c r="Q1059" s="2" t="s">
        <v>9210</v>
      </c>
      <c r="R1059" s="2" t="s">
        <v>9211</v>
      </c>
      <c r="T1059" s="2" t="s">
        <v>9212</v>
      </c>
      <c r="U1059" s="2" t="s">
        <v>9213</v>
      </c>
      <c r="V1059" s="2" t="s">
        <v>9214</v>
      </c>
      <c r="W1059" s="2" t="s">
        <v>9215</v>
      </c>
      <c r="X1059" s="2" t="s">
        <v>9216</v>
      </c>
      <c r="Y1059" s="2" t="s">
        <v>9217</v>
      </c>
      <c r="Z1059" s="2" t="s">
        <v>3210</v>
      </c>
      <c r="AA1059" s="2" t="s">
        <v>9218</v>
      </c>
      <c r="AB1059" s="2" t="s">
        <v>9219</v>
      </c>
      <c r="AC1059" s="2" t="s">
        <v>3213</v>
      </c>
      <c r="AD1059" s="2" t="s">
        <v>68</v>
      </c>
      <c r="AE1059" s="2" t="s">
        <v>69</v>
      </c>
      <c r="AF1059" s="2" t="s">
        <v>70</v>
      </c>
      <c r="AG1059" s="2" t="s">
        <v>9220</v>
      </c>
      <c r="AK1059" s="2" t="s">
        <v>9221</v>
      </c>
      <c r="AM1059" s="2" t="s">
        <v>72</v>
      </c>
      <c r="AN1059" s="2" t="s">
        <v>1383</v>
      </c>
      <c r="AP1059" s="2" t="s">
        <v>5540</v>
      </c>
      <c r="AT1059" s="2" t="s">
        <v>9222</v>
      </c>
      <c r="AU1059" s="2" t="s">
        <v>75</v>
      </c>
      <c r="AV1059" s="2" t="s">
        <v>9223</v>
      </c>
      <c r="AW1059" s="2" t="s">
        <v>9224</v>
      </c>
      <c r="AX1059" s="2" t="s">
        <v>477</v>
      </c>
      <c r="AZ1059" s="2" t="s">
        <v>4750</v>
      </c>
    </row>
    <row r="1060" spans="1:52" s="3" customFormat="1" x14ac:dyDescent="0.35">
      <c r="A1060" s="2" t="s">
        <v>9207</v>
      </c>
      <c r="B1060" s="4">
        <v>240890</v>
      </c>
      <c r="C1060" s="2" t="s">
        <v>9208</v>
      </c>
      <c r="D1060" s="2">
        <f t="shared" si="16"/>
        <v>1</v>
      </c>
      <c r="F1060" s="2" t="s">
        <v>6881</v>
      </c>
      <c r="G1060" s="2" t="s">
        <v>53</v>
      </c>
      <c r="H1060" s="4">
        <v>1</v>
      </c>
      <c r="I1060" s="4">
        <v>1</v>
      </c>
      <c r="J1060" s="5">
        <v>27500</v>
      </c>
      <c r="K1060" s="2" t="s">
        <v>1252</v>
      </c>
      <c r="L1060" s="5">
        <v>516175</v>
      </c>
      <c r="M1060" s="2" t="s">
        <v>55</v>
      </c>
      <c r="N1060" s="2" t="s">
        <v>1253</v>
      </c>
      <c r="O1060" s="2" t="s">
        <v>1254</v>
      </c>
      <c r="P1060" s="2" t="s">
        <v>9225</v>
      </c>
      <c r="Q1060" s="2" t="s">
        <v>9226</v>
      </c>
      <c r="R1060" s="2" t="s">
        <v>9211</v>
      </c>
      <c r="T1060" s="2" t="s">
        <v>9212</v>
      </c>
      <c r="U1060" s="2" t="s">
        <v>9213</v>
      </c>
      <c r="V1060" s="2" t="s">
        <v>9214</v>
      </c>
      <c r="W1060" s="2" t="s">
        <v>9215</v>
      </c>
      <c r="X1060" s="2" t="s">
        <v>9216</v>
      </c>
      <c r="Y1060" s="2" t="s">
        <v>9217</v>
      </c>
      <c r="Z1060" s="2" t="s">
        <v>3210</v>
      </c>
      <c r="AA1060" s="2" t="s">
        <v>9218</v>
      </c>
      <c r="AB1060" s="2" t="s">
        <v>9219</v>
      </c>
      <c r="AC1060" s="2" t="s">
        <v>3213</v>
      </c>
      <c r="AD1060" s="2" t="s">
        <v>68</v>
      </c>
      <c r="AE1060" s="2" t="s">
        <v>69</v>
      </c>
      <c r="AF1060" s="2" t="s">
        <v>70</v>
      </c>
      <c r="AG1060" s="2" t="s">
        <v>9220</v>
      </c>
      <c r="AK1060" s="2" t="s">
        <v>9221</v>
      </c>
      <c r="AM1060" s="2" t="s">
        <v>72</v>
      </c>
      <c r="AN1060" s="2" t="s">
        <v>1383</v>
      </c>
      <c r="AP1060" s="2" t="s">
        <v>9227</v>
      </c>
      <c r="AT1060" s="2" t="s">
        <v>9222</v>
      </c>
      <c r="AU1060" s="2" t="s">
        <v>75</v>
      </c>
      <c r="AV1060" s="2" t="s">
        <v>9223</v>
      </c>
      <c r="AW1060" s="2" t="s">
        <v>9224</v>
      </c>
      <c r="AX1060" s="2" t="s">
        <v>477</v>
      </c>
      <c r="AZ1060" s="2" t="s">
        <v>4750</v>
      </c>
    </row>
    <row r="1061" spans="1:52" s="3" customFormat="1" x14ac:dyDescent="0.35">
      <c r="A1061" s="2" t="s">
        <v>9207</v>
      </c>
      <c r="B1061" s="4">
        <v>240890</v>
      </c>
      <c r="C1061" s="2" t="s">
        <v>9208</v>
      </c>
      <c r="D1061" s="2">
        <f t="shared" si="16"/>
        <v>1</v>
      </c>
      <c r="F1061" s="2" t="s">
        <v>6881</v>
      </c>
      <c r="G1061" s="2" t="s">
        <v>53</v>
      </c>
      <c r="H1061" s="4">
        <v>1</v>
      </c>
      <c r="I1061" s="4">
        <v>1</v>
      </c>
      <c r="J1061" s="5">
        <v>27500</v>
      </c>
      <c r="K1061" s="2" t="s">
        <v>1252</v>
      </c>
      <c r="L1061" s="5">
        <v>516175</v>
      </c>
      <c r="M1061" s="2" t="s">
        <v>55</v>
      </c>
      <c r="N1061" s="2" t="s">
        <v>1253</v>
      </c>
      <c r="O1061" s="2" t="s">
        <v>1254</v>
      </c>
      <c r="P1061" s="2" t="s">
        <v>9228</v>
      </c>
      <c r="Q1061" s="2" t="s">
        <v>9229</v>
      </c>
      <c r="R1061" s="2" t="s">
        <v>9211</v>
      </c>
      <c r="T1061" s="2" t="s">
        <v>9212</v>
      </c>
      <c r="U1061" s="2" t="s">
        <v>9213</v>
      </c>
      <c r="V1061" s="2" t="s">
        <v>9214</v>
      </c>
      <c r="W1061" s="2" t="s">
        <v>9215</v>
      </c>
      <c r="X1061" s="2" t="s">
        <v>9216</v>
      </c>
      <c r="Y1061" s="2" t="s">
        <v>9217</v>
      </c>
      <c r="Z1061" s="2" t="s">
        <v>3210</v>
      </c>
      <c r="AA1061" s="2" t="s">
        <v>9218</v>
      </c>
      <c r="AB1061" s="2" t="s">
        <v>9219</v>
      </c>
      <c r="AC1061" s="2" t="s">
        <v>3213</v>
      </c>
      <c r="AD1061" s="2" t="s">
        <v>68</v>
      </c>
      <c r="AE1061" s="2" t="s">
        <v>69</v>
      </c>
      <c r="AF1061" s="2" t="s">
        <v>70</v>
      </c>
      <c r="AG1061" s="2" t="s">
        <v>9220</v>
      </c>
      <c r="AK1061" s="2" t="s">
        <v>9221</v>
      </c>
      <c r="AM1061" s="2" t="s">
        <v>72</v>
      </c>
      <c r="AN1061" s="2" t="s">
        <v>1383</v>
      </c>
      <c r="AP1061" s="2" t="s">
        <v>4256</v>
      </c>
      <c r="AT1061" s="2" t="s">
        <v>9222</v>
      </c>
      <c r="AU1061" s="2" t="s">
        <v>75</v>
      </c>
      <c r="AV1061" s="2" t="s">
        <v>9223</v>
      </c>
      <c r="AW1061" s="2" t="s">
        <v>9224</v>
      </c>
      <c r="AX1061" s="2" t="s">
        <v>477</v>
      </c>
      <c r="AZ1061" s="2" t="s">
        <v>4750</v>
      </c>
    </row>
    <row r="1062" spans="1:52" s="3" customFormat="1" x14ac:dyDescent="0.35">
      <c r="A1062" s="2" t="s">
        <v>9207</v>
      </c>
      <c r="B1062" s="4">
        <v>240890</v>
      </c>
      <c r="C1062" s="2" t="s">
        <v>9208</v>
      </c>
      <c r="D1062" s="2">
        <f t="shared" si="16"/>
        <v>1</v>
      </c>
      <c r="F1062" s="2" t="s">
        <v>6881</v>
      </c>
      <c r="G1062" s="2" t="s">
        <v>53</v>
      </c>
      <c r="H1062" s="4">
        <v>1</v>
      </c>
      <c r="I1062" s="4">
        <v>1</v>
      </c>
      <c r="J1062" s="5">
        <v>27500</v>
      </c>
      <c r="K1062" s="2" t="s">
        <v>1252</v>
      </c>
      <c r="L1062" s="5">
        <v>516175</v>
      </c>
      <c r="M1062" s="2" t="s">
        <v>55</v>
      </c>
      <c r="N1062" s="2" t="s">
        <v>1253</v>
      </c>
      <c r="O1062" s="2" t="s">
        <v>1254</v>
      </c>
      <c r="P1062" s="2" t="s">
        <v>9230</v>
      </c>
      <c r="Q1062" s="2" t="s">
        <v>9231</v>
      </c>
      <c r="R1062" s="2" t="s">
        <v>9211</v>
      </c>
      <c r="T1062" s="2" t="s">
        <v>9212</v>
      </c>
      <c r="U1062" s="2" t="s">
        <v>9213</v>
      </c>
      <c r="V1062" s="2" t="s">
        <v>9214</v>
      </c>
      <c r="W1062" s="2" t="s">
        <v>9215</v>
      </c>
      <c r="X1062" s="2" t="s">
        <v>9216</v>
      </c>
      <c r="Y1062" s="2" t="s">
        <v>9217</v>
      </c>
      <c r="Z1062" s="2" t="s">
        <v>3210</v>
      </c>
      <c r="AA1062" s="2" t="s">
        <v>9218</v>
      </c>
      <c r="AB1062" s="2" t="s">
        <v>9219</v>
      </c>
      <c r="AC1062" s="2" t="s">
        <v>3213</v>
      </c>
      <c r="AD1062" s="2" t="s">
        <v>68</v>
      </c>
      <c r="AE1062" s="2" t="s">
        <v>69</v>
      </c>
      <c r="AF1062" s="2" t="s">
        <v>70</v>
      </c>
      <c r="AG1062" s="2" t="s">
        <v>9220</v>
      </c>
      <c r="AK1062" s="2" t="s">
        <v>9221</v>
      </c>
      <c r="AM1062" s="2" t="s">
        <v>72</v>
      </c>
      <c r="AN1062" s="2" t="s">
        <v>1383</v>
      </c>
      <c r="AP1062" s="2" t="s">
        <v>2645</v>
      </c>
      <c r="AT1062" s="2" t="s">
        <v>9222</v>
      </c>
      <c r="AU1062" s="2" t="s">
        <v>75</v>
      </c>
      <c r="AV1062" s="2" t="s">
        <v>9223</v>
      </c>
      <c r="AW1062" s="2" t="s">
        <v>9224</v>
      </c>
      <c r="AX1062" s="2" t="s">
        <v>477</v>
      </c>
      <c r="AZ1062" s="2" t="s">
        <v>4750</v>
      </c>
    </row>
    <row r="1063" spans="1:52" s="3" customFormat="1" x14ac:dyDescent="0.35">
      <c r="A1063" s="2" t="s">
        <v>9207</v>
      </c>
      <c r="B1063" s="4">
        <v>240890</v>
      </c>
      <c r="C1063" s="2" t="s">
        <v>9208</v>
      </c>
      <c r="D1063" s="2">
        <f t="shared" si="16"/>
        <v>1</v>
      </c>
      <c r="F1063" s="2" t="s">
        <v>6881</v>
      </c>
      <c r="G1063" s="2" t="s">
        <v>53</v>
      </c>
      <c r="H1063" s="4">
        <v>1</v>
      </c>
      <c r="I1063" s="4">
        <v>1</v>
      </c>
      <c r="J1063" s="5">
        <v>27500</v>
      </c>
      <c r="K1063" s="2" t="s">
        <v>1252</v>
      </c>
      <c r="L1063" s="5">
        <v>516175</v>
      </c>
      <c r="M1063" s="2" t="s">
        <v>55</v>
      </c>
      <c r="N1063" s="2" t="s">
        <v>1253</v>
      </c>
      <c r="O1063" s="2" t="s">
        <v>1254</v>
      </c>
      <c r="P1063" s="2" t="s">
        <v>9232</v>
      </c>
      <c r="Q1063" s="2" t="s">
        <v>9233</v>
      </c>
      <c r="R1063" s="2" t="s">
        <v>9211</v>
      </c>
      <c r="T1063" s="2" t="s">
        <v>9212</v>
      </c>
      <c r="U1063" s="2" t="s">
        <v>9213</v>
      </c>
      <c r="V1063" s="2" t="s">
        <v>9214</v>
      </c>
      <c r="W1063" s="2" t="s">
        <v>9215</v>
      </c>
      <c r="X1063" s="2" t="s">
        <v>9216</v>
      </c>
      <c r="Y1063" s="2" t="s">
        <v>9217</v>
      </c>
      <c r="Z1063" s="2" t="s">
        <v>3210</v>
      </c>
      <c r="AA1063" s="2" t="s">
        <v>9218</v>
      </c>
      <c r="AB1063" s="2" t="s">
        <v>9219</v>
      </c>
      <c r="AC1063" s="2" t="s">
        <v>3213</v>
      </c>
      <c r="AD1063" s="2" t="s">
        <v>68</v>
      </c>
      <c r="AE1063" s="2" t="s">
        <v>69</v>
      </c>
      <c r="AF1063" s="2" t="s">
        <v>70</v>
      </c>
      <c r="AG1063" s="2" t="s">
        <v>9220</v>
      </c>
      <c r="AK1063" s="2" t="s">
        <v>9221</v>
      </c>
      <c r="AM1063" s="2" t="s">
        <v>72</v>
      </c>
      <c r="AN1063" s="2" t="s">
        <v>1383</v>
      </c>
      <c r="AP1063" s="2" t="s">
        <v>9234</v>
      </c>
      <c r="AT1063" s="2" t="s">
        <v>9222</v>
      </c>
      <c r="AU1063" s="2" t="s">
        <v>75</v>
      </c>
      <c r="AV1063" s="2" t="s">
        <v>9223</v>
      </c>
      <c r="AW1063" s="2" t="s">
        <v>9224</v>
      </c>
      <c r="AX1063" s="2" t="s">
        <v>477</v>
      </c>
      <c r="AZ1063" s="2" t="s">
        <v>4750</v>
      </c>
    </row>
    <row r="1064" spans="1:52" s="3" customFormat="1" x14ac:dyDescent="0.35">
      <c r="A1064" s="2" t="s">
        <v>9207</v>
      </c>
      <c r="B1064" s="4">
        <v>240890</v>
      </c>
      <c r="C1064" s="2" t="s">
        <v>9208</v>
      </c>
      <c r="D1064" s="2">
        <f t="shared" si="16"/>
        <v>1</v>
      </c>
      <c r="F1064" s="2" t="s">
        <v>6881</v>
      </c>
      <c r="G1064" s="2" t="s">
        <v>53</v>
      </c>
      <c r="H1064" s="4">
        <v>1</v>
      </c>
      <c r="I1064" s="4">
        <v>1</v>
      </c>
      <c r="J1064" s="5">
        <v>27500</v>
      </c>
      <c r="K1064" s="2" t="s">
        <v>1252</v>
      </c>
      <c r="L1064" s="5">
        <v>516175</v>
      </c>
      <c r="M1064" s="2" t="s">
        <v>55</v>
      </c>
      <c r="N1064" s="2" t="s">
        <v>1253</v>
      </c>
      <c r="O1064" s="2" t="s">
        <v>1254</v>
      </c>
      <c r="P1064" s="2" t="s">
        <v>9235</v>
      </c>
      <c r="Q1064" s="2" t="s">
        <v>9236</v>
      </c>
      <c r="R1064" s="2" t="s">
        <v>9211</v>
      </c>
      <c r="T1064" s="2" t="s">
        <v>9212</v>
      </c>
      <c r="U1064" s="2" t="s">
        <v>9213</v>
      </c>
      <c r="V1064" s="2" t="s">
        <v>9214</v>
      </c>
      <c r="W1064" s="2" t="s">
        <v>9215</v>
      </c>
      <c r="X1064" s="2" t="s">
        <v>9216</v>
      </c>
      <c r="Y1064" s="2" t="s">
        <v>9217</v>
      </c>
      <c r="Z1064" s="2" t="s">
        <v>3210</v>
      </c>
      <c r="AA1064" s="2" t="s">
        <v>9218</v>
      </c>
      <c r="AB1064" s="2" t="s">
        <v>9219</v>
      </c>
      <c r="AC1064" s="2" t="s">
        <v>3213</v>
      </c>
      <c r="AD1064" s="2" t="s">
        <v>68</v>
      </c>
      <c r="AE1064" s="2" t="s">
        <v>69</v>
      </c>
      <c r="AF1064" s="2" t="s">
        <v>70</v>
      </c>
      <c r="AG1064" s="2" t="s">
        <v>9220</v>
      </c>
      <c r="AK1064" s="2" t="s">
        <v>9221</v>
      </c>
      <c r="AM1064" s="2" t="s">
        <v>72</v>
      </c>
      <c r="AN1064" s="2" t="s">
        <v>1383</v>
      </c>
      <c r="AP1064" s="2" t="s">
        <v>9237</v>
      </c>
      <c r="AT1064" s="2" t="s">
        <v>9222</v>
      </c>
      <c r="AU1064" s="2" t="s">
        <v>75</v>
      </c>
      <c r="AV1064" s="2" t="s">
        <v>9223</v>
      </c>
      <c r="AW1064" s="2" t="s">
        <v>9224</v>
      </c>
      <c r="AX1064" s="2" t="s">
        <v>477</v>
      </c>
      <c r="AZ1064" s="2" t="s">
        <v>4750</v>
      </c>
    </row>
    <row r="1065" spans="1:52" s="3" customFormat="1" x14ac:dyDescent="0.35">
      <c r="A1065" s="2" t="s">
        <v>9207</v>
      </c>
      <c r="B1065" s="4">
        <v>240890</v>
      </c>
      <c r="C1065" s="2" t="s">
        <v>9208</v>
      </c>
      <c r="D1065" s="2">
        <f t="shared" si="16"/>
        <v>1</v>
      </c>
      <c r="F1065" s="2" t="s">
        <v>6881</v>
      </c>
      <c r="G1065" s="2" t="s">
        <v>53</v>
      </c>
      <c r="H1065" s="4">
        <v>1</v>
      </c>
      <c r="I1065" s="4">
        <v>1</v>
      </c>
      <c r="J1065" s="5">
        <v>27500</v>
      </c>
      <c r="K1065" s="2" t="s">
        <v>1252</v>
      </c>
      <c r="L1065" s="5">
        <v>516175</v>
      </c>
      <c r="M1065" s="2" t="s">
        <v>55</v>
      </c>
      <c r="N1065" s="2" t="s">
        <v>1253</v>
      </c>
      <c r="O1065" s="2" t="s">
        <v>1254</v>
      </c>
      <c r="P1065" s="2" t="s">
        <v>9238</v>
      </c>
      <c r="Q1065" s="2" t="s">
        <v>9239</v>
      </c>
      <c r="R1065" s="2" t="s">
        <v>9211</v>
      </c>
      <c r="T1065" s="2" t="s">
        <v>9212</v>
      </c>
      <c r="U1065" s="2" t="s">
        <v>9213</v>
      </c>
      <c r="V1065" s="2" t="s">
        <v>9214</v>
      </c>
      <c r="W1065" s="2" t="s">
        <v>9215</v>
      </c>
      <c r="X1065" s="2" t="s">
        <v>9216</v>
      </c>
      <c r="Y1065" s="2" t="s">
        <v>9217</v>
      </c>
      <c r="Z1065" s="2" t="s">
        <v>3210</v>
      </c>
      <c r="AA1065" s="2" t="s">
        <v>9218</v>
      </c>
      <c r="AB1065" s="2" t="s">
        <v>9219</v>
      </c>
      <c r="AC1065" s="2" t="s">
        <v>3213</v>
      </c>
      <c r="AD1065" s="2" t="s">
        <v>68</v>
      </c>
      <c r="AE1065" s="2" t="s">
        <v>69</v>
      </c>
      <c r="AF1065" s="2" t="s">
        <v>70</v>
      </c>
      <c r="AG1065" s="2" t="s">
        <v>9220</v>
      </c>
      <c r="AK1065" s="2" t="s">
        <v>9221</v>
      </c>
      <c r="AM1065" s="2" t="s">
        <v>72</v>
      </c>
      <c r="AN1065" s="2" t="s">
        <v>1383</v>
      </c>
      <c r="AP1065" s="2" t="s">
        <v>9240</v>
      </c>
      <c r="AT1065" s="2" t="s">
        <v>9222</v>
      </c>
      <c r="AU1065" s="2" t="s">
        <v>75</v>
      </c>
      <c r="AV1065" s="2" t="s">
        <v>9223</v>
      </c>
      <c r="AW1065" s="2" t="s">
        <v>9224</v>
      </c>
      <c r="AX1065" s="2" t="s">
        <v>477</v>
      </c>
      <c r="AZ1065" s="2" t="s">
        <v>4750</v>
      </c>
    </row>
    <row r="1066" spans="1:52" s="3" customFormat="1" x14ac:dyDescent="0.35">
      <c r="A1066" s="2" t="s">
        <v>9207</v>
      </c>
      <c r="B1066" s="4">
        <v>240890</v>
      </c>
      <c r="C1066" s="2" t="s">
        <v>9208</v>
      </c>
      <c r="D1066" s="2">
        <f t="shared" si="16"/>
        <v>1</v>
      </c>
      <c r="F1066" s="2" t="s">
        <v>6881</v>
      </c>
      <c r="G1066" s="2" t="s">
        <v>53</v>
      </c>
      <c r="H1066" s="4">
        <v>1</v>
      </c>
      <c r="I1066" s="4">
        <v>1</v>
      </c>
      <c r="J1066" s="5">
        <v>27500</v>
      </c>
      <c r="K1066" s="2" t="s">
        <v>1252</v>
      </c>
      <c r="L1066" s="5">
        <v>516175</v>
      </c>
      <c r="M1066" s="2" t="s">
        <v>55</v>
      </c>
      <c r="N1066" s="2" t="s">
        <v>1253</v>
      </c>
      <c r="O1066" s="2" t="s">
        <v>1254</v>
      </c>
      <c r="P1066" s="2" t="s">
        <v>9241</v>
      </c>
      <c r="Q1066" s="2" t="s">
        <v>9242</v>
      </c>
      <c r="R1066" s="2" t="s">
        <v>9211</v>
      </c>
      <c r="T1066" s="2" t="s">
        <v>9212</v>
      </c>
      <c r="U1066" s="2" t="s">
        <v>9213</v>
      </c>
      <c r="V1066" s="2" t="s">
        <v>9214</v>
      </c>
      <c r="W1066" s="2" t="s">
        <v>9215</v>
      </c>
      <c r="X1066" s="2" t="s">
        <v>9216</v>
      </c>
      <c r="Y1066" s="2" t="s">
        <v>9217</v>
      </c>
      <c r="Z1066" s="2" t="s">
        <v>3210</v>
      </c>
      <c r="AA1066" s="2" t="s">
        <v>9218</v>
      </c>
      <c r="AB1066" s="2" t="s">
        <v>9219</v>
      </c>
      <c r="AC1066" s="2" t="s">
        <v>3213</v>
      </c>
      <c r="AD1066" s="2" t="s">
        <v>68</v>
      </c>
      <c r="AE1066" s="2" t="s">
        <v>69</v>
      </c>
      <c r="AF1066" s="2" t="s">
        <v>70</v>
      </c>
      <c r="AG1066" s="2" t="s">
        <v>9220</v>
      </c>
      <c r="AK1066" s="2" t="s">
        <v>9221</v>
      </c>
      <c r="AM1066" s="2" t="s">
        <v>72</v>
      </c>
      <c r="AN1066" s="2" t="s">
        <v>1383</v>
      </c>
      <c r="AP1066" s="2" t="s">
        <v>3655</v>
      </c>
      <c r="AT1066" s="2" t="s">
        <v>9222</v>
      </c>
      <c r="AU1066" s="2" t="s">
        <v>75</v>
      </c>
      <c r="AV1066" s="2" t="s">
        <v>9223</v>
      </c>
      <c r="AW1066" s="2" t="s">
        <v>9224</v>
      </c>
      <c r="AX1066" s="2" t="s">
        <v>477</v>
      </c>
      <c r="AZ1066" s="2" t="s">
        <v>4750</v>
      </c>
    </row>
    <row r="1067" spans="1:52" s="3" customFormat="1" x14ac:dyDescent="0.35">
      <c r="A1067" s="2" t="s">
        <v>9207</v>
      </c>
      <c r="B1067" s="4">
        <v>240890</v>
      </c>
      <c r="C1067" s="2" t="s">
        <v>9208</v>
      </c>
      <c r="D1067" s="2">
        <f t="shared" si="16"/>
        <v>1</v>
      </c>
      <c r="F1067" s="2" t="s">
        <v>6881</v>
      </c>
      <c r="G1067" s="2" t="s">
        <v>53</v>
      </c>
      <c r="H1067" s="4">
        <v>1</v>
      </c>
      <c r="I1067" s="4">
        <v>1</v>
      </c>
      <c r="J1067" s="5">
        <v>27500</v>
      </c>
      <c r="K1067" s="2" t="s">
        <v>1252</v>
      </c>
      <c r="L1067" s="5">
        <v>516175</v>
      </c>
      <c r="M1067" s="2" t="s">
        <v>55</v>
      </c>
      <c r="N1067" s="2" t="s">
        <v>1253</v>
      </c>
      <c r="O1067" s="2" t="s">
        <v>1254</v>
      </c>
      <c r="P1067" s="2" t="s">
        <v>9243</v>
      </c>
      <c r="Q1067" s="2" t="s">
        <v>9244</v>
      </c>
      <c r="R1067" s="2" t="s">
        <v>9211</v>
      </c>
      <c r="T1067" s="2" t="s">
        <v>9212</v>
      </c>
      <c r="U1067" s="2" t="s">
        <v>9213</v>
      </c>
      <c r="V1067" s="2" t="s">
        <v>9214</v>
      </c>
      <c r="W1067" s="2" t="s">
        <v>9215</v>
      </c>
      <c r="X1067" s="2" t="s">
        <v>9216</v>
      </c>
      <c r="Y1067" s="2" t="s">
        <v>9217</v>
      </c>
      <c r="Z1067" s="2" t="s">
        <v>3210</v>
      </c>
      <c r="AA1067" s="2" t="s">
        <v>9218</v>
      </c>
      <c r="AB1067" s="2" t="s">
        <v>9219</v>
      </c>
      <c r="AC1067" s="2" t="s">
        <v>3213</v>
      </c>
      <c r="AD1067" s="2" t="s">
        <v>68</v>
      </c>
      <c r="AE1067" s="2" t="s">
        <v>69</v>
      </c>
      <c r="AF1067" s="2" t="s">
        <v>70</v>
      </c>
      <c r="AG1067" s="2" t="s">
        <v>9220</v>
      </c>
      <c r="AK1067" s="2" t="s">
        <v>9221</v>
      </c>
      <c r="AM1067" s="2" t="s">
        <v>72</v>
      </c>
      <c r="AN1067" s="2" t="s">
        <v>1383</v>
      </c>
      <c r="AP1067" s="2" t="s">
        <v>9245</v>
      </c>
      <c r="AT1067" s="2" t="s">
        <v>9222</v>
      </c>
      <c r="AU1067" s="2" t="s">
        <v>75</v>
      </c>
      <c r="AV1067" s="2" t="s">
        <v>9223</v>
      </c>
      <c r="AW1067" s="2" t="s">
        <v>9224</v>
      </c>
      <c r="AX1067" s="2" t="s">
        <v>477</v>
      </c>
      <c r="AZ1067" s="2" t="s">
        <v>4750</v>
      </c>
    </row>
    <row r="1068" spans="1:52" s="3" customFormat="1" x14ac:dyDescent="0.35">
      <c r="A1068" s="2" t="s">
        <v>9207</v>
      </c>
      <c r="B1068" s="4">
        <v>240890</v>
      </c>
      <c r="C1068" s="2" t="s">
        <v>9208</v>
      </c>
      <c r="D1068" s="2">
        <f t="shared" si="16"/>
        <v>1</v>
      </c>
      <c r="F1068" s="2" t="s">
        <v>6881</v>
      </c>
      <c r="G1068" s="2" t="s">
        <v>53</v>
      </c>
      <c r="H1068" s="4">
        <v>1</v>
      </c>
      <c r="I1068" s="4">
        <v>1</v>
      </c>
      <c r="J1068" s="5">
        <v>27500</v>
      </c>
      <c r="K1068" s="2" t="s">
        <v>1252</v>
      </c>
      <c r="L1068" s="5">
        <v>516175</v>
      </c>
      <c r="M1068" s="2" t="s">
        <v>55</v>
      </c>
      <c r="N1068" s="2" t="s">
        <v>1253</v>
      </c>
      <c r="O1068" s="2" t="s">
        <v>1254</v>
      </c>
      <c r="P1068" s="2" t="s">
        <v>9246</v>
      </c>
      <c r="Q1068" s="2" t="s">
        <v>9247</v>
      </c>
      <c r="R1068" s="2" t="s">
        <v>9211</v>
      </c>
      <c r="T1068" s="2" t="s">
        <v>9212</v>
      </c>
      <c r="U1068" s="2" t="s">
        <v>9213</v>
      </c>
      <c r="V1068" s="2" t="s">
        <v>9214</v>
      </c>
      <c r="W1068" s="2" t="s">
        <v>9215</v>
      </c>
      <c r="X1068" s="2" t="s">
        <v>9216</v>
      </c>
      <c r="Y1068" s="2" t="s">
        <v>9217</v>
      </c>
      <c r="Z1068" s="2" t="s">
        <v>3210</v>
      </c>
      <c r="AA1068" s="2" t="s">
        <v>9218</v>
      </c>
      <c r="AB1068" s="2" t="s">
        <v>9219</v>
      </c>
      <c r="AC1068" s="2" t="s">
        <v>3213</v>
      </c>
      <c r="AD1068" s="2" t="s">
        <v>68</v>
      </c>
      <c r="AE1068" s="2" t="s">
        <v>69</v>
      </c>
      <c r="AF1068" s="2" t="s">
        <v>70</v>
      </c>
      <c r="AG1068" s="2" t="s">
        <v>9220</v>
      </c>
      <c r="AK1068" s="2" t="s">
        <v>9221</v>
      </c>
      <c r="AM1068" s="2" t="s">
        <v>72</v>
      </c>
      <c r="AN1068" s="2" t="s">
        <v>1383</v>
      </c>
      <c r="AP1068" s="2" t="s">
        <v>9248</v>
      </c>
      <c r="AT1068" s="2" t="s">
        <v>9222</v>
      </c>
      <c r="AU1068" s="2" t="s">
        <v>75</v>
      </c>
      <c r="AV1068" s="2" t="s">
        <v>9223</v>
      </c>
      <c r="AW1068" s="2" t="s">
        <v>9224</v>
      </c>
      <c r="AX1068" s="2" t="s">
        <v>477</v>
      </c>
      <c r="AZ1068" s="2" t="s">
        <v>4750</v>
      </c>
    </row>
    <row r="1069" spans="1:52" s="3" customFormat="1" x14ac:dyDescent="0.35">
      <c r="A1069" s="2" t="s">
        <v>9207</v>
      </c>
      <c r="B1069" s="4">
        <v>240890</v>
      </c>
      <c r="C1069" s="2" t="s">
        <v>9208</v>
      </c>
      <c r="D1069" s="2">
        <f t="shared" si="16"/>
        <v>1</v>
      </c>
      <c r="F1069" s="2" t="s">
        <v>6881</v>
      </c>
      <c r="G1069" s="2" t="s">
        <v>53</v>
      </c>
      <c r="H1069" s="4">
        <v>1</v>
      </c>
      <c r="I1069" s="4">
        <v>1</v>
      </c>
      <c r="J1069" s="5">
        <v>27500</v>
      </c>
      <c r="K1069" s="2" t="s">
        <v>1252</v>
      </c>
      <c r="L1069" s="5">
        <v>516175</v>
      </c>
      <c r="M1069" s="2" t="s">
        <v>55</v>
      </c>
      <c r="N1069" s="2" t="s">
        <v>1253</v>
      </c>
      <c r="O1069" s="2" t="s">
        <v>1254</v>
      </c>
      <c r="P1069" s="2" t="s">
        <v>9249</v>
      </c>
      <c r="Q1069" s="2" t="s">
        <v>9250</v>
      </c>
      <c r="R1069" s="2" t="s">
        <v>9211</v>
      </c>
      <c r="T1069" s="2" t="s">
        <v>9212</v>
      </c>
      <c r="U1069" s="2" t="s">
        <v>9213</v>
      </c>
      <c r="V1069" s="2" t="s">
        <v>9214</v>
      </c>
      <c r="W1069" s="2" t="s">
        <v>9215</v>
      </c>
      <c r="X1069" s="2" t="s">
        <v>9216</v>
      </c>
      <c r="Y1069" s="2" t="s">
        <v>9217</v>
      </c>
      <c r="Z1069" s="2" t="s">
        <v>3210</v>
      </c>
      <c r="AA1069" s="2" t="s">
        <v>9218</v>
      </c>
      <c r="AB1069" s="2" t="s">
        <v>9219</v>
      </c>
      <c r="AC1069" s="2" t="s">
        <v>3213</v>
      </c>
      <c r="AD1069" s="2" t="s">
        <v>68</v>
      </c>
      <c r="AE1069" s="2" t="s">
        <v>69</v>
      </c>
      <c r="AF1069" s="2" t="s">
        <v>70</v>
      </c>
      <c r="AG1069" s="2" t="s">
        <v>9220</v>
      </c>
      <c r="AK1069" s="2" t="s">
        <v>9221</v>
      </c>
      <c r="AM1069" s="2" t="s">
        <v>72</v>
      </c>
      <c r="AN1069" s="2" t="s">
        <v>1383</v>
      </c>
      <c r="AP1069" s="2" t="s">
        <v>9251</v>
      </c>
      <c r="AT1069" s="2" t="s">
        <v>9222</v>
      </c>
      <c r="AU1069" s="2" t="s">
        <v>75</v>
      </c>
      <c r="AV1069" s="2" t="s">
        <v>9223</v>
      </c>
      <c r="AW1069" s="2" t="s">
        <v>9224</v>
      </c>
      <c r="AX1069" s="2" t="s">
        <v>477</v>
      </c>
      <c r="AZ1069" s="2" t="s">
        <v>4750</v>
      </c>
    </row>
    <row r="1070" spans="1:52" s="3" customFormat="1" x14ac:dyDescent="0.35">
      <c r="A1070" s="2" t="s">
        <v>9252</v>
      </c>
      <c r="B1070" s="4">
        <v>240813</v>
      </c>
      <c r="C1070" s="2" t="s">
        <v>9253</v>
      </c>
      <c r="D1070" s="2">
        <f t="shared" si="16"/>
        <v>1</v>
      </c>
      <c r="F1070" s="2" t="s">
        <v>9254</v>
      </c>
      <c r="G1070" s="2" t="s">
        <v>53</v>
      </c>
      <c r="H1070" s="4">
        <v>1</v>
      </c>
      <c r="I1070" s="4">
        <v>0</v>
      </c>
      <c r="J1070" s="4">
        <v>0</v>
      </c>
      <c r="L1070" s="4">
        <v>0</v>
      </c>
      <c r="N1070" s="2" t="s">
        <v>56</v>
      </c>
      <c r="O1070" s="2" t="s">
        <v>57</v>
      </c>
      <c r="P1070" s="2" t="s">
        <v>4619</v>
      </c>
      <c r="Q1070" s="2" t="s">
        <v>4620</v>
      </c>
      <c r="R1070" s="2" t="s">
        <v>9255</v>
      </c>
      <c r="S1070" s="2" t="s">
        <v>9256</v>
      </c>
      <c r="V1070" s="2" t="s">
        <v>9257</v>
      </c>
      <c r="W1070" s="2" t="s">
        <v>9258</v>
      </c>
      <c r="Y1070" s="2" t="s">
        <v>9259</v>
      </c>
      <c r="Z1070" s="2" t="s">
        <v>9260</v>
      </c>
      <c r="AA1070" s="2" t="s">
        <v>9261</v>
      </c>
      <c r="AB1070" s="2" t="s">
        <v>9262</v>
      </c>
      <c r="AC1070" s="2" t="s">
        <v>9263</v>
      </c>
      <c r="AD1070" s="2" t="s">
        <v>3756</v>
      </c>
      <c r="AE1070" s="2" t="s">
        <v>2980</v>
      </c>
      <c r="AF1070" s="2" t="s">
        <v>70</v>
      </c>
      <c r="AK1070" s="2" t="s">
        <v>9264</v>
      </c>
      <c r="AL1070" s="2" t="s">
        <v>4629</v>
      </c>
      <c r="AM1070" s="2" t="s">
        <v>72</v>
      </c>
      <c r="AN1070" s="2" t="s">
        <v>73</v>
      </c>
      <c r="AP1070" s="2" t="s">
        <v>3341</v>
      </c>
      <c r="AT1070" s="2" t="s">
        <v>114</v>
      </c>
      <c r="AU1070" s="2" t="s">
        <v>75</v>
      </c>
      <c r="AW1070" s="2" t="s">
        <v>9265</v>
      </c>
      <c r="AZ1070" s="2" t="s">
        <v>116</v>
      </c>
    </row>
    <row r="1071" spans="1:52" s="3" customFormat="1" x14ac:dyDescent="0.35">
      <c r="A1071" s="2" t="s">
        <v>9266</v>
      </c>
      <c r="B1071" s="4">
        <v>240812</v>
      </c>
      <c r="C1071" s="2" t="s">
        <v>9267</v>
      </c>
      <c r="D1071" s="2">
        <f t="shared" si="16"/>
        <v>1</v>
      </c>
      <c r="F1071" s="2" t="s">
        <v>9254</v>
      </c>
      <c r="G1071" s="2" t="s">
        <v>53</v>
      </c>
      <c r="H1071" s="4">
        <v>1</v>
      </c>
      <c r="I1071" s="4">
        <v>0</v>
      </c>
      <c r="J1071" s="4">
        <v>0</v>
      </c>
      <c r="L1071" s="4">
        <v>0</v>
      </c>
      <c r="N1071" s="2" t="s">
        <v>56</v>
      </c>
      <c r="O1071" s="2" t="s">
        <v>57</v>
      </c>
      <c r="P1071" s="2" t="s">
        <v>4619</v>
      </c>
      <c r="Q1071" s="2" t="s">
        <v>4620</v>
      </c>
      <c r="R1071" s="2" t="s">
        <v>9268</v>
      </c>
      <c r="S1071" s="2" t="s">
        <v>8118</v>
      </c>
      <c r="V1071" s="2" t="s">
        <v>8141</v>
      </c>
      <c r="W1071" s="2" t="s">
        <v>8120</v>
      </c>
      <c r="Y1071" s="2" t="s">
        <v>8121</v>
      </c>
      <c r="Z1071" s="2" t="s">
        <v>8122</v>
      </c>
      <c r="AA1071" s="2" t="s">
        <v>8123</v>
      </c>
      <c r="AC1071" s="2" t="s">
        <v>8124</v>
      </c>
      <c r="AD1071" s="2" t="s">
        <v>3756</v>
      </c>
      <c r="AE1071" s="2" t="s">
        <v>2980</v>
      </c>
      <c r="AF1071" s="2" t="s">
        <v>70</v>
      </c>
      <c r="AK1071" s="2" t="s">
        <v>9269</v>
      </c>
      <c r="AL1071" s="2" t="s">
        <v>4629</v>
      </c>
      <c r="AM1071" s="2" t="s">
        <v>72</v>
      </c>
      <c r="AN1071" s="2" t="s">
        <v>73</v>
      </c>
      <c r="AP1071" s="2" t="s">
        <v>3341</v>
      </c>
      <c r="AT1071" s="2" t="s">
        <v>114</v>
      </c>
      <c r="AU1071" s="2" t="s">
        <v>75</v>
      </c>
      <c r="AW1071" s="2" t="s">
        <v>8126</v>
      </c>
      <c r="AZ1071" s="2" t="s">
        <v>116</v>
      </c>
    </row>
    <row r="1072" spans="1:52" s="3" customFormat="1" x14ac:dyDescent="0.35">
      <c r="A1072" s="2" t="s">
        <v>9270</v>
      </c>
      <c r="B1072" s="4">
        <v>240782</v>
      </c>
      <c r="C1072" s="2" t="s">
        <v>9271</v>
      </c>
      <c r="D1072" s="2">
        <f t="shared" si="16"/>
        <v>1</v>
      </c>
      <c r="G1072" s="2" t="s">
        <v>53</v>
      </c>
      <c r="H1072" s="4">
        <v>1</v>
      </c>
      <c r="I1072" s="4">
        <v>1</v>
      </c>
      <c r="J1072" s="4">
        <v>0</v>
      </c>
      <c r="L1072" s="4">
        <v>0</v>
      </c>
      <c r="M1072" s="2" t="s">
        <v>55</v>
      </c>
      <c r="N1072" s="2" t="s">
        <v>56</v>
      </c>
      <c r="O1072" s="2" t="s">
        <v>57</v>
      </c>
      <c r="P1072" s="2" t="s">
        <v>9174</v>
      </c>
      <c r="Q1072" s="2" t="s">
        <v>9175</v>
      </c>
      <c r="R1072" s="2" t="s">
        <v>9272</v>
      </c>
      <c r="S1072" s="2" t="s">
        <v>9273</v>
      </c>
      <c r="V1072" s="2" t="s">
        <v>9274</v>
      </c>
      <c r="W1072" s="2" t="s">
        <v>9275</v>
      </c>
      <c r="Y1072" s="2" t="s">
        <v>64</v>
      </c>
      <c r="Z1072" s="2" t="s">
        <v>65</v>
      </c>
      <c r="AA1072" s="2" t="s">
        <v>66</v>
      </c>
      <c r="AC1072" s="2" t="s">
        <v>67</v>
      </c>
      <c r="AD1072" s="2" t="s">
        <v>68</v>
      </c>
      <c r="AE1072" s="2" t="s">
        <v>69</v>
      </c>
      <c r="AF1072" s="2" t="s">
        <v>70</v>
      </c>
      <c r="AG1072" s="2" t="s">
        <v>9174</v>
      </c>
      <c r="AK1072" s="2" t="s">
        <v>9276</v>
      </c>
      <c r="AM1072" s="2" t="s">
        <v>72</v>
      </c>
      <c r="AN1072" s="2" t="s">
        <v>283</v>
      </c>
      <c r="AP1072" s="2" t="s">
        <v>9160</v>
      </c>
      <c r="AU1072" s="2" t="s">
        <v>75</v>
      </c>
      <c r="AW1072" s="2" t="s">
        <v>9277</v>
      </c>
      <c r="AZ1072" s="2" t="s">
        <v>116</v>
      </c>
    </row>
    <row r="1073" spans="1:52" s="3" customFormat="1" x14ac:dyDescent="0.35">
      <c r="A1073" s="2" t="s">
        <v>9278</v>
      </c>
      <c r="B1073" s="4">
        <v>240756</v>
      </c>
      <c r="C1073" s="2" t="s">
        <v>9279</v>
      </c>
      <c r="D1073" s="2">
        <f t="shared" si="16"/>
        <v>1</v>
      </c>
      <c r="F1073" s="2" t="s">
        <v>9254</v>
      </c>
      <c r="G1073" s="2" t="s">
        <v>53</v>
      </c>
      <c r="H1073" s="4">
        <v>1</v>
      </c>
      <c r="I1073" s="4">
        <v>3</v>
      </c>
      <c r="J1073" s="4">
        <v>850.08</v>
      </c>
      <c r="K1073" s="2" t="s">
        <v>80</v>
      </c>
      <c r="L1073" s="4">
        <v>797.8</v>
      </c>
      <c r="M1073" s="2" t="s">
        <v>9280</v>
      </c>
      <c r="N1073" s="2" t="s">
        <v>82</v>
      </c>
      <c r="O1073" s="2" t="s">
        <v>484</v>
      </c>
      <c r="P1073" s="2" t="s">
        <v>6234</v>
      </c>
      <c r="Q1073" s="2" t="s">
        <v>6235</v>
      </c>
      <c r="R1073" s="2" t="s">
        <v>9281</v>
      </c>
      <c r="S1073" s="2" t="s">
        <v>9282</v>
      </c>
      <c r="T1073" s="2" t="s">
        <v>9283</v>
      </c>
      <c r="U1073" s="2" t="s">
        <v>9284</v>
      </c>
      <c r="V1073" s="2" t="s">
        <v>9285</v>
      </c>
      <c r="W1073" s="2" t="s">
        <v>9286</v>
      </c>
      <c r="Y1073" s="2" t="s">
        <v>9287</v>
      </c>
      <c r="Z1073" s="2" t="s">
        <v>9288</v>
      </c>
      <c r="AA1073" s="2" t="s">
        <v>3013</v>
      </c>
      <c r="AB1073" s="2" t="s">
        <v>9289</v>
      </c>
      <c r="AC1073" s="2" t="s">
        <v>9290</v>
      </c>
      <c r="AD1073" s="2" t="s">
        <v>5792</v>
      </c>
      <c r="AE1073" s="2" t="s">
        <v>5793</v>
      </c>
      <c r="AF1073" s="2" t="s">
        <v>70</v>
      </c>
      <c r="AK1073" s="2" t="s">
        <v>9291</v>
      </c>
      <c r="AL1073" s="2" t="s">
        <v>9292</v>
      </c>
      <c r="AM1073" s="2" t="s">
        <v>72</v>
      </c>
      <c r="AN1073" s="2" t="s">
        <v>473</v>
      </c>
      <c r="AP1073" s="2" t="s">
        <v>4546</v>
      </c>
      <c r="AU1073" s="2" t="s">
        <v>75</v>
      </c>
      <c r="AV1073" s="2" t="s">
        <v>6829</v>
      </c>
      <c r="AW1073" s="2" t="s">
        <v>9293</v>
      </c>
      <c r="AZ1073" s="2" t="s">
        <v>77</v>
      </c>
    </row>
    <row r="1074" spans="1:52" s="3" customFormat="1" x14ac:dyDescent="0.35">
      <c r="A1074" s="2" t="s">
        <v>9294</v>
      </c>
      <c r="B1074" s="4">
        <v>240721</v>
      </c>
      <c r="C1074" s="2" t="s">
        <v>9295</v>
      </c>
      <c r="D1074" s="2">
        <f t="shared" si="16"/>
        <v>1</v>
      </c>
      <c r="G1074" s="2" t="s">
        <v>53</v>
      </c>
      <c r="H1074" s="4">
        <v>1</v>
      </c>
      <c r="I1074" s="4">
        <v>1</v>
      </c>
      <c r="J1074" s="4">
        <v>0</v>
      </c>
      <c r="L1074" s="4">
        <v>0</v>
      </c>
      <c r="M1074" s="2" t="s">
        <v>55</v>
      </c>
      <c r="N1074" s="2" t="s">
        <v>56</v>
      </c>
      <c r="O1074" s="2" t="s">
        <v>57</v>
      </c>
      <c r="P1074" s="2" t="s">
        <v>9174</v>
      </c>
      <c r="Q1074" s="2" t="s">
        <v>9175</v>
      </c>
      <c r="R1074" s="2" t="s">
        <v>9296</v>
      </c>
      <c r="S1074" s="2" t="s">
        <v>9297</v>
      </c>
      <c r="V1074" s="2" t="s">
        <v>9298</v>
      </c>
      <c r="W1074" s="2" t="s">
        <v>9299</v>
      </c>
      <c r="Y1074" s="2" t="s">
        <v>64</v>
      </c>
      <c r="Z1074" s="2" t="s">
        <v>65</v>
      </c>
      <c r="AA1074" s="2" t="s">
        <v>66</v>
      </c>
      <c r="AC1074" s="2" t="s">
        <v>67</v>
      </c>
      <c r="AD1074" s="2" t="s">
        <v>68</v>
      </c>
      <c r="AE1074" s="2" t="s">
        <v>69</v>
      </c>
      <c r="AF1074" s="2" t="s">
        <v>70</v>
      </c>
      <c r="AG1074" s="2" t="s">
        <v>9174</v>
      </c>
      <c r="AK1074" s="2" t="s">
        <v>9300</v>
      </c>
      <c r="AM1074" s="2" t="s">
        <v>72</v>
      </c>
      <c r="AN1074" s="2" t="s">
        <v>344</v>
      </c>
      <c r="AP1074" s="2" t="s">
        <v>9160</v>
      </c>
      <c r="AU1074" s="2" t="s">
        <v>75</v>
      </c>
      <c r="AW1074" s="2" t="s">
        <v>9301</v>
      </c>
      <c r="AZ1074" s="2" t="s">
        <v>116</v>
      </c>
    </row>
    <row r="1075" spans="1:52" s="3" customFormat="1" x14ac:dyDescent="0.35">
      <c r="A1075" s="2" t="s">
        <v>9302</v>
      </c>
      <c r="B1075" s="4">
        <v>240720</v>
      </c>
      <c r="C1075" s="2" t="s">
        <v>9303</v>
      </c>
      <c r="D1075" s="2">
        <f t="shared" si="16"/>
        <v>1</v>
      </c>
      <c r="G1075" s="2" t="s">
        <v>53</v>
      </c>
      <c r="H1075" s="4">
        <v>1</v>
      </c>
      <c r="I1075" s="4">
        <v>1</v>
      </c>
      <c r="J1075" s="4">
        <v>0</v>
      </c>
      <c r="L1075" s="4">
        <v>0</v>
      </c>
      <c r="M1075" s="2" t="s">
        <v>55</v>
      </c>
      <c r="N1075" s="2" t="s">
        <v>56</v>
      </c>
      <c r="O1075" s="2" t="s">
        <v>57</v>
      </c>
      <c r="P1075" s="2" t="s">
        <v>9174</v>
      </c>
      <c r="Q1075" s="2" t="s">
        <v>9175</v>
      </c>
      <c r="R1075" s="2" t="s">
        <v>9304</v>
      </c>
      <c r="S1075" s="2" t="s">
        <v>9305</v>
      </c>
      <c r="V1075" s="2" t="s">
        <v>9306</v>
      </c>
      <c r="W1075" s="2" t="s">
        <v>9307</v>
      </c>
      <c r="Y1075" s="2" t="s">
        <v>64</v>
      </c>
      <c r="Z1075" s="2" t="s">
        <v>65</v>
      </c>
      <c r="AA1075" s="2" t="s">
        <v>66</v>
      </c>
      <c r="AC1075" s="2" t="s">
        <v>67</v>
      </c>
      <c r="AD1075" s="2" t="s">
        <v>68</v>
      </c>
      <c r="AE1075" s="2" t="s">
        <v>69</v>
      </c>
      <c r="AF1075" s="2" t="s">
        <v>70</v>
      </c>
      <c r="AG1075" s="2" t="s">
        <v>9174</v>
      </c>
      <c r="AK1075" s="2" t="s">
        <v>9308</v>
      </c>
      <c r="AM1075" s="2" t="s">
        <v>72</v>
      </c>
      <c r="AN1075" s="2" t="s">
        <v>283</v>
      </c>
      <c r="AP1075" s="2" t="s">
        <v>9160</v>
      </c>
      <c r="AU1075" s="2" t="s">
        <v>75</v>
      </c>
      <c r="AW1075" s="2" t="s">
        <v>9309</v>
      </c>
      <c r="AZ1075" s="2" t="s">
        <v>116</v>
      </c>
    </row>
    <row r="1076" spans="1:52" s="3" customFormat="1" x14ac:dyDescent="0.35">
      <c r="A1076" s="2" t="s">
        <v>9310</v>
      </c>
      <c r="B1076" s="4">
        <v>240702</v>
      </c>
      <c r="C1076" s="2" t="s">
        <v>9311</v>
      </c>
      <c r="D1076" s="2">
        <f t="shared" si="16"/>
        <v>1</v>
      </c>
      <c r="G1076" s="2" t="s">
        <v>53</v>
      </c>
      <c r="H1076" s="4">
        <v>1</v>
      </c>
      <c r="I1076" s="4">
        <v>1</v>
      </c>
      <c r="J1076" s="4">
        <v>0</v>
      </c>
      <c r="L1076" s="4">
        <v>0</v>
      </c>
      <c r="M1076" s="2" t="s">
        <v>55</v>
      </c>
      <c r="N1076" s="2" t="s">
        <v>56</v>
      </c>
      <c r="O1076" s="2" t="s">
        <v>57</v>
      </c>
      <c r="P1076" s="2" t="s">
        <v>4877</v>
      </c>
      <c r="Q1076" s="2" t="s">
        <v>4878</v>
      </c>
      <c r="R1076" s="2" t="s">
        <v>914</v>
      </c>
      <c r="S1076" s="2" t="s">
        <v>915</v>
      </c>
      <c r="V1076" s="2" t="s">
        <v>916</v>
      </c>
      <c r="W1076" s="2" t="s">
        <v>917</v>
      </c>
      <c r="Y1076" s="2" t="s">
        <v>64</v>
      </c>
      <c r="Z1076" s="2" t="s">
        <v>65</v>
      </c>
      <c r="AA1076" s="2" t="s">
        <v>66</v>
      </c>
      <c r="AC1076" s="2" t="s">
        <v>67</v>
      </c>
      <c r="AD1076" s="2" t="s">
        <v>68</v>
      </c>
      <c r="AE1076" s="2" t="s">
        <v>69</v>
      </c>
      <c r="AF1076" s="2" t="s">
        <v>70</v>
      </c>
      <c r="AG1076" s="2" t="s">
        <v>9312</v>
      </c>
      <c r="AK1076" s="2" t="s">
        <v>9313</v>
      </c>
      <c r="AM1076" s="2" t="s">
        <v>72</v>
      </c>
      <c r="AN1076" s="2" t="s">
        <v>283</v>
      </c>
      <c r="AP1076" s="2" t="s">
        <v>3758</v>
      </c>
      <c r="AU1076" s="2" t="s">
        <v>75</v>
      </c>
      <c r="AW1076" s="2" t="s">
        <v>919</v>
      </c>
      <c r="AZ1076" s="2" t="s">
        <v>116</v>
      </c>
    </row>
    <row r="1077" spans="1:52" s="3" customFormat="1" x14ac:dyDescent="0.35">
      <c r="A1077" s="2" t="s">
        <v>9314</v>
      </c>
      <c r="B1077" s="4">
        <v>240694</v>
      </c>
      <c r="C1077" s="2" t="s">
        <v>9315</v>
      </c>
      <c r="D1077" s="2">
        <f t="shared" si="16"/>
        <v>1</v>
      </c>
      <c r="G1077" s="2" t="s">
        <v>53</v>
      </c>
      <c r="H1077" s="4">
        <v>2</v>
      </c>
      <c r="I1077" s="4">
        <v>1</v>
      </c>
      <c r="J1077" s="4">
        <v>0</v>
      </c>
      <c r="L1077" s="4">
        <v>0</v>
      </c>
      <c r="M1077" s="2" t="s">
        <v>55</v>
      </c>
      <c r="N1077" s="2" t="s">
        <v>56</v>
      </c>
      <c r="O1077" s="2" t="s">
        <v>57</v>
      </c>
      <c r="P1077" s="2" t="s">
        <v>9174</v>
      </c>
      <c r="Q1077" s="2" t="s">
        <v>9175</v>
      </c>
      <c r="R1077" s="2" t="s">
        <v>3780</v>
      </c>
      <c r="S1077" s="2" t="s">
        <v>3781</v>
      </c>
      <c r="V1077" s="2" t="s">
        <v>3782</v>
      </c>
      <c r="W1077" s="2" t="s">
        <v>5142</v>
      </c>
      <c r="Y1077" s="2" t="s">
        <v>64</v>
      </c>
      <c r="Z1077" s="2" t="s">
        <v>65</v>
      </c>
      <c r="AA1077" s="2" t="s">
        <v>66</v>
      </c>
      <c r="AC1077" s="2" t="s">
        <v>67</v>
      </c>
      <c r="AD1077" s="2" t="s">
        <v>68</v>
      </c>
      <c r="AE1077" s="2" t="s">
        <v>69</v>
      </c>
      <c r="AF1077" s="2" t="s">
        <v>70</v>
      </c>
      <c r="AG1077" s="2" t="s">
        <v>9174</v>
      </c>
      <c r="AK1077" s="2" t="s">
        <v>9316</v>
      </c>
      <c r="AM1077" s="2" t="s">
        <v>72</v>
      </c>
      <c r="AN1077" s="2" t="s">
        <v>1046</v>
      </c>
      <c r="AP1077" s="2" t="s">
        <v>9160</v>
      </c>
      <c r="AU1077" s="2" t="s">
        <v>75</v>
      </c>
      <c r="AV1077" s="2" t="s">
        <v>3788</v>
      </c>
      <c r="AW1077" s="2" t="s">
        <v>3789</v>
      </c>
      <c r="AZ1077" s="2" t="s">
        <v>116</v>
      </c>
    </row>
    <row r="1078" spans="1:52" s="3" customFormat="1" x14ac:dyDescent="0.35">
      <c r="A1078" s="2" t="s">
        <v>9317</v>
      </c>
      <c r="B1078" s="4">
        <v>240692</v>
      </c>
      <c r="C1078" s="2" t="s">
        <v>9318</v>
      </c>
      <c r="D1078" s="2">
        <f t="shared" si="16"/>
        <v>1</v>
      </c>
      <c r="G1078" s="2" t="s">
        <v>53</v>
      </c>
      <c r="H1078" s="4">
        <v>1</v>
      </c>
      <c r="I1078" s="4">
        <v>1</v>
      </c>
      <c r="J1078" s="4">
        <v>0</v>
      </c>
      <c r="L1078" s="4">
        <v>0</v>
      </c>
      <c r="M1078" s="2" t="s">
        <v>55</v>
      </c>
      <c r="N1078" s="2" t="s">
        <v>56</v>
      </c>
      <c r="O1078" s="2" t="s">
        <v>57</v>
      </c>
      <c r="P1078" s="2" t="s">
        <v>9174</v>
      </c>
      <c r="Q1078" s="2" t="s">
        <v>9175</v>
      </c>
      <c r="R1078" s="2" t="s">
        <v>9319</v>
      </c>
      <c r="S1078" s="2" t="s">
        <v>9320</v>
      </c>
      <c r="V1078" s="2" t="s">
        <v>9321</v>
      </c>
      <c r="W1078" s="2" t="s">
        <v>9322</v>
      </c>
      <c r="Y1078" s="2" t="s">
        <v>64</v>
      </c>
      <c r="Z1078" s="2" t="s">
        <v>65</v>
      </c>
      <c r="AA1078" s="2" t="s">
        <v>66</v>
      </c>
      <c r="AC1078" s="2" t="s">
        <v>67</v>
      </c>
      <c r="AD1078" s="2" t="s">
        <v>68</v>
      </c>
      <c r="AE1078" s="2" t="s">
        <v>69</v>
      </c>
      <c r="AF1078" s="2" t="s">
        <v>70</v>
      </c>
      <c r="AG1078" s="2" t="s">
        <v>9174</v>
      </c>
      <c r="AK1078" s="2" t="s">
        <v>9323</v>
      </c>
      <c r="AM1078" s="2" t="s">
        <v>72</v>
      </c>
      <c r="AN1078" s="2" t="s">
        <v>249</v>
      </c>
      <c r="AP1078" s="2" t="s">
        <v>9160</v>
      </c>
      <c r="AU1078" s="2" t="s">
        <v>75</v>
      </c>
      <c r="AW1078" s="2" t="s">
        <v>9324</v>
      </c>
      <c r="AZ1078" s="2" t="s">
        <v>116</v>
      </c>
    </row>
    <row r="1079" spans="1:52" s="3" customFormat="1" x14ac:dyDescent="0.35">
      <c r="A1079" s="2" t="s">
        <v>9325</v>
      </c>
      <c r="B1079" s="4">
        <v>240688</v>
      </c>
      <c r="C1079" s="2" t="s">
        <v>9326</v>
      </c>
      <c r="D1079" s="2">
        <f t="shared" si="16"/>
        <v>1</v>
      </c>
      <c r="G1079" s="2" t="s">
        <v>53</v>
      </c>
      <c r="H1079" s="4">
        <v>1</v>
      </c>
      <c r="I1079" s="4">
        <v>1</v>
      </c>
      <c r="J1079" s="4">
        <v>0</v>
      </c>
      <c r="L1079" s="4">
        <v>0</v>
      </c>
      <c r="M1079" s="2" t="s">
        <v>55</v>
      </c>
      <c r="N1079" s="2" t="s">
        <v>56</v>
      </c>
      <c r="O1079" s="2" t="s">
        <v>57</v>
      </c>
      <c r="P1079" s="2" t="s">
        <v>9174</v>
      </c>
      <c r="Q1079" s="2" t="s">
        <v>9175</v>
      </c>
      <c r="R1079" s="2" t="s">
        <v>9327</v>
      </c>
      <c r="S1079" s="2" t="s">
        <v>9328</v>
      </c>
      <c r="V1079" s="2" t="s">
        <v>9329</v>
      </c>
      <c r="W1079" s="2" t="s">
        <v>9330</v>
      </c>
      <c r="Y1079" s="2" t="s">
        <v>64</v>
      </c>
      <c r="Z1079" s="2" t="s">
        <v>65</v>
      </c>
      <c r="AA1079" s="2" t="s">
        <v>66</v>
      </c>
      <c r="AC1079" s="2" t="s">
        <v>67</v>
      </c>
      <c r="AD1079" s="2" t="s">
        <v>68</v>
      </c>
      <c r="AE1079" s="2" t="s">
        <v>69</v>
      </c>
      <c r="AF1079" s="2" t="s">
        <v>70</v>
      </c>
      <c r="AG1079" s="2" t="s">
        <v>9174</v>
      </c>
      <c r="AK1079" s="2" t="s">
        <v>9331</v>
      </c>
      <c r="AM1079" s="2" t="s">
        <v>72</v>
      </c>
      <c r="AN1079" s="2" t="s">
        <v>283</v>
      </c>
      <c r="AP1079" s="2" t="s">
        <v>9160</v>
      </c>
      <c r="AU1079" s="2" t="s">
        <v>75</v>
      </c>
      <c r="AW1079" s="2" t="s">
        <v>9332</v>
      </c>
      <c r="AZ1079" s="2" t="s">
        <v>116</v>
      </c>
    </row>
    <row r="1080" spans="1:52" s="3" customFormat="1" x14ac:dyDescent="0.35">
      <c r="A1080" s="2" t="s">
        <v>9333</v>
      </c>
      <c r="B1080" s="4">
        <v>240687</v>
      </c>
      <c r="C1080" s="2" t="s">
        <v>9334</v>
      </c>
      <c r="D1080" s="2">
        <f t="shared" si="16"/>
        <v>1</v>
      </c>
      <c r="G1080" s="2" t="s">
        <v>53</v>
      </c>
      <c r="H1080" s="4">
        <v>1</v>
      </c>
      <c r="I1080" s="4">
        <v>1</v>
      </c>
      <c r="J1080" s="4">
        <v>0</v>
      </c>
      <c r="L1080" s="4">
        <v>0</v>
      </c>
      <c r="M1080" s="2" t="s">
        <v>55</v>
      </c>
      <c r="N1080" s="2" t="s">
        <v>56</v>
      </c>
      <c r="O1080" s="2" t="s">
        <v>57</v>
      </c>
      <c r="P1080" s="2" t="s">
        <v>9174</v>
      </c>
      <c r="Q1080" s="2" t="s">
        <v>9175</v>
      </c>
      <c r="R1080" s="2" t="s">
        <v>9335</v>
      </c>
      <c r="S1080" s="2" t="s">
        <v>9336</v>
      </c>
      <c r="V1080" s="2" t="s">
        <v>9337</v>
      </c>
      <c r="W1080" s="2" t="s">
        <v>9338</v>
      </c>
      <c r="Y1080" s="2" t="s">
        <v>64</v>
      </c>
      <c r="Z1080" s="2" t="s">
        <v>65</v>
      </c>
      <c r="AA1080" s="2" t="s">
        <v>66</v>
      </c>
      <c r="AC1080" s="2" t="s">
        <v>67</v>
      </c>
      <c r="AD1080" s="2" t="s">
        <v>68</v>
      </c>
      <c r="AE1080" s="2" t="s">
        <v>69</v>
      </c>
      <c r="AF1080" s="2" t="s">
        <v>70</v>
      </c>
      <c r="AG1080" s="2" t="s">
        <v>9174</v>
      </c>
      <c r="AK1080" s="2" t="s">
        <v>9339</v>
      </c>
      <c r="AM1080" s="2" t="s">
        <v>72</v>
      </c>
      <c r="AN1080" s="2" t="s">
        <v>344</v>
      </c>
      <c r="AP1080" s="2" t="s">
        <v>9160</v>
      </c>
      <c r="AU1080" s="2" t="s">
        <v>75</v>
      </c>
      <c r="AV1080" s="2" t="s">
        <v>9340</v>
      </c>
      <c r="AW1080" s="2" t="s">
        <v>9341</v>
      </c>
      <c r="AZ1080" s="2" t="s">
        <v>116</v>
      </c>
    </row>
    <row r="1081" spans="1:52" s="3" customFormat="1" x14ac:dyDescent="0.35">
      <c r="A1081" s="2" t="s">
        <v>9342</v>
      </c>
      <c r="B1081" s="4">
        <v>240685</v>
      </c>
      <c r="C1081" s="2" t="s">
        <v>9343</v>
      </c>
      <c r="D1081" s="2">
        <f t="shared" si="16"/>
        <v>1</v>
      </c>
      <c r="G1081" s="2" t="s">
        <v>53</v>
      </c>
      <c r="H1081" s="4">
        <v>1</v>
      </c>
      <c r="I1081" s="4">
        <v>1</v>
      </c>
      <c r="J1081" s="4">
        <v>0</v>
      </c>
      <c r="L1081" s="4">
        <v>0</v>
      </c>
      <c r="M1081" s="2" t="s">
        <v>55</v>
      </c>
      <c r="N1081" s="2" t="s">
        <v>56</v>
      </c>
      <c r="O1081" s="2" t="s">
        <v>57</v>
      </c>
      <c r="P1081" s="2" t="s">
        <v>9174</v>
      </c>
      <c r="Q1081" s="2" t="s">
        <v>9175</v>
      </c>
      <c r="R1081" s="2" t="s">
        <v>9344</v>
      </c>
      <c r="S1081" s="2" t="s">
        <v>9345</v>
      </c>
      <c r="V1081" s="2" t="s">
        <v>9346</v>
      </c>
      <c r="W1081" s="2" t="s">
        <v>9347</v>
      </c>
      <c r="Y1081" s="2" t="s">
        <v>64</v>
      </c>
      <c r="Z1081" s="2" t="s">
        <v>65</v>
      </c>
      <c r="AA1081" s="2" t="s">
        <v>66</v>
      </c>
      <c r="AC1081" s="2" t="s">
        <v>67</v>
      </c>
      <c r="AD1081" s="2" t="s">
        <v>68</v>
      </c>
      <c r="AE1081" s="2" t="s">
        <v>69</v>
      </c>
      <c r="AF1081" s="2" t="s">
        <v>70</v>
      </c>
      <c r="AG1081" s="2" t="s">
        <v>9174</v>
      </c>
      <c r="AK1081" s="2" t="s">
        <v>9348</v>
      </c>
      <c r="AM1081" s="2" t="s">
        <v>72</v>
      </c>
      <c r="AN1081" s="2" t="s">
        <v>595</v>
      </c>
      <c r="AP1081" s="2" t="s">
        <v>9160</v>
      </c>
      <c r="AU1081" s="2" t="s">
        <v>75</v>
      </c>
      <c r="AW1081" s="2" t="s">
        <v>9349</v>
      </c>
      <c r="AZ1081" s="2" t="s">
        <v>116</v>
      </c>
    </row>
    <row r="1082" spans="1:52" s="3" customFormat="1" x14ac:dyDescent="0.35">
      <c r="A1082" s="2" t="s">
        <v>9350</v>
      </c>
      <c r="B1082" s="4">
        <v>240684</v>
      </c>
      <c r="C1082" s="2" t="s">
        <v>9351</v>
      </c>
      <c r="D1082" s="2">
        <f t="shared" si="16"/>
        <v>1</v>
      </c>
      <c r="G1082" s="2" t="s">
        <v>53</v>
      </c>
      <c r="H1082" s="4">
        <v>1</v>
      </c>
      <c r="I1082" s="4">
        <v>1</v>
      </c>
      <c r="J1082" s="4">
        <v>0</v>
      </c>
      <c r="L1082" s="4">
        <v>0</v>
      </c>
      <c r="M1082" s="2" t="s">
        <v>55</v>
      </c>
      <c r="N1082" s="2" t="s">
        <v>56</v>
      </c>
      <c r="O1082" s="2" t="s">
        <v>57</v>
      </c>
      <c r="P1082" s="2" t="s">
        <v>9174</v>
      </c>
      <c r="Q1082" s="2" t="s">
        <v>9175</v>
      </c>
      <c r="R1082" s="2" t="s">
        <v>9352</v>
      </c>
      <c r="S1082" s="2" t="s">
        <v>9353</v>
      </c>
      <c r="V1082" s="2" t="s">
        <v>9354</v>
      </c>
      <c r="W1082" s="2" t="s">
        <v>9355</v>
      </c>
      <c r="Y1082" s="2" t="s">
        <v>64</v>
      </c>
      <c r="Z1082" s="2" t="s">
        <v>65</v>
      </c>
      <c r="AA1082" s="2" t="s">
        <v>66</v>
      </c>
      <c r="AC1082" s="2" t="s">
        <v>67</v>
      </c>
      <c r="AD1082" s="2" t="s">
        <v>68</v>
      </c>
      <c r="AE1082" s="2" t="s">
        <v>69</v>
      </c>
      <c r="AF1082" s="2" t="s">
        <v>70</v>
      </c>
      <c r="AG1082" s="2" t="s">
        <v>9174</v>
      </c>
      <c r="AK1082" s="2" t="s">
        <v>9356</v>
      </c>
      <c r="AM1082" s="2" t="s">
        <v>72</v>
      </c>
      <c r="AN1082" s="2" t="s">
        <v>595</v>
      </c>
      <c r="AP1082" s="2" t="s">
        <v>9160</v>
      </c>
      <c r="AU1082" s="2" t="s">
        <v>75</v>
      </c>
      <c r="AW1082" s="2" t="s">
        <v>9357</v>
      </c>
      <c r="AZ1082" s="2" t="s">
        <v>116</v>
      </c>
    </row>
    <row r="1083" spans="1:52" s="3" customFormat="1" x14ac:dyDescent="0.35">
      <c r="A1083" s="2" t="s">
        <v>9358</v>
      </c>
      <c r="B1083" s="4">
        <v>240683</v>
      </c>
      <c r="C1083" s="2" t="s">
        <v>9359</v>
      </c>
      <c r="D1083" s="2">
        <f t="shared" si="16"/>
        <v>1</v>
      </c>
      <c r="G1083" s="2" t="s">
        <v>53</v>
      </c>
      <c r="H1083" s="4">
        <v>1</v>
      </c>
      <c r="I1083" s="4">
        <v>1</v>
      </c>
      <c r="J1083" s="4">
        <v>0</v>
      </c>
      <c r="L1083" s="4">
        <v>0</v>
      </c>
      <c r="M1083" s="2" t="s">
        <v>55</v>
      </c>
      <c r="N1083" s="2" t="s">
        <v>56</v>
      </c>
      <c r="O1083" s="2" t="s">
        <v>57</v>
      </c>
      <c r="P1083" s="2" t="s">
        <v>9174</v>
      </c>
      <c r="Q1083" s="2" t="s">
        <v>9175</v>
      </c>
      <c r="R1083" s="2" t="s">
        <v>9360</v>
      </c>
      <c r="S1083" s="2" t="s">
        <v>9361</v>
      </c>
      <c r="V1083" s="2" t="s">
        <v>9362</v>
      </c>
      <c r="W1083" s="2" t="s">
        <v>5142</v>
      </c>
      <c r="Y1083" s="2" t="s">
        <v>64</v>
      </c>
      <c r="Z1083" s="2" t="s">
        <v>65</v>
      </c>
      <c r="AA1083" s="2" t="s">
        <v>66</v>
      </c>
      <c r="AC1083" s="2" t="s">
        <v>67</v>
      </c>
      <c r="AD1083" s="2" t="s">
        <v>68</v>
      </c>
      <c r="AE1083" s="2" t="s">
        <v>69</v>
      </c>
      <c r="AF1083" s="2" t="s">
        <v>70</v>
      </c>
      <c r="AG1083" s="2" t="s">
        <v>9174</v>
      </c>
      <c r="AK1083" s="2" t="s">
        <v>9363</v>
      </c>
      <c r="AM1083" s="2" t="s">
        <v>72</v>
      </c>
      <c r="AN1083" s="2" t="s">
        <v>1383</v>
      </c>
      <c r="AP1083" s="2" t="s">
        <v>9160</v>
      </c>
      <c r="AU1083" s="2" t="s">
        <v>75</v>
      </c>
      <c r="AV1083" s="2" t="s">
        <v>223</v>
      </c>
      <c r="AW1083" s="2" t="s">
        <v>9364</v>
      </c>
      <c r="AZ1083" s="2" t="s">
        <v>116</v>
      </c>
    </row>
    <row r="1084" spans="1:52" s="3" customFormat="1" x14ac:dyDescent="0.35">
      <c r="A1084" s="2" t="s">
        <v>9365</v>
      </c>
      <c r="B1084" s="4">
        <v>240629</v>
      </c>
      <c r="C1084" s="2" t="s">
        <v>9366</v>
      </c>
      <c r="D1084" s="2">
        <f t="shared" si="16"/>
        <v>1</v>
      </c>
      <c r="F1084" s="2" t="s">
        <v>9367</v>
      </c>
      <c r="G1084" s="2" t="s">
        <v>53</v>
      </c>
      <c r="H1084" s="4">
        <v>1</v>
      </c>
      <c r="I1084" s="4">
        <v>0</v>
      </c>
      <c r="J1084" s="4">
        <v>0</v>
      </c>
      <c r="L1084" s="4">
        <v>0</v>
      </c>
      <c r="N1084" s="2" t="s">
        <v>56</v>
      </c>
      <c r="O1084" s="2" t="s">
        <v>57</v>
      </c>
      <c r="P1084" s="2" t="s">
        <v>4619</v>
      </c>
      <c r="Q1084" s="2" t="s">
        <v>4620</v>
      </c>
      <c r="R1084" s="2" t="s">
        <v>9368</v>
      </c>
      <c r="S1084" s="2" t="s">
        <v>9369</v>
      </c>
      <c r="V1084" s="2" t="s">
        <v>9370</v>
      </c>
      <c r="W1084" s="2" t="s">
        <v>9371</v>
      </c>
      <c r="Y1084" s="2" t="s">
        <v>9372</v>
      </c>
      <c r="Z1084" s="2" t="s">
        <v>9373</v>
      </c>
      <c r="AA1084" s="2" t="s">
        <v>9374</v>
      </c>
      <c r="AC1084" s="2" t="s">
        <v>9375</v>
      </c>
      <c r="AD1084" s="2" t="s">
        <v>3756</v>
      </c>
      <c r="AE1084" s="2" t="s">
        <v>2980</v>
      </c>
      <c r="AF1084" s="2" t="s">
        <v>70</v>
      </c>
      <c r="AK1084" s="2" t="s">
        <v>9376</v>
      </c>
      <c r="AL1084" s="2" t="s">
        <v>9170</v>
      </c>
      <c r="AM1084" s="2" t="s">
        <v>72</v>
      </c>
      <c r="AN1084" s="2" t="s">
        <v>73</v>
      </c>
      <c r="AP1084" s="2" t="s">
        <v>3341</v>
      </c>
      <c r="AT1084" s="2" t="s">
        <v>114</v>
      </c>
      <c r="AU1084" s="2" t="s">
        <v>75</v>
      </c>
      <c r="AW1084" s="2" t="s">
        <v>9377</v>
      </c>
      <c r="AZ1084" s="2" t="s">
        <v>116</v>
      </c>
    </row>
    <row r="1085" spans="1:52" s="3" customFormat="1" x14ac:dyDescent="0.35">
      <c r="A1085" s="2" t="s">
        <v>9378</v>
      </c>
      <c r="B1085" s="4">
        <v>240520</v>
      </c>
      <c r="C1085" s="2" t="s">
        <v>9379</v>
      </c>
      <c r="D1085" s="2">
        <f t="shared" si="16"/>
        <v>1</v>
      </c>
      <c r="F1085" s="2" t="s">
        <v>9380</v>
      </c>
      <c r="G1085" s="2" t="s">
        <v>53</v>
      </c>
      <c r="H1085" s="4">
        <v>1</v>
      </c>
      <c r="I1085" s="4">
        <v>1</v>
      </c>
      <c r="J1085" s="4">
        <v>0</v>
      </c>
      <c r="L1085" s="4">
        <v>0</v>
      </c>
      <c r="M1085" s="2" t="s">
        <v>55</v>
      </c>
      <c r="N1085" s="2" t="s">
        <v>56</v>
      </c>
      <c r="O1085" s="2" t="s">
        <v>57</v>
      </c>
      <c r="P1085" s="2" t="s">
        <v>4877</v>
      </c>
      <c r="Q1085" s="2" t="s">
        <v>4878</v>
      </c>
      <c r="R1085" s="2" t="s">
        <v>9381</v>
      </c>
      <c r="S1085" s="2" t="s">
        <v>9382</v>
      </c>
      <c r="V1085" s="2" t="s">
        <v>9383</v>
      </c>
      <c r="W1085" s="2" t="s">
        <v>9384</v>
      </c>
      <c r="Y1085" s="2" t="s">
        <v>64</v>
      </c>
      <c r="Z1085" s="2" t="s">
        <v>65</v>
      </c>
      <c r="AA1085" s="2" t="s">
        <v>66</v>
      </c>
      <c r="AC1085" s="2" t="s">
        <v>67</v>
      </c>
      <c r="AD1085" s="2" t="s">
        <v>68</v>
      </c>
      <c r="AE1085" s="2" t="s">
        <v>69</v>
      </c>
      <c r="AF1085" s="2" t="s">
        <v>70</v>
      </c>
      <c r="AG1085" s="2" t="s">
        <v>4877</v>
      </c>
      <c r="AK1085" s="2" t="s">
        <v>9385</v>
      </c>
      <c r="AM1085" s="2" t="s">
        <v>72</v>
      </c>
      <c r="AN1085" s="2" t="s">
        <v>73</v>
      </c>
      <c r="AP1085" s="2" t="s">
        <v>3758</v>
      </c>
      <c r="AU1085" s="2" t="s">
        <v>75</v>
      </c>
      <c r="AW1085" s="2" t="s">
        <v>9386</v>
      </c>
      <c r="AZ1085" s="2" t="s">
        <v>116</v>
      </c>
    </row>
    <row r="1086" spans="1:52" s="3" customFormat="1" x14ac:dyDescent="0.35">
      <c r="A1086" s="2" t="s">
        <v>9387</v>
      </c>
      <c r="B1086" s="4">
        <v>240417</v>
      </c>
      <c r="C1086" s="2" t="s">
        <v>9388</v>
      </c>
      <c r="D1086" s="2">
        <f t="shared" si="16"/>
        <v>1</v>
      </c>
      <c r="F1086" s="2" t="s">
        <v>9389</v>
      </c>
      <c r="G1086" s="2" t="s">
        <v>53</v>
      </c>
      <c r="H1086" s="4">
        <v>1</v>
      </c>
      <c r="I1086" s="4">
        <v>0</v>
      </c>
      <c r="J1086" s="4">
        <v>0</v>
      </c>
      <c r="L1086" s="4">
        <v>0</v>
      </c>
      <c r="N1086" s="2" t="s">
        <v>56</v>
      </c>
      <c r="O1086" s="2" t="s">
        <v>57</v>
      </c>
      <c r="P1086" s="2" t="s">
        <v>4619</v>
      </c>
      <c r="Q1086" s="2" t="s">
        <v>4620</v>
      </c>
      <c r="R1086" s="2" t="s">
        <v>9390</v>
      </c>
      <c r="S1086" s="2" t="s">
        <v>9391</v>
      </c>
      <c r="V1086" s="2" t="s">
        <v>9392</v>
      </c>
      <c r="W1086" s="2" t="s">
        <v>9393</v>
      </c>
      <c r="Y1086" s="2" t="s">
        <v>9394</v>
      </c>
      <c r="Z1086" s="2" t="s">
        <v>9395</v>
      </c>
      <c r="AA1086" s="2" t="s">
        <v>2820</v>
      </c>
      <c r="AB1086" s="2" t="s">
        <v>9396</v>
      </c>
      <c r="AC1086" s="2" t="s">
        <v>9397</v>
      </c>
      <c r="AD1086" s="2" t="s">
        <v>3756</v>
      </c>
      <c r="AE1086" s="2" t="s">
        <v>2980</v>
      </c>
      <c r="AF1086" s="2" t="s">
        <v>70</v>
      </c>
      <c r="AK1086" s="2" t="s">
        <v>9398</v>
      </c>
      <c r="AL1086" s="2" t="s">
        <v>9170</v>
      </c>
      <c r="AM1086" s="2" t="s">
        <v>72</v>
      </c>
      <c r="AN1086" s="2" t="s">
        <v>73</v>
      </c>
      <c r="AP1086" s="2" t="s">
        <v>3341</v>
      </c>
      <c r="AT1086" s="2" t="s">
        <v>114</v>
      </c>
      <c r="AU1086" s="2" t="s">
        <v>75</v>
      </c>
      <c r="AW1086" s="2" t="s">
        <v>9399</v>
      </c>
      <c r="AZ1086" s="2" t="s">
        <v>116</v>
      </c>
    </row>
    <row r="1087" spans="1:52" s="3" customFormat="1" x14ac:dyDescent="0.35">
      <c r="A1087" s="2" t="s">
        <v>9400</v>
      </c>
      <c r="B1087" s="4">
        <v>240377</v>
      </c>
      <c r="C1087" s="2" t="s">
        <v>9401</v>
      </c>
      <c r="D1087" s="2">
        <f t="shared" si="16"/>
        <v>1</v>
      </c>
      <c r="G1087" s="2" t="s">
        <v>53</v>
      </c>
      <c r="H1087" s="4">
        <v>1</v>
      </c>
      <c r="I1087" s="4">
        <v>1</v>
      </c>
      <c r="J1087" s="4">
        <v>0</v>
      </c>
      <c r="L1087" s="4">
        <v>0</v>
      </c>
      <c r="M1087" s="2" t="s">
        <v>55</v>
      </c>
      <c r="N1087" s="2" t="s">
        <v>56</v>
      </c>
      <c r="O1087" s="2" t="s">
        <v>57</v>
      </c>
      <c r="P1087" s="2" t="s">
        <v>9174</v>
      </c>
      <c r="Q1087" s="2" t="s">
        <v>9175</v>
      </c>
      <c r="R1087" s="2" t="s">
        <v>9402</v>
      </c>
      <c r="S1087" s="2" t="s">
        <v>9403</v>
      </c>
      <c r="V1087" s="2" t="s">
        <v>9404</v>
      </c>
      <c r="W1087" s="2" t="s">
        <v>9405</v>
      </c>
      <c r="Y1087" s="2" t="s">
        <v>9406</v>
      </c>
      <c r="Z1087" s="2" t="s">
        <v>9407</v>
      </c>
      <c r="AA1087" s="2" t="s">
        <v>2755</v>
      </c>
      <c r="AC1087" s="2" t="s">
        <v>3173</v>
      </c>
      <c r="AD1087" s="2" t="s">
        <v>2756</v>
      </c>
      <c r="AE1087" s="2" t="s">
        <v>2757</v>
      </c>
      <c r="AF1087" s="2" t="s">
        <v>70</v>
      </c>
      <c r="AG1087" s="2" t="s">
        <v>9174</v>
      </c>
      <c r="AK1087" s="2" t="s">
        <v>9408</v>
      </c>
      <c r="AM1087" s="2" t="s">
        <v>72</v>
      </c>
      <c r="AN1087" s="2" t="s">
        <v>232</v>
      </c>
      <c r="AP1087" s="2" t="s">
        <v>9160</v>
      </c>
      <c r="AU1087" s="2" t="s">
        <v>75</v>
      </c>
      <c r="AW1087" s="2" t="s">
        <v>9409</v>
      </c>
      <c r="AZ1087" s="2" t="s">
        <v>116</v>
      </c>
    </row>
    <row r="1088" spans="1:52" s="3" customFormat="1" x14ac:dyDescent="0.35">
      <c r="A1088" s="2" t="s">
        <v>9410</v>
      </c>
      <c r="B1088" s="4">
        <v>240349</v>
      </c>
      <c r="C1088" s="2" t="s">
        <v>9411</v>
      </c>
      <c r="D1088" s="2">
        <f t="shared" si="16"/>
        <v>1</v>
      </c>
      <c r="F1088" s="2" t="s">
        <v>9389</v>
      </c>
      <c r="G1088" s="2" t="s">
        <v>53</v>
      </c>
      <c r="H1088" s="4">
        <v>2</v>
      </c>
      <c r="I1088" s="4">
        <v>1</v>
      </c>
      <c r="J1088" s="4">
        <v>0</v>
      </c>
      <c r="L1088" s="4">
        <v>0</v>
      </c>
      <c r="M1088" s="2" t="s">
        <v>55</v>
      </c>
      <c r="N1088" s="2" t="s">
        <v>56</v>
      </c>
      <c r="O1088" s="2" t="s">
        <v>57</v>
      </c>
      <c r="P1088" s="2" t="s">
        <v>4619</v>
      </c>
      <c r="Q1088" s="2" t="s">
        <v>4620</v>
      </c>
      <c r="R1088" s="2" t="s">
        <v>9412</v>
      </c>
      <c r="S1088" s="2" t="s">
        <v>9413</v>
      </c>
      <c r="V1088" s="2" t="s">
        <v>9414</v>
      </c>
      <c r="W1088" s="2" t="s">
        <v>9415</v>
      </c>
      <c r="Y1088" s="2" t="s">
        <v>9416</v>
      </c>
      <c r="Z1088" s="2" t="s">
        <v>9417</v>
      </c>
      <c r="AA1088" s="2" t="s">
        <v>3599</v>
      </c>
      <c r="AC1088" s="2" t="s">
        <v>9418</v>
      </c>
      <c r="AD1088" s="2" t="s">
        <v>68</v>
      </c>
      <c r="AE1088" s="2" t="s">
        <v>69</v>
      </c>
      <c r="AF1088" s="2" t="s">
        <v>70</v>
      </c>
      <c r="AG1088" s="2" t="s">
        <v>4619</v>
      </c>
      <c r="AK1088" s="2" t="s">
        <v>9419</v>
      </c>
      <c r="AM1088" s="2" t="s">
        <v>72</v>
      </c>
      <c r="AN1088" s="2" t="s">
        <v>403</v>
      </c>
      <c r="AP1088" s="2" t="s">
        <v>3341</v>
      </c>
      <c r="AT1088" s="2" t="s">
        <v>114</v>
      </c>
      <c r="AU1088" s="2" t="s">
        <v>75</v>
      </c>
      <c r="AW1088" s="2" t="s">
        <v>9420</v>
      </c>
      <c r="AZ1088" s="2" t="s">
        <v>116</v>
      </c>
    </row>
    <row r="1089" spans="1:52" s="3" customFormat="1" x14ac:dyDescent="0.35">
      <c r="A1089" s="2" t="s">
        <v>9421</v>
      </c>
      <c r="B1089" s="4">
        <v>240308</v>
      </c>
      <c r="C1089" s="2" t="s">
        <v>9422</v>
      </c>
      <c r="D1089" s="2">
        <f t="shared" si="16"/>
        <v>1</v>
      </c>
      <c r="G1089" s="2" t="s">
        <v>53</v>
      </c>
      <c r="H1089" s="4">
        <v>1</v>
      </c>
      <c r="I1089" s="4">
        <v>1</v>
      </c>
      <c r="J1089" s="4">
        <v>0</v>
      </c>
      <c r="L1089" s="4">
        <v>0</v>
      </c>
      <c r="M1089" s="2" t="s">
        <v>55</v>
      </c>
      <c r="N1089" s="2" t="s">
        <v>56</v>
      </c>
      <c r="O1089" s="2" t="s">
        <v>57</v>
      </c>
      <c r="P1089" s="2" t="s">
        <v>7677</v>
      </c>
      <c r="Q1089" s="2" t="s">
        <v>7678</v>
      </c>
      <c r="R1089" s="2" t="s">
        <v>9423</v>
      </c>
      <c r="S1089" s="2" t="s">
        <v>9424</v>
      </c>
      <c r="V1089" s="2" t="s">
        <v>9425</v>
      </c>
      <c r="W1089" s="2" t="s">
        <v>9426</v>
      </c>
      <c r="Y1089" s="2" t="s">
        <v>64</v>
      </c>
      <c r="Z1089" s="2" t="s">
        <v>65</v>
      </c>
      <c r="AA1089" s="2" t="s">
        <v>66</v>
      </c>
      <c r="AC1089" s="2" t="s">
        <v>67</v>
      </c>
      <c r="AD1089" s="2" t="s">
        <v>68</v>
      </c>
      <c r="AE1089" s="2" t="s">
        <v>69</v>
      </c>
      <c r="AF1089" s="2" t="s">
        <v>70</v>
      </c>
      <c r="AG1089" s="2" t="s">
        <v>7677</v>
      </c>
      <c r="AK1089" s="2" t="s">
        <v>9427</v>
      </c>
      <c r="AM1089" s="2" t="s">
        <v>72</v>
      </c>
      <c r="AN1089" s="2" t="s">
        <v>403</v>
      </c>
      <c r="AP1089" s="2" t="s">
        <v>7682</v>
      </c>
      <c r="AU1089" s="2" t="s">
        <v>75</v>
      </c>
      <c r="AW1089" s="2" t="s">
        <v>9428</v>
      </c>
      <c r="AZ1089" s="2" t="s">
        <v>116</v>
      </c>
    </row>
    <row r="1090" spans="1:52" s="3" customFormat="1" x14ac:dyDescent="0.35">
      <c r="A1090" s="2" t="s">
        <v>9430</v>
      </c>
      <c r="B1090" s="4">
        <v>240297</v>
      </c>
      <c r="C1090" s="2" t="s">
        <v>9431</v>
      </c>
      <c r="D1090" s="2">
        <f t="shared" si="16"/>
        <v>1</v>
      </c>
      <c r="F1090" s="2" t="s">
        <v>9429</v>
      </c>
      <c r="G1090" s="2" t="s">
        <v>53</v>
      </c>
      <c r="H1090" s="4">
        <v>1</v>
      </c>
      <c r="I1090" s="4">
        <v>0</v>
      </c>
      <c r="J1090" s="4">
        <v>0</v>
      </c>
      <c r="L1090" s="4">
        <v>0</v>
      </c>
      <c r="N1090" s="2" t="s">
        <v>56</v>
      </c>
      <c r="O1090" s="2" t="s">
        <v>57</v>
      </c>
      <c r="P1090" s="2" t="s">
        <v>4619</v>
      </c>
      <c r="Q1090" s="2" t="s">
        <v>4620</v>
      </c>
      <c r="R1090" s="2" t="s">
        <v>9432</v>
      </c>
      <c r="S1090" s="2" t="s">
        <v>9433</v>
      </c>
      <c r="V1090" s="2" t="s">
        <v>9434</v>
      </c>
      <c r="W1090" s="2" t="s">
        <v>9435</v>
      </c>
      <c r="Y1090" s="2" t="s">
        <v>9436</v>
      </c>
      <c r="Z1090" s="2" t="s">
        <v>9437</v>
      </c>
      <c r="AA1090" s="2" t="s">
        <v>9438</v>
      </c>
      <c r="AB1090" s="2" t="s">
        <v>9439</v>
      </c>
      <c r="AC1090" s="2" t="s">
        <v>9440</v>
      </c>
      <c r="AD1090" s="2" t="s">
        <v>3756</v>
      </c>
      <c r="AE1090" s="2" t="s">
        <v>2980</v>
      </c>
      <c r="AF1090" s="2" t="s">
        <v>70</v>
      </c>
      <c r="AK1090" s="2" t="s">
        <v>9441</v>
      </c>
      <c r="AL1090" s="2" t="s">
        <v>4629</v>
      </c>
      <c r="AM1090" s="2" t="s">
        <v>72</v>
      </c>
      <c r="AN1090" s="2" t="s">
        <v>73</v>
      </c>
      <c r="AP1090" s="2" t="s">
        <v>3341</v>
      </c>
      <c r="AT1090" s="2" t="s">
        <v>114</v>
      </c>
      <c r="AU1090" s="2" t="s">
        <v>75</v>
      </c>
      <c r="AW1090" s="2" t="s">
        <v>9442</v>
      </c>
      <c r="AZ1090" s="2" t="s">
        <v>116</v>
      </c>
    </row>
    <row r="1091" spans="1:52" s="3" customFormat="1" x14ac:dyDescent="0.35">
      <c r="A1091" s="2" t="s">
        <v>9443</v>
      </c>
      <c r="B1091" s="4">
        <v>240229</v>
      </c>
      <c r="C1091" s="2" t="s">
        <v>9444</v>
      </c>
      <c r="D1091" s="2">
        <f t="shared" ref="D1091:D1133" si="17">MONTH(C1091)</f>
        <v>1</v>
      </c>
      <c r="F1091" s="2" t="s">
        <v>9445</v>
      </c>
      <c r="G1091" s="2" t="s">
        <v>53</v>
      </c>
      <c r="H1091" s="4">
        <v>1</v>
      </c>
      <c r="I1091" s="4">
        <v>0</v>
      </c>
      <c r="J1091" s="4">
        <v>0</v>
      </c>
      <c r="L1091" s="4">
        <v>0</v>
      </c>
      <c r="N1091" s="2" t="s">
        <v>56</v>
      </c>
      <c r="O1091" s="2" t="s">
        <v>57</v>
      </c>
      <c r="P1091" s="2" t="s">
        <v>4619</v>
      </c>
      <c r="Q1091" s="2" t="s">
        <v>4620</v>
      </c>
      <c r="R1091" s="2" t="s">
        <v>9446</v>
      </c>
      <c r="S1091" s="2" t="s">
        <v>8092</v>
      </c>
      <c r="V1091" s="2" t="s">
        <v>8093</v>
      </c>
      <c r="W1091" s="2" t="s">
        <v>9447</v>
      </c>
      <c r="Y1091" s="2" t="s">
        <v>8095</v>
      </c>
      <c r="Z1091" s="2" t="s">
        <v>8096</v>
      </c>
      <c r="AA1091" s="2" t="s">
        <v>8097</v>
      </c>
      <c r="AC1091" s="2" t="s">
        <v>8098</v>
      </c>
      <c r="AD1091" s="2" t="s">
        <v>3756</v>
      </c>
      <c r="AE1091" s="2" t="s">
        <v>2980</v>
      </c>
      <c r="AF1091" s="2" t="s">
        <v>70</v>
      </c>
      <c r="AK1091" s="2" t="s">
        <v>9448</v>
      </c>
      <c r="AL1091" s="2" t="s">
        <v>4629</v>
      </c>
      <c r="AM1091" s="2" t="s">
        <v>72</v>
      </c>
      <c r="AN1091" s="2" t="s">
        <v>73</v>
      </c>
      <c r="AP1091" s="2" t="s">
        <v>3341</v>
      </c>
      <c r="AT1091" s="2" t="s">
        <v>114</v>
      </c>
      <c r="AU1091" s="2" t="s">
        <v>75</v>
      </c>
      <c r="AW1091" s="2" t="s">
        <v>8100</v>
      </c>
      <c r="AZ1091" s="2" t="s">
        <v>116</v>
      </c>
    </row>
    <row r="1092" spans="1:52" s="3" customFormat="1" x14ac:dyDescent="0.35">
      <c r="A1092" s="2" t="s">
        <v>9449</v>
      </c>
      <c r="B1092" s="4">
        <v>240227</v>
      </c>
      <c r="C1092" s="2" t="s">
        <v>9450</v>
      </c>
      <c r="D1092" s="2">
        <f t="shared" si="17"/>
        <v>1</v>
      </c>
      <c r="F1092" s="2" t="s">
        <v>9445</v>
      </c>
      <c r="G1092" s="2" t="s">
        <v>53</v>
      </c>
      <c r="H1092" s="4">
        <v>1</v>
      </c>
      <c r="I1092" s="4">
        <v>0</v>
      </c>
      <c r="J1092" s="4">
        <v>0</v>
      </c>
      <c r="L1092" s="4">
        <v>0</v>
      </c>
      <c r="N1092" s="2" t="s">
        <v>56</v>
      </c>
      <c r="O1092" s="2" t="s">
        <v>57</v>
      </c>
      <c r="P1092" s="2" t="s">
        <v>4619</v>
      </c>
      <c r="Q1092" s="2" t="s">
        <v>4620</v>
      </c>
      <c r="R1092" s="2" t="s">
        <v>9451</v>
      </c>
      <c r="S1092" s="2" t="s">
        <v>5968</v>
      </c>
      <c r="V1092" s="2" t="s">
        <v>5969</v>
      </c>
      <c r="W1092" s="2" t="s">
        <v>9452</v>
      </c>
      <c r="Y1092" s="2" t="s">
        <v>9453</v>
      </c>
      <c r="Z1092" s="2" t="s">
        <v>8134</v>
      </c>
      <c r="AA1092" s="2" t="s">
        <v>9454</v>
      </c>
      <c r="AB1092" s="2" t="s">
        <v>9455</v>
      </c>
      <c r="AC1092" s="2" t="s">
        <v>9456</v>
      </c>
      <c r="AD1092" s="2" t="s">
        <v>68</v>
      </c>
      <c r="AE1092" s="2" t="s">
        <v>69</v>
      </c>
      <c r="AF1092" s="2" t="s">
        <v>70</v>
      </c>
      <c r="AK1092" s="2" t="s">
        <v>9457</v>
      </c>
      <c r="AL1092" s="2" t="s">
        <v>4629</v>
      </c>
      <c r="AM1092" s="2" t="s">
        <v>72</v>
      </c>
      <c r="AN1092" s="2" t="s">
        <v>73</v>
      </c>
      <c r="AP1092" s="2" t="s">
        <v>3341</v>
      </c>
      <c r="AT1092" s="2" t="s">
        <v>114</v>
      </c>
      <c r="AU1092" s="2" t="s">
        <v>75</v>
      </c>
      <c r="AV1092" s="2" t="s">
        <v>5973</v>
      </c>
      <c r="AW1092" s="2" t="s">
        <v>5974</v>
      </c>
      <c r="AZ1092" s="2" t="s">
        <v>116</v>
      </c>
    </row>
    <row r="1093" spans="1:52" s="3" customFormat="1" x14ac:dyDescent="0.35">
      <c r="A1093" s="2" t="s">
        <v>9458</v>
      </c>
      <c r="B1093" s="4">
        <v>240160</v>
      </c>
      <c r="C1093" s="2" t="s">
        <v>9459</v>
      </c>
      <c r="D1093" s="2">
        <f t="shared" si="17"/>
        <v>1</v>
      </c>
      <c r="F1093" s="2" t="s">
        <v>9445</v>
      </c>
      <c r="G1093" s="2" t="s">
        <v>53</v>
      </c>
      <c r="H1093" s="4">
        <v>1</v>
      </c>
      <c r="I1093" s="4">
        <v>0</v>
      </c>
      <c r="J1093" s="4">
        <v>0</v>
      </c>
      <c r="L1093" s="4">
        <v>0</v>
      </c>
      <c r="N1093" s="2" t="s">
        <v>56</v>
      </c>
      <c r="O1093" s="2" t="s">
        <v>57</v>
      </c>
      <c r="P1093" s="2" t="s">
        <v>4619</v>
      </c>
      <c r="Q1093" s="2" t="s">
        <v>4620</v>
      </c>
      <c r="R1093" s="2" t="s">
        <v>9451</v>
      </c>
      <c r="S1093" s="2" t="s">
        <v>5968</v>
      </c>
      <c r="V1093" s="2" t="s">
        <v>5969</v>
      </c>
      <c r="W1093" s="2" t="s">
        <v>9452</v>
      </c>
      <c r="Y1093" s="2" t="s">
        <v>9453</v>
      </c>
      <c r="Z1093" s="2" t="s">
        <v>8134</v>
      </c>
      <c r="AA1093" s="2" t="s">
        <v>9454</v>
      </c>
      <c r="AB1093" s="2" t="s">
        <v>9455</v>
      </c>
      <c r="AC1093" s="2" t="s">
        <v>9456</v>
      </c>
      <c r="AD1093" s="2" t="s">
        <v>68</v>
      </c>
      <c r="AE1093" s="2" t="s">
        <v>69</v>
      </c>
      <c r="AF1093" s="2" t="s">
        <v>70</v>
      </c>
      <c r="AK1093" s="2" t="s">
        <v>9460</v>
      </c>
      <c r="AL1093" s="2" t="s">
        <v>4629</v>
      </c>
      <c r="AM1093" s="2" t="s">
        <v>72</v>
      </c>
      <c r="AN1093" s="2" t="s">
        <v>73</v>
      </c>
      <c r="AP1093" s="2" t="s">
        <v>3341</v>
      </c>
      <c r="AT1093" s="2" t="s">
        <v>114</v>
      </c>
      <c r="AU1093" s="2" t="s">
        <v>75</v>
      </c>
      <c r="AV1093" s="2" t="s">
        <v>5973</v>
      </c>
      <c r="AW1093" s="2" t="s">
        <v>5974</v>
      </c>
      <c r="AZ1093" s="2" t="s">
        <v>116</v>
      </c>
    </row>
    <row r="1094" spans="1:52" s="3" customFormat="1" x14ac:dyDescent="0.35">
      <c r="A1094" s="2" t="s">
        <v>9461</v>
      </c>
      <c r="B1094" s="4">
        <v>240159</v>
      </c>
      <c r="C1094" s="2" t="s">
        <v>9462</v>
      </c>
      <c r="D1094" s="2">
        <f t="shared" si="17"/>
        <v>1</v>
      </c>
      <c r="F1094" s="2" t="s">
        <v>7953</v>
      </c>
      <c r="G1094" s="2" t="s">
        <v>53</v>
      </c>
      <c r="H1094" s="4">
        <v>1</v>
      </c>
      <c r="I1094" s="4">
        <v>1</v>
      </c>
      <c r="J1094" s="5">
        <v>1500000</v>
      </c>
      <c r="K1094" s="2" t="s">
        <v>1252</v>
      </c>
      <c r="L1094" s="5">
        <v>1407750</v>
      </c>
      <c r="M1094" s="2" t="s">
        <v>55</v>
      </c>
      <c r="N1094" s="2" t="s">
        <v>1253</v>
      </c>
      <c r="O1094" s="2" t="s">
        <v>1254</v>
      </c>
      <c r="P1094" s="2" t="s">
        <v>9463</v>
      </c>
      <c r="Q1094" s="2" t="s">
        <v>9464</v>
      </c>
      <c r="R1094" s="2" t="s">
        <v>9465</v>
      </c>
      <c r="T1094" s="2" t="s">
        <v>9466</v>
      </c>
      <c r="U1094" s="2" t="s">
        <v>9467</v>
      </c>
      <c r="V1094" s="2" t="s">
        <v>9468</v>
      </c>
      <c r="W1094" s="2" t="s">
        <v>9469</v>
      </c>
      <c r="X1094" s="2" t="s">
        <v>9470</v>
      </c>
      <c r="Y1094" s="2" t="s">
        <v>9471</v>
      </c>
      <c r="Z1094" s="2" t="s">
        <v>9472</v>
      </c>
      <c r="AA1094" s="2" t="s">
        <v>9473</v>
      </c>
      <c r="AC1094" s="2" t="s">
        <v>9472</v>
      </c>
      <c r="AD1094" s="2" t="s">
        <v>68</v>
      </c>
      <c r="AE1094" s="2" t="s">
        <v>69</v>
      </c>
      <c r="AF1094" s="2" t="s">
        <v>70</v>
      </c>
      <c r="AG1094" s="2" t="s">
        <v>9474</v>
      </c>
      <c r="AK1094" s="2" t="s">
        <v>9475</v>
      </c>
      <c r="AM1094" s="2" t="s">
        <v>72</v>
      </c>
      <c r="AN1094" s="2" t="s">
        <v>1046</v>
      </c>
      <c r="AP1094" s="2" t="s">
        <v>2705</v>
      </c>
      <c r="AU1094" s="2" t="s">
        <v>75</v>
      </c>
      <c r="AV1094" s="2" t="s">
        <v>9476</v>
      </c>
      <c r="AW1094" s="2" t="s">
        <v>9477</v>
      </c>
      <c r="AX1094" s="2" t="s">
        <v>477</v>
      </c>
      <c r="AZ1094" s="2" t="s">
        <v>478</v>
      </c>
    </row>
    <row r="1095" spans="1:52" s="3" customFormat="1" x14ac:dyDescent="0.35">
      <c r="A1095" s="2" t="s">
        <v>9478</v>
      </c>
      <c r="B1095" s="4">
        <v>240121</v>
      </c>
      <c r="C1095" s="2" t="s">
        <v>9479</v>
      </c>
      <c r="D1095" s="2">
        <f t="shared" si="17"/>
        <v>1</v>
      </c>
      <c r="F1095" s="2" t="s">
        <v>9445</v>
      </c>
      <c r="G1095" s="2" t="s">
        <v>53</v>
      </c>
      <c r="H1095" s="4">
        <v>1</v>
      </c>
      <c r="I1095" s="4">
        <v>0</v>
      </c>
      <c r="J1095" s="4">
        <v>0</v>
      </c>
      <c r="L1095" s="4">
        <v>0</v>
      </c>
      <c r="N1095" s="2" t="s">
        <v>56</v>
      </c>
      <c r="O1095" s="2" t="s">
        <v>57</v>
      </c>
      <c r="P1095" s="2" t="s">
        <v>4619</v>
      </c>
      <c r="Q1095" s="2" t="s">
        <v>4620</v>
      </c>
      <c r="R1095" s="2" t="s">
        <v>9480</v>
      </c>
      <c r="S1095" s="2" t="s">
        <v>9481</v>
      </c>
      <c r="V1095" s="2" t="s">
        <v>9482</v>
      </c>
      <c r="W1095" s="2" t="s">
        <v>9483</v>
      </c>
      <c r="Y1095" s="2" t="s">
        <v>7843</v>
      </c>
      <c r="Z1095" s="2" t="s">
        <v>7844</v>
      </c>
      <c r="AA1095" s="2" t="s">
        <v>7845</v>
      </c>
      <c r="AB1095" s="2" t="s">
        <v>9484</v>
      </c>
      <c r="AC1095" s="2" t="s">
        <v>7847</v>
      </c>
      <c r="AD1095" s="2" t="s">
        <v>3756</v>
      </c>
      <c r="AE1095" s="2" t="s">
        <v>2980</v>
      </c>
      <c r="AF1095" s="2" t="s">
        <v>70</v>
      </c>
      <c r="AK1095" s="2" t="s">
        <v>9485</v>
      </c>
      <c r="AL1095" s="2" t="s">
        <v>4629</v>
      </c>
      <c r="AM1095" s="2" t="s">
        <v>72</v>
      </c>
      <c r="AN1095" s="2" t="s">
        <v>73</v>
      </c>
      <c r="AP1095" s="2" t="s">
        <v>3341</v>
      </c>
      <c r="AT1095" s="2" t="s">
        <v>114</v>
      </c>
      <c r="AU1095" s="2" t="s">
        <v>75</v>
      </c>
      <c r="AW1095" s="2" t="s">
        <v>9486</v>
      </c>
      <c r="AZ1095" s="2" t="s">
        <v>116</v>
      </c>
    </row>
    <row r="1096" spans="1:52" s="3" customFormat="1" x14ac:dyDescent="0.35">
      <c r="A1096" s="2" t="s">
        <v>9487</v>
      </c>
      <c r="B1096" s="4">
        <v>240092</v>
      </c>
      <c r="C1096" s="2" t="s">
        <v>9488</v>
      </c>
      <c r="D1096" s="2">
        <f t="shared" si="17"/>
        <v>1</v>
      </c>
      <c r="G1096" s="2" t="s">
        <v>53</v>
      </c>
      <c r="H1096" s="4">
        <v>1</v>
      </c>
      <c r="I1096" s="4">
        <v>1</v>
      </c>
      <c r="J1096" s="4">
        <v>0</v>
      </c>
      <c r="L1096" s="4">
        <v>0</v>
      </c>
      <c r="M1096" s="2" t="s">
        <v>55</v>
      </c>
      <c r="N1096" s="2" t="s">
        <v>56</v>
      </c>
      <c r="O1096" s="2" t="s">
        <v>57</v>
      </c>
      <c r="P1096" s="2" t="s">
        <v>9174</v>
      </c>
      <c r="Q1096" s="2" t="s">
        <v>9175</v>
      </c>
      <c r="R1096" s="2" t="s">
        <v>6833</v>
      </c>
      <c r="S1096" s="2" t="s">
        <v>6834</v>
      </c>
      <c r="V1096" s="2" t="s">
        <v>6835</v>
      </c>
      <c r="W1096" s="2" t="s">
        <v>6836</v>
      </c>
      <c r="Y1096" s="2" t="s">
        <v>64</v>
      </c>
      <c r="Z1096" s="2" t="s">
        <v>65</v>
      </c>
      <c r="AA1096" s="2" t="s">
        <v>66</v>
      </c>
      <c r="AC1096" s="2" t="s">
        <v>67</v>
      </c>
      <c r="AD1096" s="2" t="s">
        <v>68</v>
      </c>
      <c r="AE1096" s="2" t="s">
        <v>69</v>
      </c>
      <c r="AF1096" s="2" t="s">
        <v>70</v>
      </c>
      <c r="AG1096" s="2" t="s">
        <v>9174</v>
      </c>
      <c r="AK1096" s="2" t="s">
        <v>9489</v>
      </c>
      <c r="AM1096" s="2" t="s">
        <v>72</v>
      </c>
      <c r="AN1096" s="2" t="s">
        <v>595</v>
      </c>
      <c r="AP1096" s="2" t="s">
        <v>9160</v>
      </c>
      <c r="AU1096" s="2" t="s">
        <v>75</v>
      </c>
      <c r="AV1096" s="2" t="s">
        <v>6838</v>
      </c>
      <c r="AW1096" s="2" t="s">
        <v>6839</v>
      </c>
      <c r="AZ1096" s="2" t="s">
        <v>116</v>
      </c>
    </row>
    <row r="1097" spans="1:52" s="3" customFormat="1" x14ac:dyDescent="0.35">
      <c r="A1097" s="2" t="s">
        <v>9490</v>
      </c>
      <c r="B1097" s="4">
        <v>240086</v>
      </c>
      <c r="C1097" s="2" t="s">
        <v>9491</v>
      </c>
      <c r="D1097" s="2">
        <f t="shared" si="17"/>
        <v>1</v>
      </c>
      <c r="F1097" s="2" t="s">
        <v>3144</v>
      </c>
      <c r="G1097" s="2" t="s">
        <v>53</v>
      </c>
      <c r="H1097" s="4">
        <v>1</v>
      </c>
      <c r="I1097" s="4">
        <v>0</v>
      </c>
      <c r="J1097" s="4">
        <v>0</v>
      </c>
      <c r="L1097" s="4">
        <v>0</v>
      </c>
      <c r="N1097" s="2" t="s">
        <v>56</v>
      </c>
      <c r="O1097" s="2" t="s">
        <v>57</v>
      </c>
      <c r="P1097" s="2" t="s">
        <v>4619</v>
      </c>
      <c r="Q1097" s="2" t="s">
        <v>4620</v>
      </c>
      <c r="R1097" s="2" t="s">
        <v>9492</v>
      </c>
      <c r="S1097" s="2" t="s">
        <v>9493</v>
      </c>
      <c r="V1097" s="2" t="s">
        <v>9494</v>
      </c>
      <c r="W1097" s="2" t="s">
        <v>9495</v>
      </c>
      <c r="Y1097" s="2" t="s">
        <v>9496</v>
      </c>
      <c r="Z1097" s="2" t="s">
        <v>9497</v>
      </c>
      <c r="AA1097" s="2" t="s">
        <v>5960</v>
      </c>
      <c r="AC1097" s="2" t="s">
        <v>9498</v>
      </c>
      <c r="AD1097" s="2" t="s">
        <v>9499</v>
      </c>
      <c r="AE1097" s="2" t="s">
        <v>2980</v>
      </c>
      <c r="AF1097" s="2" t="s">
        <v>70</v>
      </c>
      <c r="AK1097" s="2" t="s">
        <v>9500</v>
      </c>
      <c r="AL1097" s="2" t="s">
        <v>4629</v>
      </c>
      <c r="AM1097" s="2" t="s">
        <v>72</v>
      </c>
      <c r="AN1097" s="2" t="s">
        <v>73</v>
      </c>
      <c r="AP1097" s="2" t="s">
        <v>3341</v>
      </c>
      <c r="AT1097" s="2" t="s">
        <v>114</v>
      </c>
      <c r="AU1097" s="2" t="s">
        <v>75</v>
      </c>
      <c r="AW1097" s="2" t="s">
        <v>9501</v>
      </c>
      <c r="AZ1097" s="2" t="s">
        <v>116</v>
      </c>
    </row>
    <row r="1098" spans="1:52" s="3" customFormat="1" x14ac:dyDescent="0.35">
      <c r="A1098" s="2" t="s">
        <v>9502</v>
      </c>
      <c r="B1098" s="4">
        <v>240082</v>
      </c>
      <c r="C1098" s="2" t="s">
        <v>9503</v>
      </c>
      <c r="D1098" s="2">
        <f t="shared" si="17"/>
        <v>1</v>
      </c>
      <c r="F1098" s="2" t="s">
        <v>3144</v>
      </c>
      <c r="G1098" s="2" t="s">
        <v>53</v>
      </c>
      <c r="H1098" s="4">
        <v>1</v>
      </c>
      <c r="I1098" s="4">
        <v>0</v>
      </c>
      <c r="J1098" s="4">
        <v>0</v>
      </c>
      <c r="L1098" s="4">
        <v>0</v>
      </c>
      <c r="N1098" s="2" t="s">
        <v>56</v>
      </c>
      <c r="O1098" s="2" t="s">
        <v>57</v>
      </c>
      <c r="P1098" s="2" t="s">
        <v>4619</v>
      </c>
      <c r="Q1098" s="2" t="s">
        <v>4620</v>
      </c>
      <c r="R1098" s="2" t="s">
        <v>9492</v>
      </c>
      <c r="S1098" s="2" t="s">
        <v>9493</v>
      </c>
      <c r="V1098" s="2" t="s">
        <v>9494</v>
      </c>
      <c r="W1098" s="2" t="s">
        <v>9495</v>
      </c>
      <c r="Y1098" s="2" t="s">
        <v>9496</v>
      </c>
      <c r="Z1098" s="2" t="s">
        <v>9504</v>
      </c>
      <c r="AA1098" s="2" t="s">
        <v>5960</v>
      </c>
      <c r="AC1098" s="2" t="s">
        <v>9498</v>
      </c>
      <c r="AD1098" s="2" t="s">
        <v>3756</v>
      </c>
      <c r="AE1098" s="2" t="s">
        <v>2980</v>
      </c>
      <c r="AF1098" s="2" t="s">
        <v>70</v>
      </c>
      <c r="AK1098" s="2" t="s">
        <v>9505</v>
      </c>
      <c r="AL1098" s="2" t="s">
        <v>4629</v>
      </c>
      <c r="AM1098" s="2" t="s">
        <v>72</v>
      </c>
      <c r="AN1098" s="2" t="s">
        <v>73</v>
      </c>
      <c r="AP1098" s="2" t="s">
        <v>3341</v>
      </c>
      <c r="AT1098" s="2" t="s">
        <v>114</v>
      </c>
      <c r="AU1098" s="2" t="s">
        <v>75</v>
      </c>
      <c r="AW1098" s="2" t="s">
        <v>9501</v>
      </c>
      <c r="AZ1098" s="2" t="s">
        <v>116</v>
      </c>
    </row>
    <row r="1099" spans="1:52" s="3" customFormat="1" x14ac:dyDescent="0.35">
      <c r="A1099" s="2" t="s">
        <v>9506</v>
      </c>
      <c r="B1099" s="4">
        <v>240080</v>
      </c>
      <c r="C1099" s="2" t="s">
        <v>9507</v>
      </c>
      <c r="D1099" s="2">
        <f t="shared" si="17"/>
        <v>1</v>
      </c>
      <c r="F1099" s="2" t="s">
        <v>3144</v>
      </c>
      <c r="G1099" s="2" t="s">
        <v>53</v>
      </c>
      <c r="H1099" s="4">
        <v>1</v>
      </c>
      <c r="I1099" s="4">
        <v>0</v>
      </c>
      <c r="J1099" s="4">
        <v>0</v>
      </c>
      <c r="L1099" s="4">
        <v>0</v>
      </c>
      <c r="N1099" s="2" t="s">
        <v>56</v>
      </c>
      <c r="O1099" s="2" t="s">
        <v>57</v>
      </c>
      <c r="P1099" s="2" t="s">
        <v>4619</v>
      </c>
      <c r="Q1099" s="2" t="s">
        <v>4620</v>
      </c>
      <c r="R1099" s="2" t="s">
        <v>9508</v>
      </c>
      <c r="S1099" s="2" t="s">
        <v>9509</v>
      </c>
      <c r="T1099" s="2" t="s">
        <v>5954</v>
      </c>
      <c r="U1099" s="2" t="s">
        <v>5955</v>
      </c>
      <c r="V1099" s="2" t="s">
        <v>9510</v>
      </c>
      <c r="W1099" s="2" t="s">
        <v>9511</v>
      </c>
      <c r="Y1099" s="2" t="s">
        <v>5958</v>
      </c>
      <c r="Z1099" s="2" t="s">
        <v>5959</v>
      </c>
      <c r="AA1099" s="2" t="s">
        <v>5960</v>
      </c>
      <c r="AB1099" s="2" t="s">
        <v>9512</v>
      </c>
      <c r="AC1099" s="2" t="s">
        <v>5961</v>
      </c>
      <c r="AD1099" s="2" t="s">
        <v>3756</v>
      </c>
      <c r="AE1099" s="2" t="s">
        <v>2980</v>
      </c>
      <c r="AF1099" s="2" t="s">
        <v>70</v>
      </c>
      <c r="AK1099" s="2" t="s">
        <v>9513</v>
      </c>
      <c r="AL1099" s="2" t="s">
        <v>4629</v>
      </c>
      <c r="AM1099" s="2" t="s">
        <v>72</v>
      </c>
      <c r="AN1099" s="2" t="s">
        <v>73</v>
      </c>
      <c r="AP1099" s="2" t="s">
        <v>3341</v>
      </c>
      <c r="AT1099" s="2" t="s">
        <v>114</v>
      </c>
      <c r="AU1099" s="2" t="s">
        <v>75</v>
      </c>
      <c r="AV1099" s="2" t="s">
        <v>5963</v>
      </c>
      <c r="AW1099" s="2" t="s">
        <v>5964</v>
      </c>
      <c r="AZ1099" s="2" t="s">
        <v>116</v>
      </c>
    </row>
    <row r="1100" spans="1:52" s="3" customFormat="1" x14ac:dyDescent="0.35">
      <c r="A1100" s="2" t="s">
        <v>9514</v>
      </c>
      <c r="B1100" s="4">
        <v>240077</v>
      </c>
      <c r="C1100" s="2" t="s">
        <v>9515</v>
      </c>
      <c r="D1100" s="2">
        <f t="shared" si="17"/>
        <v>1</v>
      </c>
      <c r="F1100" s="2" t="s">
        <v>3144</v>
      </c>
      <c r="G1100" s="2" t="s">
        <v>53</v>
      </c>
      <c r="H1100" s="4">
        <v>20</v>
      </c>
      <c r="I1100" s="4">
        <v>6</v>
      </c>
      <c r="J1100" s="5">
        <v>645000</v>
      </c>
      <c r="K1100" s="2" t="s">
        <v>1252</v>
      </c>
      <c r="L1100" s="5">
        <v>645000</v>
      </c>
      <c r="M1100" s="2" t="s">
        <v>55</v>
      </c>
      <c r="N1100" s="2" t="s">
        <v>1253</v>
      </c>
      <c r="O1100" s="2" t="s">
        <v>1254</v>
      </c>
      <c r="P1100" s="2" t="s">
        <v>9516</v>
      </c>
      <c r="Q1100" s="2" t="s">
        <v>9517</v>
      </c>
      <c r="R1100" s="2" t="s">
        <v>9518</v>
      </c>
      <c r="T1100" s="2" t="s">
        <v>9519</v>
      </c>
      <c r="U1100" s="2" t="s">
        <v>9520</v>
      </c>
      <c r="V1100" s="2" t="s">
        <v>9521</v>
      </c>
      <c r="W1100" s="2" t="s">
        <v>9522</v>
      </c>
      <c r="X1100" s="2" t="s">
        <v>9523</v>
      </c>
      <c r="Y1100" s="2" t="s">
        <v>9524</v>
      </c>
      <c r="Z1100" s="2" t="s">
        <v>9525</v>
      </c>
      <c r="AA1100" s="2" t="s">
        <v>9526</v>
      </c>
      <c r="AB1100" s="2" t="s">
        <v>9527</v>
      </c>
      <c r="AC1100" s="2" t="s">
        <v>9528</v>
      </c>
      <c r="AD1100" s="2" t="s">
        <v>3736</v>
      </c>
      <c r="AE1100" s="2" t="s">
        <v>3737</v>
      </c>
      <c r="AF1100" s="2" t="s">
        <v>97</v>
      </c>
      <c r="AG1100" s="2" t="s">
        <v>9516</v>
      </c>
      <c r="AK1100" s="2" t="s">
        <v>9529</v>
      </c>
      <c r="AM1100" s="2" t="s">
        <v>72</v>
      </c>
      <c r="AN1100" s="2" t="s">
        <v>1383</v>
      </c>
      <c r="AP1100" s="2" t="s">
        <v>4533</v>
      </c>
      <c r="AS1100" s="2" t="s">
        <v>9530</v>
      </c>
      <c r="AT1100" s="2" t="s">
        <v>102</v>
      </c>
      <c r="AU1100" s="2" t="s">
        <v>75</v>
      </c>
      <c r="AV1100" s="2" t="s">
        <v>3144</v>
      </c>
      <c r="AW1100" s="2" t="s">
        <v>9531</v>
      </c>
      <c r="AX1100" s="2" t="s">
        <v>477</v>
      </c>
      <c r="AZ1100" s="2" t="s">
        <v>4750</v>
      </c>
    </row>
    <row r="1101" spans="1:52" s="3" customFormat="1" x14ac:dyDescent="0.35">
      <c r="A1101" s="2" t="s">
        <v>9532</v>
      </c>
      <c r="B1101" s="4">
        <v>240067</v>
      </c>
      <c r="C1101" s="2" t="s">
        <v>9533</v>
      </c>
      <c r="D1101" s="2">
        <f t="shared" si="17"/>
        <v>1</v>
      </c>
      <c r="F1101" s="2" t="s">
        <v>3144</v>
      </c>
      <c r="G1101" s="2" t="s">
        <v>53</v>
      </c>
      <c r="H1101" s="4">
        <v>1</v>
      </c>
      <c r="I1101" s="4">
        <v>0</v>
      </c>
      <c r="J1101" s="4">
        <v>0</v>
      </c>
      <c r="L1101" s="4">
        <v>0</v>
      </c>
      <c r="N1101" s="2" t="s">
        <v>56</v>
      </c>
      <c r="O1101" s="2" t="s">
        <v>57</v>
      </c>
      <c r="P1101" s="2" t="s">
        <v>4619</v>
      </c>
      <c r="Q1101" s="2" t="s">
        <v>4620</v>
      </c>
      <c r="R1101" s="2" t="s">
        <v>8297</v>
      </c>
      <c r="S1101" s="2" t="s">
        <v>8298</v>
      </c>
      <c r="V1101" s="2" t="s">
        <v>8299</v>
      </c>
      <c r="W1101" s="2" t="s">
        <v>8300</v>
      </c>
      <c r="Y1101" s="2" t="s">
        <v>8301</v>
      </c>
      <c r="Z1101" s="2" t="s">
        <v>8302</v>
      </c>
      <c r="AA1101" s="2" t="s">
        <v>8303</v>
      </c>
      <c r="AB1101" s="2" t="s">
        <v>9534</v>
      </c>
      <c r="AC1101" s="2" t="s">
        <v>6553</v>
      </c>
      <c r="AD1101" s="2" t="s">
        <v>3756</v>
      </c>
      <c r="AE1101" s="2" t="s">
        <v>2980</v>
      </c>
      <c r="AF1101" s="2" t="s">
        <v>70</v>
      </c>
      <c r="AK1101" s="2" t="s">
        <v>9535</v>
      </c>
      <c r="AL1101" s="2" t="s">
        <v>4629</v>
      </c>
      <c r="AM1101" s="2" t="s">
        <v>72</v>
      </c>
      <c r="AN1101" s="2" t="s">
        <v>73</v>
      </c>
      <c r="AP1101" s="2" t="s">
        <v>3341</v>
      </c>
      <c r="AT1101" s="2" t="s">
        <v>114</v>
      </c>
      <c r="AU1101" s="2" t="s">
        <v>75</v>
      </c>
      <c r="AW1101" s="2" t="s">
        <v>8306</v>
      </c>
      <c r="AZ1101" s="2" t="s">
        <v>116</v>
      </c>
    </row>
    <row r="1102" spans="1:52" s="3" customFormat="1" x14ac:dyDescent="0.35">
      <c r="A1102" s="2" t="s">
        <v>9536</v>
      </c>
      <c r="B1102" s="4">
        <v>240066</v>
      </c>
      <c r="C1102" s="2" t="s">
        <v>9537</v>
      </c>
      <c r="D1102" s="2">
        <f t="shared" si="17"/>
        <v>1</v>
      </c>
      <c r="F1102" s="2" t="s">
        <v>3144</v>
      </c>
      <c r="G1102" s="2" t="s">
        <v>53</v>
      </c>
      <c r="H1102" s="4">
        <v>1</v>
      </c>
      <c r="I1102" s="4">
        <v>0</v>
      </c>
      <c r="J1102" s="4">
        <v>0</v>
      </c>
      <c r="L1102" s="4">
        <v>0</v>
      </c>
      <c r="N1102" s="2" t="s">
        <v>56</v>
      </c>
      <c r="O1102" s="2" t="s">
        <v>57</v>
      </c>
      <c r="P1102" s="2" t="s">
        <v>4619</v>
      </c>
      <c r="Q1102" s="2" t="s">
        <v>4620</v>
      </c>
      <c r="R1102" s="2" t="s">
        <v>9538</v>
      </c>
      <c r="S1102" s="2" t="s">
        <v>9539</v>
      </c>
      <c r="V1102" s="2" t="s">
        <v>9540</v>
      </c>
      <c r="W1102" s="2" t="s">
        <v>9541</v>
      </c>
      <c r="Y1102" s="2" t="s">
        <v>9542</v>
      </c>
      <c r="Z1102" s="2" t="s">
        <v>9543</v>
      </c>
      <c r="AA1102" s="2" t="s">
        <v>9544</v>
      </c>
      <c r="AB1102" s="2" t="s">
        <v>7725</v>
      </c>
      <c r="AC1102" s="2" t="s">
        <v>8152</v>
      </c>
      <c r="AD1102" s="2" t="s">
        <v>3756</v>
      </c>
      <c r="AE1102" s="2" t="s">
        <v>2980</v>
      </c>
      <c r="AF1102" s="2" t="s">
        <v>70</v>
      </c>
      <c r="AK1102" s="2" t="s">
        <v>9545</v>
      </c>
      <c r="AL1102" s="2" t="s">
        <v>4629</v>
      </c>
      <c r="AM1102" s="2" t="s">
        <v>72</v>
      </c>
      <c r="AN1102" s="2" t="s">
        <v>73</v>
      </c>
      <c r="AP1102" s="2" t="s">
        <v>3341</v>
      </c>
      <c r="AT1102" s="2" t="s">
        <v>114</v>
      </c>
      <c r="AU1102" s="2" t="s">
        <v>75</v>
      </c>
      <c r="AV1102" s="2" t="s">
        <v>9546</v>
      </c>
      <c r="AW1102" s="2" t="s">
        <v>9547</v>
      </c>
      <c r="AZ1102" s="2" t="s">
        <v>116</v>
      </c>
    </row>
    <row r="1103" spans="1:52" s="3" customFormat="1" x14ac:dyDescent="0.35">
      <c r="A1103" s="2" t="s">
        <v>9548</v>
      </c>
      <c r="B1103" s="4">
        <v>240026</v>
      </c>
      <c r="C1103" s="2" t="s">
        <v>9549</v>
      </c>
      <c r="D1103" s="2">
        <f t="shared" si="17"/>
        <v>1</v>
      </c>
      <c r="F1103" s="2" t="s">
        <v>9550</v>
      </c>
      <c r="G1103" s="2" t="s">
        <v>53</v>
      </c>
      <c r="H1103" s="4">
        <v>9</v>
      </c>
      <c r="I1103" s="4">
        <v>1</v>
      </c>
      <c r="J1103" s="5">
        <v>7000</v>
      </c>
      <c r="K1103" s="2" t="s">
        <v>80</v>
      </c>
      <c r="L1103" s="5">
        <v>7000</v>
      </c>
      <c r="M1103" s="2" t="s">
        <v>9551</v>
      </c>
      <c r="N1103" s="2" t="s">
        <v>1658</v>
      </c>
      <c r="O1103" s="2" t="s">
        <v>83</v>
      </c>
      <c r="P1103" s="2" t="s">
        <v>6234</v>
      </c>
      <c r="Q1103" s="2" t="s">
        <v>6235</v>
      </c>
      <c r="R1103" s="2" t="s">
        <v>9552</v>
      </c>
      <c r="S1103" s="2" t="s">
        <v>9553</v>
      </c>
      <c r="V1103" s="2" t="s">
        <v>9554</v>
      </c>
      <c r="W1103" s="2" t="s">
        <v>9555</v>
      </c>
      <c r="Y1103" s="2" t="s">
        <v>9556</v>
      </c>
      <c r="Z1103" s="2" t="s">
        <v>9557</v>
      </c>
      <c r="AA1103" s="2" t="s">
        <v>9558</v>
      </c>
      <c r="AB1103" s="2" t="s">
        <v>9559</v>
      </c>
      <c r="AC1103" s="2" t="s">
        <v>9560</v>
      </c>
      <c r="AD1103" s="2" t="s">
        <v>68</v>
      </c>
      <c r="AE1103" s="2" t="s">
        <v>69</v>
      </c>
      <c r="AF1103" s="2" t="s">
        <v>70</v>
      </c>
      <c r="AK1103" s="2" t="s">
        <v>9561</v>
      </c>
      <c r="AL1103" s="2" t="s">
        <v>9562</v>
      </c>
      <c r="AM1103" s="2" t="s">
        <v>72</v>
      </c>
      <c r="AN1103" s="2" t="s">
        <v>403</v>
      </c>
      <c r="AP1103" s="2" t="s">
        <v>4546</v>
      </c>
      <c r="AU1103" s="2" t="s">
        <v>75</v>
      </c>
      <c r="AV1103" s="2" t="s">
        <v>9563</v>
      </c>
      <c r="AW1103" s="2" t="s">
        <v>9564</v>
      </c>
      <c r="AZ1103" s="2" t="s">
        <v>77</v>
      </c>
    </row>
    <row r="1104" spans="1:52" s="3" customFormat="1" x14ac:dyDescent="0.35">
      <c r="A1104" s="2" t="s">
        <v>9548</v>
      </c>
      <c r="B1104" s="4">
        <v>240026</v>
      </c>
      <c r="C1104" s="2" t="s">
        <v>9549</v>
      </c>
      <c r="D1104" s="2">
        <f t="shared" si="17"/>
        <v>1</v>
      </c>
      <c r="F1104" s="2" t="s">
        <v>9550</v>
      </c>
      <c r="G1104" s="2" t="s">
        <v>53</v>
      </c>
      <c r="H1104" s="4">
        <v>1</v>
      </c>
      <c r="I1104" s="4">
        <v>1</v>
      </c>
      <c r="J1104" s="4">
        <v>0</v>
      </c>
      <c r="K1104" s="2" t="s">
        <v>80</v>
      </c>
      <c r="L1104" s="5">
        <v>7000</v>
      </c>
      <c r="M1104" s="2" t="s">
        <v>9551</v>
      </c>
      <c r="N1104" s="2" t="s">
        <v>1658</v>
      </c>
      <c r="O1104" s="2" t="s">
        <v>83</v>
      </c>
      <c r="P1104" s="2" t="s">
        <v>4887</v>
      </c>
      <c r="Q1104" s="2" t="s">
        <v>4888</v>
      </c>
      <c r="R1104" s="2" t="s">
        <v>9552</v>
      </c>
      <c r="S1104" s="2" t="s">
        <v>9553</v>
      </c>
      <c r="V1104" s="2" t="s">
        <v>9554</v>
      </c>
      <c r="W1104" s="2" t="s">
        <v>9555</v>
      </c>
      <c r="Y1104" s="2" t="s">
        <v>9556</v>
      </c>
      <c r="Z1104" s="2" t="s">
        <v>9557</v>
      </c>
      <c r="AA1104" s="2" t="s">
        <v>9558</v>
      </c>
      <c r="AB1104" s="2" t="s">
        <v>9559</v>
      </c>
      <c r="AC1104" s="2" t="s">
        <v>9560</v>
      </c>
      <c r="AD1104" s="2" t="s">
        <v>68</v>
      </c>
      <c r="AE1104" s="2" t="s">
        <v>69</v>
      </c>
      <c r="AF1104" s="2" t="s">
        <v>70</v>
      </c>
      <c r="AK1104" s="2" t="s">
        <v>9561</v>
      </c>
      <c r="AL1104" s="2" t="s">
        <v>9562</v>
      </c>
      <c r="AM1104" s="2" t="s">
        <v>72</v>
      </c>
      <c r="AN1104" s="2" t="s">
        <v>403</v>
      </c>
      <c r="AP1104" s="2" t="s">
        <v>4546</v>
      </c>
      <c r="AU1104" s="2" t="s">
        <v>75</v>
      </c>
      <c r="AV1104" s="2" t="s">
        <v>9563</v>
      </c>
      <c r="AW1104" s="2" t="s">
        <v>9564</v>
      </c>
      <c r="AZ1104" s="2" t="s">
        <v>77</v>
      </c>
    </row>
    <row r="1105" spans="1:52" s="3" customFormat="1" x14ac:dyDescent="0.35">
      <c r="A1105" s="2" t="s">
        <v>9565</v>
      </c>
      <c r="B1105" s="4">
        <v>239974</v>
      </c>
      <c r="C1105" s="2" t="s">
        <v>9566</v>
      </c>
      <c r="D1105" s="2">
        <f t="shared" si="17"/>
        <v>1</v>
      </c>
      <c r="F1105" s="2" t="s">
        <v>9550</v>
      </c>
      <c r="G1105" s="2" t="s">
        <v>53</v>
      </c>
      <c r="H1105" s="4">
        <v>2</v>
      </c>
      <c r="I1105" s="4">
        <v>1</v>
      </c>
      <c r="J1105" s="5">
        <v>31000</v>
      </c>
      <c r="K1105" s="2" t="s">
        <v>1252</v>
      </c>
      <c r="L1105" s="5">
        <v>29093.5</v>
      </c>
      <c r="M1105" s="2" t="s">
        <v>55</v>
      </c>
      <c r="N1105" s="2" t="s">
        <v>1253</v>
      </c>
      <c r="O1105" s="2" t="s">
        <v>1254</v>
      </c>
      <c r="P1105" s="2" t="s">
        <v>460</v>
      </c>
      <c r="Q1105" s="2" t="s">
        <v>461</v>
      </c>
      <c r="R1105" s="2" t="s">
        <v>9134</v>
      </c>
      <c r="T1105" s="2" t="s">
        <v>9126</v>
      </c>
      <c r="U1105" s="2" t="s">
        <v>9127</v>
      </c>
      <c r="V1105" s="2" t="s">
        <v>9128</v>
      </c>
      <c r="W1105" s="2" t="s">
        <v>9130</v>
      </c>
      <c r="X1105" s="2" t="s">
        <v>9130</v>
      </c>
      <c r="Y1105" s="2" t="s">
        <v>9131</v>
      </c>
      <c r="Z1105" s="2" t="s">
        <v>9132</v>
      </c>
      <c r="AA1105" s="2" t="s">
        <v>6861</v>
      </c>
      <c r="AC1105" s="2" t="s">
        <v>2842</v>
      </c>
      <c r="AD1105" s="2" t="s">
        <v>9133</v>
      </c>
      <c r="AE1105" s="2" t="s">
        <v>96</v>
      </c>
      <c r="AF1105" s="2" t="s">
        <v>70</v>
      </c>
      <c r="AG1105" s="2" t="s">
        <v>9567</v>
      </c>
      <c r="AK1105" s="2" t="s">
        <v>9568</v>
      </c>
      <c r="AM1105" s="2" t="s">
        <v>72</v>
      </c>
      <c r="AN1105" s="2" t="s">
        <v>473</v>
      </c>
      <c r="AP1105" s="2" t="s">
        <v>474</v>
      </c>
      <c r="AU1105" s="2" t="s">
        <v>75</v>
      </c>
      <c r="AV1105" s="2" t="s">
        <v>9138</v>
      </c>
      <c r="AW1105" s="2" t="s">
        <v>9139</v>
      </c>
      <c r="AX1105" s="2" t="s">
        <v>477</v>
      </c>
      <c r="AZ1105" s="2" t="s">
        <v>478</v>
      </c>
    </row>
    <row r="1106" spans="1:52" s="3" customFormat="1" x14ac:dyDescent="0.35">
      <c r="A1106" s="2" t="s">
        <v>9569</v>
      </c>
      <c r="B1106" s="4">
        <v>239964</v>
      </c>
      <c r="C1106" s="2" t="s">
        <v>9570</v>
      </c>
      <c r="D1106" s="2">
        <f t="shared" si="17"/>
        <v>1</v>
      </c>
      <c r="F1106" s="2" t="s">
        <v>9550</v>
      </c>
      <c r="G1106" s="2" t="s">
        <v>53</v>
      </c>
      <c r="H1106" s="4">
        <v>1</v>
      </c>
      <c r="I1106" s="4">
        <v>1</v>
      </c>
      <c r="J1106" s="4">
        <v>0</v>
      </c>
      <c r="L1106" s="4">
        <v>0</v>
      </c>
      <c r="M1106" s="2" t="s">
        <v>55</v>
      </c>
      <c r="N1106" s="2" t="s">
        <v>56</v>
      </c>
      <c r="O1106" s="2" t="s">
        <v>57</v>
      </c>
      <c r="P1106" s="2" t="s">
        <v>9571</v>
      </c>
      <c r="Q1106" s="2" t="s">
        <v>9572</v>
      </c>
      <c r="R1106" s="2" t="s">
        <v>9573</v>
      </c>
      <c r="S1106" s="2" t="s">
        <v>9574</v>
      </c>
      <c r="V1106" s="2" t="s">
        <v>9575</v>
      </c>
      <c r="W1106" s="2" t="s">
        <v>9576</v>
      </c>
      <c r="Y1106" s="2" t="s">
        <v>64</v>
      </c>
      <c r="Z1106" s="2" t="s">
        <v>65</v>
      </c>
      <c r="AA1106" s="2" t="s">
        <v>66</v>
      </c>
      <c r="AC1106" s="2" t="s">
        <v>67</v>
      </c>
      <c r="AD1106" s="2" t="s">
        <v>68</v>
      </c>
      <c r="AE1106" s="2" t="s">
        <v>69</v>
      </c>
      <c r="AF1106" s="2" t="s">
        <v>70</v>
      </c>
      <c r="AG1106" s="2" t="s">
        <v>9577</v>
      </c>
      <c r="AK1106" s="2" t="s">
        <v>9578</v>
      </c>
      <c r="AM1106" s="2" t="s">
        <v>72</v>
      </c>
      <c r="AN1106" s="2" t="s">
        <v>595</v>
      </c>
      <c r="AP1106" s="2" t="s">
        <v>9254</v>
      </c>
      <c r="AU1106" s="2" t="s">
        <v>75</v>
      </c>
      <c r="AW1106" s="2" t="s">
        <v>9579</v>
      </c>
      <c r="AZ1106" s="2" t="s">
        <v>116</v>
      </c>
    </row>
    <row r="1107" spans="1:52" s="3" customFormat="1" x14ac:dyDescent="0.35">
      <c r="A1107" s="2" t="s">
        <v>9580</v>
      </c>
      <c r="B1107" s="4">
        <v>239959</v>
      </c>
      <c r="C1107" s="2" t="s">
        <v>9581</v>
      </c>
      <c r="D1107" s="2">
        <f t="shared" si="17"/>
        <v>1</v>
      </c>
      <c r="F1107" s="2" t="s">
        <v>9550</v>
      </c>
      <c r="G1107" s="2" t="s">
        <v>53</v>
      </c>
      <c r="H1107" s="4">
        <v>1</v>
      </c>
      <c r="I1107" s="4">
        <v>1</v>
      </c>
      <c r="J1107" s="5">
        <v>3700</v>
      </c>
      <c r="K1107" s="2" t="s">
        <v>80</v>
      </c>
      <c r="L1107" s="5">
        <v>3472.45</v>
      </c>
      <c r="M1107" s="2" t="s">
        <v>9582</v>
      </c>
      <c r="N1107" s="2" t="s">
        <v>1658</v>
      </c>
      <c r="O1107" s="2" t="s">
        <v>83</v>
      </c>
      <c r="P1107" s="2" t="s">
        <v>4887</v>
      </c>
      <c r="Q1107" s="2" t="s">
        <v>4888</v>
      </c>
      <c r="R1107" s="2" t="s">
        <v>9583</v>
      </c>
      <c r="S1107" s="2" t="s">
        <v>9584</v>
      </c>
      <c r="T1107" s="2" t="s">
        <v>9585</v>
      </c>
      <c r="U1107" s="2" t="s">
        <v>9586</v>
      </c>
      <c r="V1107" s="2" t="s">
        <v>9587</v>
      </c>
      <c r="W1107" s="2" t="s">
        <v>9588</v>
      </c>
      <c r="Y1107" s="2" t="s">
        <v>9589</v>
      </c>
      <c r="Z1107" s="2" t="s">
        <v>9590</v>
      </c>
      <c r="AA1107" s="2" t="s">
        <v>9591</v>
      </c>
      <c r="AB1107" s="2" t="s">
        <v>9592</v>
      </c>
      <c r="AC1107" s="2" t="s">
        <v>9593</v>
      </c>
      <c r="AD1107" s="2" t="s">
        <v>9594</v>
      </c>
      <c r="AE1107" s="2" t="s">
        <v>69</v>
      </c>
      <c r="AF1107" s="2" t="s">
        <v>70</v>
      </c>
      <c r="AK1107" s="2" t="s">
        <v>9595</v>
      </c>
      <c r="AL1107" s="2" t="s">
        <v>9596</v>
      </c>
      <c r="AM1107" s="2" t="s">
        <v>72</v>
      </c>
      <c r="AN1107" s="2" t="s">
        <v>473</v>
      </c>
      <c r="AP1107" s="2" t="s">
        <v>4546</v>
      </c>
      <c r="AU1107" s="2" t="s">
        <v>75</v>
      </c>
      <c r="AV1107" s="2" t="s">
        <v>9597</v>
      </c>
      <c r="AW1107" s="2" t="s">
        <v>9598</v>
      </c>
      <c r="AZ1107" s="2" t="s">
        <v>77</v>
      </c>
    </row>
    <row r="1108" spans="1:52" s="3" customFormat="1" x14ac:dyDescent="0.35">
      <c r="A1108" s="2" t="s">
        <v>9599</v>
      </c>
      <c r="B1108" s="4">
        <v>239951</v>
      </c>
      <c r="C1108" s="2" t="s">
        <v>9600</v>
      </c>
      <c r="D1108" s="2">
        <f t="shared" si="17"/>
        <v>1</v>
      </c>
      <c r="F1108" s="2" t="s">
        <v>9550</v>
      </c>
      <c r="G1108" s="2" t="s">
        <v>53</v>
      </c>
      <c r="H1108" s="4">
        <v>1</v>
      </c>
      <c r="I1108" s="4">
        <v>0</v>
      </c>
      <c r="J1108" s="4">
        <v>0</v>
      </c>
      <c r="L1108" s="4">
        <v>0</v>
      </c>
      <c r="N1108" s="2" t="s">
        <v>56</v>
      </c>
      <c r="O1108" s="2" t="s">
        <v>57</v>
      </c>
      <c r="P1108" s="2" t="s">
        <v>9601</v>
      </c>
      <c r="Q1108" s="2" t="s">
        <v>9602</v>
      </c>
      <c r="R1108" s="2" t="s">
        <v>9603</v>
      </c>
      <c r="S1108" s="2" t="s">
        <v>9604</v>
      </c>
      <c r="V1108" s="2" t="s">
        <v>9605</v>
      </c>
      <c r="W1108" s="2" t="s">
        <v>9606</v>
      </c>
      <c r="Y1108" s="2" t="s">
        <v>2853</v>
      </c>
      <c r="Z1108" s="2" t="s">
        <v>3302</v>
      </c>
      <c r="AA1108" s="2" t="s">
        <v>66</v>
      </c>
      <c r="AC1108" s="2" t="s">
        <v>67</v>
      </c>
      <c r="AD1108" s="2" t="s">
        <v>68</v>
      </c>
      <c r="AE1108" s="2" t="s">
        <v>69</v>
      </c>
      <c r="AF1108" s="2" t="s">
        <v>70</v>
      </c>
      <c r="AK1108" s="2" t="s">
        <v>9607</v>
      </c>
      <c r="AL1108" s="2" t="s">
        <v>9608</v>
      </c>
      <c r="AM1108" s="2" t="s">
        <v>72</v>
      </c>
      <c r="AN1108" s="2" t="s">
        <v>73</v>
      </c>
      <c r="AP1108" s="2" t="s">
        <v>9254</v>
      </c>
      <c r="AT1108" s="2" t="s">
        <v>9609</v>
      </c>
      <c r="AU1108" s="2" t="s">
        <v>75</v>
      </c>
      <c r="AW1108" s="2" t="s">
        <v>9610</v>
      </c>
      <c r="AZ1108" s="2" t="s">
        <v>116</v>
      </c>
    </row>
    <row r="1109" spans="1:52" s="3" customFormat="1" x14ac:dyDescent="0.35">
      <c r="A1109" s="2" t="s">
        <v>9611</v>
      </c>
      <c r="B1109" s="4">
        <v>239949</v>
      </c>
      <c r="C1109" s="2" t="s">
        <v>9612</v>
      </c>
      <c r="D1109" s="2">
        <f t="shared" si="17"/>
        <v>1</v>
      </c>
      <c r="F1109" s="2" t="s">
        <v>9550</v>
      </c>
      <c r="G1109" s="2" t="s">
        <v>53</v>
      </c>
      <c r="H1109" s="4">
        <v>1</v>
      </c>
      <c r="I1109" s="4">
        <v>1</v>
      </c>
      <c r="J1109" s="4">
        <v>0</v>
      </c>
      <c r="L1109" s="4">
        <v>0</v>
      </c>
      <c r="M1109" s="2" t="s">
        <v>55</v>
      </c>
      <c r="N1109" s="2" t="s">
        <v>56</v>
      </c>
      <c r="O1109" s="2" t="s">
        <v>57</v>
      </c>
      <c r="P1109" s="2" t="s">
        <v>9613</v>
      </c>
      <c r="Q1109" s="2" t="s">
        <v>9614</v>
      </c>
      <c r="R1109" s="2" t="s">
        <v>9603</v>
      </c>
      <c r="S1109" s="2" t="s">
        <v>9604</v>
      </c>
      <c r="V1109" s="2" t="s">
        <v>9605</v>
      </c>
      <c r="W1109" s="2" t="s">
        <v>9615</v>
      </c>
      <c r="Y1109" s="2" t="s">
        <v>64</v>
      </c>
      <c r="Z1109" s="2" t="s">
        <v>3302</v>
      </c>
      <c r="AA1109" s="2" t="s">
        <v>66</v>
      </c>
      <c r="AC1109" s="2" t="s">
        <v>67</v>
      </c>
      <c r="AD1109" s="2" t="s">
        <v>68</v>
      </c>
      <c r="AE1109" s="2" t="s">
        <v>69</v>
      </c>
      <c r="AF1109" s="2" t="s">
        <v>70</v>
      </c>
      <c r="AG1109" s="2" t="s">
        <v>56</v>
      </c>
      <c r="AK1109" s="2" t="s">
        <v>9616</v>
      </c>
      <c r="AM1109" s="2" t="s">
        <v>72</v>
      </c>
      <c r="AN1109" s="2" t="s">
        <v>73</v>
      </c>
      <c r="AP1109" s="2" t="s">
        <v>9617</v>
      </c>
      <c r="AT1109" s="2" t="s">
        <v>114</v>
      </c>
      <c r="AU1109" s="2" t="s">
        <v>75</v>
      </c>
      <c r="AW1109" s="2" t="s">
        <v>9610</v>
      </c>
      <c r="AZ1109" s="2" t="s">
        <v>116</v>
      </c>
    </row>
    <row r="1110" spans="1:52" s="3" customFormat="1" x14ac:dyDescent="0.35">
      <c r="A1110" s="2" t="s">
        <v>9618</v>
      </c>
      <c r="B1110" s="4">
        <v>239941</v>
      </c>
      <c r="C1110" s="2" t="s">
        <v>9619</v>
      </c>
      <c r="D1110" s="2">
        <f t="shared" si="17"/>
        <v>1</v>
      </c>
      <c r="F1110" s="2" t="s">
        <v>9550</v>
      </c>
      <c r="G1110" s="2" t="s">
        <v>53</v>
      </c>
      <c r="H1110" s="4">
        <v>3</v>
      </c>
      <c r="I1110" s="4">
        <v>1</v>
      </c>
      <c r="J1110" s="5">
        <v>9000</v>
      </c>
      <c r="K1110" s="2" t="s">
        <v>1252</v>
      </c>
      <c r="L1110" s="5">
        <v>8446.5</v>
      </c>
      <c r="M1110" s="2" t="s">
        <v>55</v>
      </c>
      <c r="N1110" s="2" t="s">
        <v>1253</v>
      </c>
      <c r="O1110" s="2" t="s">
        <v>1254</v>
      </c>
      <c r="P1110" s="2" t="s">
        <v>9571</v>
      </c>
      <c r="Q1110" s="2" t="s">
        <v>9572</v>
      </c>
      <c r="R1110" s="2" t="s">
        <v>9620</v>
      </c>
      <c r="T1110" s="2" t="s">
        <v>9621</v>
      </c>
      <c r="U1110" s="2" t="s">
        <v>9622</v>
      </c>
      <c r="V1110" s="2" t="s">
        <v>9623</v>
      </c>
      <c r="W1110" s="2" t="s">
        <v>9624</v>
      </c>
      <c r="X1110" s="2" t="s">
        <v>9625</v>
      </c>
      <c r="Y1110" s="2" t="s">
        <v>9626</v>
      </c>
      <c r="Z1110" s="2" t="s">
        <v>9627</v>
      </c>
      <c r="AA1110" s="2" t="s">
        <v>9628</v>
      </c>
      <c r="AB1110" s="2" t="s">
        <v>9629</v>
      </c>
      <c r="AC1110" s="2" t="s">
        <v>9630</v>
      </c>
      <c r="AD1110" s="2" t="s">
        <v>9631</v>
      </c>
      <c r="AE1110" s="2" t="s">
        <v>69</v>
      </c>
      <c r="AF1110" s="2" t="s">
        <v>70</v>
      </c>
      <c r="AG1110" s="2" t="s">
        <v>9632</v>
      </c>
      <c r="AK1110" s="2" t="s">
        <v>9633</v>
      </c>
      <c r="AM1110" s="2" t="s">
        <v>72</v>
      </c>
      <c r="AN1110" s="2" t="s">
        <v>232</v>
      </c>
      <c r="AP1110" s="2" t="s">
        <v>9254</v>
      </c>
      <c r="AU1110" s="2" t="s">
        <v>75</v>
      </c>
      <c r="AV1110" s="2" t="s">
        <v>9634</v>
      </c>
      <c r="AW1110" s="2" t="s">
        <v>9635</v>
      </c>
      <c r="AX1110" s="2" t="s">
        <v>77</v>
      </c>
      <c r="AZ1110" s="2" t="s">
        <v>77</v>
      </c>
    </row>
    <row r="1111" spans="1:52" s="3" customFormat="1" x14ac:dyDescent="0.35">
      <c r="A1111" s="2" t="s">
        <v>9636</v>
      </c>
      <c r="B1111" s="4">
        <v>239935</v>
      </c>
      <c r="C1111" s="2" t="s">
        <v>9637</v>
      </c>
      <c r="D1111" s="2">
        <f t="shared" si="17"/>
        <v>1</v>
      </c>
      <c r="G1111" s="2" t="s">
        <v>53</v>
      </c>
      <c r="H1111" s="4">
        <v>1</v>
      </c>
      <c r="I1111" s="4">
        <v>1</v>
      </c>
      <c r="J1111" s="4">
        <v>0</v>
      </c>
      <c r="L1111" s="4">
        <v>0</v>
      </c>
      <c r="M1111" s="2" t="s">
        <v>55</v>
      </c>
      <c r="N1111" s="2" t="s">
        <v>56</v>
      </c>
      <c r="O1111" s="2" t="s">
        <v>57</v>
      </c>
      <c r="P1111" s="2" t="s">
        <v>9174</v>
      </c>
      <c r="Q1111" s="2" t="s">
        <v>9175</v>
      </c>
      <c r="R1111" s="2" t="s">
        <v>9638</v>
      </c>
      <c r="S1111" s="2" t="s">
        <v>9639</v>
      </c>
      <c r="V1111" s="2" t="s">
        <v>9640</v>
      </c>
      <c r="W1111" s="2" t="s">
        <v>9641</v>
      </c>
      <c r="Y1111" s="2" t="s">
        <v>9642</v>
      </c>
      <c r="Z1111" s="2" t="s">
        <v>9643</v>
      </c>
      <c r="AA1111" s="2" t="s">
        <v>4929</v>
      </c>
      <c r="AC1111" s="2" t="s">
        <v>8613</v>
      </c>
      <c r="AD1111" s="2" t="s">
        <v>68</v>
      </c>
      <c r="AE1111" s="2" t="s">
        <v>69</v>
      </c>
      <c r="AF1111" s="2" t="s">
        <v>70</v>
      </c>
      <c r="AG1111" s="2" t="s">
        <v>9174</v>
      </c>
      <c r="AK1111" s="2" t="s">
        <v>9644</v>
      </c>
      <c r="AM1111" s="2" t="s">
        <v>72</v>
      </c>
      <c r="AN1111" s="2" t="s">
        <v>232</v>
      </c>
      <c r="AP1111" s="2" t="s">
        <v>9160</v>
      </c>
      <c r="AU1111" s="2" t="s">
        <v>75</v>
      </c>
      <c r="AW1111" s="2" t="s">
        <v>9645</v>
      </c>
      <c r="AZ1111" s="2" t="s">
        <v>116</v>
      </c>
    </row>
    <row r="1112" spans="1:52" s="3" customFormat="1" x14ac:dyDescent="0.35">
      <c r="A1112" s="2" t="s">
        <v>9646</v>
      </c>
      <c r="B1112" s="4">
        <v>239890</v>
      </c>
      <c r="C1112" s="2" t="s">
        <v>9647</v>
      </c>
      <c r="D1112" s="2">
        <f t="shared" si="17"/>
        <v>1</v>
      </c>
      <c r="F1112" s="2" t="s">
        <v>9648</v>
      </c>
      <c r="G1112" s="2" t="s">
        <v>53</v>
      </c>
      <c r="H1112" s="4">
        <v>1</v>
      </c>
      <c r="I1112" s="4">
        <v>0</v>
      </c>
      <c r="J1112" s="4">
        <v>0</v>
      </c>
      <c r="L1112" s="4">
        <v>0</v>
      </c>
      <c r="N1112" s="2" t="s">
        <v>56</v>
      </c>
      <c r="O1112" s="2" t="s">
        <v>57</v>
      </c>
      <c r="P1112" s="2" t="s">
        <v>4619</v>
      </c>
      <c r="Q1112" s="2" t="s">
        <v>4620</v>
      </c>
      <c r="R1112" s="2" t="s">
        <v>9649</v>
      </c>
      <c r="S1112" s="2" t="s">
        <v>9650</v>
      </c>
      <c r="V1112" s="2" t="s">
        <v>9651</v>
      </c>
      <c r="W1112" s="2" t="s">
        <v>9652</v>
      </c>
      <c r="Y1112" s="2" t="s">
        <v>9653</v>
      </c>
      <c r="Z1112" s="2" t="s">
        <v>9654</v>
      </c>
      <c r="AA1112" s="2" t="s">
        <v>9655</v>
      </c>
      <c r="AC1112" s="2" t="s">
        <v>9263</v>
      </c>
      <c r="AD1112" s="2" t="s">
        <v>3756</v>
      </c>
      <c r="AE1112" s="2" t="s">
        <v>2980</v>
      </c>
      <c r="AF1112" s="2" t="s">
        <v>70</v>
      </c>
      <c r="AK1112" s="2" t="s">
        <v>9656</v>
      </c>
      <c r="AL1112" s="2" t="s">
        <v>9170</v>
      </c>
      <c r="AM1112" s="2" t="s">
        <v>72</v>
      </c>
      <c r="AN1112" s="2" t="s">
        <v>73</v>
      </c>
      <c r="AP1112" s="2" t="s">
        <v>3341</v>
      </c>
      <c r="AT1112" s="2" t="s">
        <v>114</v>
      </c>
      <c r="AU1112" s="2" t="s">
        <v>75</v>
      </c>
      <c r="AW1112" s="2" t="s">
        <v>9657</v>
      </c>
      <c r="AZ1112" s="2" t="s">
        <v>116</v>
      </c>
    </row>
    <row r="1113" spans="1:52" s="3" customFormat="1" x14ac:dyDescent="0.35">
      <c r="A1113" s="2" t="s">
        <v>9658</v>
      </c>
      <c r="B1113" s="4">
        <v>239880</v>
      </c>
      <c r="C1113" s="2" t="s">
        <v>9659</v>
      </c>
      <c r="D1113" s="2">
        <f t="shared" si="17"/>
        <v>1</v>
      </c>
      <c r="F1113" s="2" t="s">
        <v>3144</v>
      </c>
      <c r="G1113" s="2" t="s">
        <v>53</v>
      </c>
      <c r="H1113" s="4">
        <v>1</v>
      </c>
      <c r="I1113" s="4">
        <v>1</v>
      </c>
      <c r="J1113" s="4">
        <v>850.08</v>
      </c>
      <c r="K1113" s="2" t="s">
        <v>1252</v>
      </c>
      <c r="L1113" s="4">
        <v>797.8</v>
      </c>
      <c r="N1113" s="2" t="s">
        <v>1253</v>
      </c>
      <c r="O1113" s="2" t="s">
        <v>1254</v>
      </c>
      <c r="P1113" s="2" t="s">
        <v>6234</v>
      </c>
      <c r="Q1113" s="2" t="s">
        <v>6235</v>
      </c>
      <c r="R1113" s="2" t="s">
        <v>9660</v>
      </c>
      <c r="S1113" s="2" t="s">
        <v>9661</v>
      </c>
      <c r="T1113" s="2" t="s">
        <v>9662</v>
      </c>
      <c r="U1113" s="2" t="s">
        <v>9663</v>
      </c>
      <c r="V1113" s="2" t="s">
        <v>9664</v>
      </c>
      <c r="W1113" s="2" t="s">
        <v>9665</v>
      </c>
      <c r="Y1113" s="2" t="s">
        <v>9666</v>
      </c>
      <c r="Z1113" s="2" t="s">
        <v>9667</v>
      </c>
      <c r="AA1113" s="2" t="s">
        <v>9668</v>
      </c>
      <c r="AB1113" s="2" t="s">
        <v>9669</v>
      </c>
      <c r="AC1113" s="2" t="s">
        <v>9667</v>
      </c>
      <c r="AD1113" s="2" t="s">
        <v>6930</v>
      </c>
      <c r="AE1113" s="2" t="s">
        <v>6931</v>
      </c>
      <c r="AF1113" s="2" t="s">
        <v>70</v>
      </c>
      <c r="AK1113" s="2" t="s">
        <v>9670</v>
      </c>
      <c r="AL1113" s="2" t="s">
        <v>9292</v>
      </c>
      <c r="AM1113" s="2" t="s">
        <v>72</v>
      </c>
      <c r="AN1113" s="2" t="s">
        <v>473</v>
      </c>
      <c r="AP1113" s="2" t="s">
        <v>4546</v>
      </c>
      <c r="AU1113" s="2" t="s">
        <v>75</v>
      </c>
      <c r="AV1113" s="2" t="s">
        <v>9671</v>
      </c>
      <c r="AW1113" s="2" t="s">
        <v>9672</v>
      </c>
      <c r="AZ1113" s="2" t="s">
        <v>77</v>
      </c>
    </row>
    <row r="1114" spans="1:52" s="3" customFormat="1" x14ac:dyDescent="0.35">
      <c r="A1114" s="2" t="s">
        <v>9673</v>
      </c>
      <c r="B1114" s="4">
        <v>239821</v>
      </c>
      <c r="C1114" s="2" t="s">
        <v>9674</v>
      </c>
      <c r="D1114" s="2">
        <f t="shared" si="17"/>
        <v>1</v>
      </c>
      <c r="F1114" s="2" t="s">
        <v>9648</v>
      </c>
      <c r="G1114" s="2" t="s">
        <v>53</v>
      </c>
      <c r="H1114" s="4">
        <v>1</v>
      </c>
      <c r="I1114" s="4">
        <v>0</v>
      </c>
      <c r="J1114" s="4">
        <v>0</v>
      </c>
      <c r="L1114" s="4">
        <v>0</v>
      </c>
      <c r="N1114" s="2" t="s">
        <v>56</v>
      </c>
      <c r="O1114" s="2" t="s">
        <v>57</v>
      </c>
      <c r="P1114" s="2" t="s">
        <v>9601</v>
      </c>
      <c r="Q1114" s="2" t="s">
        <v>9602</v>
      </c>
      <c r="R1114" s="2" t="s">
        <v>9675</v>
      </c>
      <c r="S1114" s="2" t="s">
        <v>9676</v>
      </c>
      <c r="V1114" s="2" t="s">
        <v>9677</v>
      </c>
      <c r="W1114" s="2" t="s">
        <v>9678</v>
      </c>
      <c r="Y1114" s="2" t="s">
        <v>9679</v>
      </c>
      <c r="Z1114" s="2" t="s">
        <v>9680</v>
      </c>
      <c r="AA1114" s="2" t="s">
        <v>9681</v>
      </c>
      <c r="AB1114" s="2" t="s">
        <v>9682</v>
      </c>
      <c r="AC1114" s="2" t="s">
        <v>67</v>
      </c>
      <c r="AD1114" s="2" t="s">
        <v>68</v>
      </c>
      <c r="AE1114" s="2" t="s">
        <v>69</v>
      </c>
      <c r="AF1114" s="2" t="s">
        <v>70</v>
      </c>
      <c r="AK1114" s="2" t="s">
        <v>9683</v>
      </c>
      <c r="AL1114" s="2" t="s">
        <v>9684</v>
      </c>
      <c r="AM1114" s="2" t="s">
        <v>72</v>
      </c>
      <c r="AN1114" s="2" t="s">
        <v>249</v>
      </c>
      <c r="AP1114" s="2" t="s">
        <v>9254</v>
      </c>
      <c r="AT1114" s="2" t="s">
        <v>9609</v>
      </c>
      <c r="AU1114" s="2" t="s">
        <v>75</v>
      </c>
      <c r="AW1114" s="2" t="s">
        <v>9685</v>
      </c>
      <c r="AZ1114" s="2" t="s">
        <v>116</v>
      </c>
    </row>
    <row r="1115" spans="1:52" s="3" customFormat="1" x14ac:dyDescent="0.35">
      <c r="A1115" s="2" t="s">
        <v>9686</v>
      </c>
      <c r="B1115" s="4">
        <v>239816</v>
      </c>
      <c r="C1115" s="2" t="s">
        <v>9687</v>
      </c>
      <c r="D1115" s="2">
        <f t="shared" si="17"/>
        <v>1</v>
      </c>
      <c r="G1115" s="2" t="s">
        <v>53</v>
      </c>
      <c r="H1115" s="4">
        <v>1</v>
      </c>
      <c r="I1115" s="4">
        <v>1</v>
      </c>
      <c r="J1115" s="4">
        <v>0</v>
      </c>
      <c r="L1115" s="4">
        <v>0</v>
      </c>
      <c r="M1115" s="2" t="s">
        <v>55</v>
      </c>
      <c r="N1115" s="2" t="s">
        <v>56</v>
      </c>
      <c r="O1115" s="2" t="s">
        <v>57</v>
      </c>
      <c r="P1115" s="2" t="s">
        <v>9174</v>
      </c>
      <c r="Q1115" s="2" t="s">
        <v>9175</v>
      </c>
      <c r="R1115" s="2" t="s">
        <v>9688</v>
      </c>
      <c r="S1115" s="2" t="s">
        <v>9689</v>
      </c>
      <c r="V1115" s="2" t="s">
        <v>9690</v>
      </c>
      <c r="W1115" s="2" t="s">
        <v>9691</v>
      </c>
      <c r="Y1115" s="2" t="s">
        <v>3732</v>
      </c>
      <c r="Z1115" s="2" t="s">
        <v>3733</v>
      </c>
      <c r="AA1115" s="2" t="s">
        <v>2737</v>
      </c>
      <c r="AC1115" s="2" t="s">
        <v>3735</v>
      </c>
      <c r="AD1115" s="2" t="s">
        <v>3736</v>
      </c>
      <c r="AE1115" s="2" t="s">
        <v>3737</v>
      </c>
      <c r="AF1115" s="2" t="s">
        <v>70</v>
      </c>
      <c r="AG1115" s="2" t="s">
        <v>9174</v>
      </c>
      <c r="AK1115" s="2" t="s">
        <v>9692</v>
      </c>
      <c r="AM1115" s="2" t="s">
        <v>72</v>
      </c>
      <c r="AN1115" s="2" t="s">
        <v>232</v>
      </c>
      <c r="AP1115" s="2" t="s">
        <v>9160</v>
      </c>
      <c r="AU1115" s="2" t="s">
        <v>75</v>
      </c>
      <c r="AV1115" s="2" t="s">
        <v>9693</v>
      </c>
      <c r="AW1115" s="2" t="s">
        <v>9694</v>
      </c>
      <c r="AZ1115" s="2" t="s">
        <v>116</v>
      </c>
    </row>
    <row r="1116" spans="1:52" s="3" customFormat="1" x14ac:dyDescent="0.35">
      <c r="A1116" s="2" t="s">
        <v>9695</v>
      </c>
      <c r="B1116" s="4">
        <v>239763</v>
      </c>
      <c r="C1116" s="2" t="s">
        <v>9696</v>
      </c>
      <c r="D1116" s="2">
        <f t="shared" si="17"/>
        <v>1</v>
      </c>
      <c r="F1116" s="2" t="s">
        <v>9697</v>
      </c>
      <c r="G1116" s="2" t="s">
        <v>53</v>
      </c>
      <c r="H1116" s="4">
        <v>4</v>
      </c>
      <c r="I1116" s="4">
        <v>1</v>
      </c>
      <c r="J1116" s="4">
        <v>0</v>
      </c>
      <c r="L1116" s="4">
        <v>0</v>
      </c>
      <c r="M1116" s="2" t="s">
        <v>55</v>
      </c>
      <c r="N1116" s="2" t="s">
        <v>56</v>
      </c>
      <c r="O1116" s="2" t="s">
        <v>57</v>
      </c>
      <c r="P1116" s="2" t="s">
        <v>3131</v>
      </c>
      <c r="Q1116" s="2" t="s">
        <v>3132</v>
      </c>
      <c r="R1116" s="2" t="s">
        <v>9698</v>
      </c>
      <c r="S1116" s="2" t="s">
        <v>9699</v>
      </c>
      <c r="V1116" s="2" t="s">
        <v>9700</v>
      </c>
      <c r="W1116" s="2" t="s">
        <v>5142</v>
      </c>
      <c r="Y1116" s="2" t="s">
        <v>64</v>
      </c>
      <c r="Z1116" s="2" t="s">
        <v>65</v>
      </c>
      <c r="AA1116" s="2" t="s">
        <v>66</v>
      </c>
      <c r="AC1116" s="2" t="s">
        <v>67</v>
      </c>
      <c r="AD1116" s="2" t="s">
        <v>68</v>
      </c>
      <c r="AE1116" s="2" t="s">
        <v>69</v>
      </c>
      <c r="AF1116" s="2" t="s">
        <v>70</v>
      </c>
      <c r="AG1116" s="2" t="s">
        <v>9701</v>
      </c>
      <c r="AK1116" s="2" t="s">
        <v>9702</v>
      </c>
      <c r="AM1116" s="2" t="s">
        <v>72</v>
      </c>
      <c r="AN1116" s="2" t="s">
        <v>344</v>
      </c>
      <c r="AP1116" s="2" t="s">
        <v>3144</v>
      </c>
      <c r="AT1116" s="2" t="s">
        <v>114</v>
      </c>
      <c r="AU1116" s="2" t="s">
        <v>75</v>
      </c>
      <c r="AW1116" s="2" t="s">
        <v>9703</v>
      </c>
      <c r="AZ1116" s="2" t="s">
        <v>116</v>
      </c>
    </row>
    <row r="1117" spans="1:52" s="3" customFormat="1" x14ac:dyDescent="0.35">
      <c r="A1117" s="2" t="s">
        <v>9704</v>
      </c>
      <c r="B1117" s="4">
        <v>239762</v>
      </c>
      <c r="C1117" s="2" t="s">
        <v>9705</v>
      </c>
      <c r="D1117" s="2">
        <f t="shared" si="17"/>
        <v>1</v>
      </c>
      <c r="F1117" s="2" t="s">
        <v>9697</v>
      </c>
      <c r="G1117" s="2" t="s">
        <v>53</v>
      </c>
      <c r="H1117" s="4">
        <v>1</v>
      </c>
      <c r="I1117" s="4">
        <v>1</v>
      </c>
      <c r="J1117" s="4">
        <v>0</v>
      </c>
      <c r="L1117" s="4">
        <v>0</v>
      </c>
      <c r="M1117" s="2" t="s">
        <v>55</v>
      </c>
      <c r="N1117" s="2" t="s">
        <v>56</v>
      </c>
      <c r="O1117" s="2" t="s">
        <v>57</v>
      </c>
      <c r="P1117" s="2" t="s">
        <v>9701</v>
      </c>
      <c r="Q1117" s="2" t="s">
        <v>9706</v>
      </c>
      <c r="R1117" s="2" t="s">
        <v>9707</v>
      </c>
      <c r="S1117" s="2" t="s">
        <v>9708</v>
      </c>
      <c r="V1117" s="2" t="s">
        <v>9709</v>
      </c>
      <c r="W1117" s="2" t="s">
        <v>5142</v>
      </c>
      <c r="Y1117" s="2" t="s">
        <v>64</v>
      </c>
      <c r="Z1117" s="2" t="s">
        <v>65</v>
      </c>
      <c r="AA1117" s="2" t="s">
        <v>66</v>
      </c>
      <c r="AC1117" s="2" t="s">
        <v>67</v>
      </c>
      <c r="AD1117" s="2" t="s">
        <v>68</v>
      </c>
      <c r="AE1117" s="2" t="s">
        <v>69</v>
      </c>
      <c r="AF1117" s="2" t="s">
        <v>70</v>
      </c>
      <c r="AG1117" s="2" t="s">
        <v>9701</v>
      </c>
      <c r="AK1117" s="2" t="s">
        <v>9710</v>
      </c>
      <c r="AM1117" s="2" t="s">
        <v>72</v>
      </c>
      <c r="AN1117" s="2" t="s">
        <v>344</v>
      </c>
      <c r="AP1117" s="2" t="s">
        <v>9711</v>
      </c>
      <c r="AT1117" s="2" t="s">
        <v>114</v>
      </c>
      <c r="AU1117" s="2" t="s">
        <v>75</v>
      </c>
      <c r="AW1117" s="2" t="s">
        <v>9712</v>
      </c>
      <c r="AZ1117" s="2" t="s">
        <v>116</v>
      </c>
    </row>
    <row r="1118" spans="1:52" s="3" customFormat="1" x14ac:dyDescent="0.35">
      <c r="A1118" s="2" t="s">
        <v>9713</v>
      </c>
      <c r="B1118" s="4">
        <v>239761</v>
      </c>
      <c r="C1118" s="2" t="s">
        <v>9714</v>
      </c>
      <c r="D1118" s="2">
        <f t="shared" si="17"/>
        <v>1</v>
      </c>
      <c r="F1118" s="2" t="s">
        <v>9697</v>
      </c>
      <c r="G1118" s="2" t="s">
        <v>53</v>
      </c>
      <c r="H1118" s="4">
        <v>5</v>
      </c>
      <c r="I1118" s="4">
        <v>1</v>
      </c>
      <c r="J1118" s="4">
        <v>0</v>
      </c>
      <c r="L1118" s="4">
        <v>0</v>
      </c>
      <c r="M1118" s="2" t="s">
        <v>55</v>
      </c>
      <c r="N1118" s="2" t="s">
        <v>56</v>
      </c>
      <c r="O1118" s="2" t="s">
        <v>57</v>
      </c>
      <c r="P1118" s="2" t="s">
        <v>9701</v>
      </c>
      <c r="Q1118" s="2" t="s">
        <v>9706</v>
      </c>
      <c r="R1118" s="2" t="s">
        <v>9715</v>
      </c>
      <c r="S1118" s="2" t="s">
        <v>9716</v>
      </c>
      <c r="V1118" s="2" t="s">
        <v>9717</v>
      </c>
      <c r="W1118" s="2" t="s">
        <v>5142</v>
      </c>
      <c r="Y1118" s="2" t="s">
        <v>64</v>
      </c>
      <c r="Z1118" s="2" t="s">
        <v>65</v>
      </c>
      <c r="AA1118" s="2" t="s">
        <v>66</v>
      </c>
      <c r="AC1118" s="2" t="s">
        <v>67</v>
      </c>
      <c r="AD1118" s="2" t="s">
        <v>68</v>
      </c>
      <c r="AE1118" s="2" t="s">
        <v>69</v>
      </c>
      <c r="AF1118" s="2" t="s">
        <v>70</v>
      </c>
      <c r="AG1118" s="2" t="s">
        <v>9701</v>
      </c>
      <c r="AK1118" s="2" t="s">
        <v>9718</v>
      </c>
      <c r="AM1118" s="2" t="s">
        <v>72</v>
      </c>
      <c r="AN1118" s="2" t="s">
        <v>344</v>
      </c>
      <c r="AP1118" s="2" t="s">
        <v>9711</v>
      </c>
      <c r="AT1118" s="2" t="s">
        <v>114</v>
      </c>
      <c r="AU1118" s="2" t="s">
        <v>75</v>
      </c>
      <c r="AW1118" s="2" t="s">
        <v>9719</v>
      </c>
      <c r="AZ1118" s="2" t="s">
        <v>116</v>
      </c>
    </row>
    <row r="1119" spans="1:52" s="3" customFormat="1" x14ac:dyDescent="0.35">
      <c r="A1119" s="2" t="s">
        <v>9720</v>
      </c>
      <c r="B1119" s="4">
        <v>239759</v>
      </c>
      <c r="C1119" s="2" t="s">
        <v>9721</v>
      </c>
      <c r="D1119" s="2">
        <f t="shared" si="17"/>
        <v>1</v>
      </c>
      <c r="F1119" s="2" t="s">
        <v>9697</v>
      </c>
      <c r="G1119" s="2" t="s">
        <v>53</v>
      </c>
      <c r="H1119" s="4">
        <v>1</v>
      </c>
      <c r="I1119" s="4">
        <v>1</v>
      </c>
      <c r="J1119" s="4">
        <v>0</v>
      </c>
      <c r="L1119" s="4">
        <v>0</v>
      </c>
      <c r="M1119" s="2" t="s">
        <v>55</v>
      </c>
      <c r="N1119" s="2" t="s">
        <v>56</v>
      </c>
      <c r="O1119" s="2" t="s">
        <v>57</v>
      </c>
      <c r="P1119" s="2" t="s">
        <v>9174</v>
      </c>
      <c r="Q1119" s="2" t="s">
        <v>9175</v>
      </c>
      <c r="R1119" s="2" t="s">
        <v>9722</v>
      </c>
      <c r="S1119" s="2" t="s">
        <v>9723</v>
      </c>
      <c r="V1119" s="2" t="s">
        <v>9724</v>
      </c>
      <c r="W1119" s="2" t="s">
        <v>9725</v>
      </c>
      <c r="Y1119" s="2" t="s">
        <v>64</v>
      </c>
      <c r="Z1119" s="2" t="s">
        <v>65</v>
      </c>
      <c r="AA1119" s="2" t="s">
        <v>66</v>
      </c>
      <c r="AC1119" s="2" t="s">
        <v>67</v>
      </c>
      <c r="AD1119" s="2" t="s">
        <v>68</v>
      </c>
      <c r="AE1119" s="2" t="s">
        <v>69</v>
      </c>
      <c r="AF1119" s="2" t="s">
        <v>70</v>
      </c>
      <c r="AG1119" s="2" t="s">
        <v>9174</v>
      </c>
      <c r="AK1119" s="2" t="s">
        <v>9726</v>
      </c>
      <c r="AM1119" s="2" t="s">
        <v>72</v>
      </c>
      <c r="AN1119" s="2" t="s">
        <v>73</v>
      </c>
      <c r="AP1119" s="2" t="s">
        <v>9160</v>
      </c>
      <c r="AU1119" s="2" t="s">
        <v>75</v>
      </c>
      <c r="AW1119" s="2" t="s">
        <v>9727</v>
      </c>
      <c r="AZ1119" s="2" t="s">
        <v>116</v>
      </c>
    </row>
    <row r="1120" spans="1:52" s="3" customFormat="1" x14ac:dyDescent="0.35">
      <c r="A1120" s="2" t="s">
        <v>9728</v>
      </c>
      <c r="B1120" s="4">
        <v>239758</v>
      </c>
      <c r="C1120" s="2" t="s">
        <v>9729</v>
      </c>
      <c r="D1120" s="2">
        <f t="shared" si="17"/>
        <v>1</v>
      </c>
      <c r="F1120" s="2" t="s">
        <v>9697</v>
      </c>
      <c r="G1120" s="2" t="s">
        <v>53</v>
      </c>
      <c r="H1120" s="4">
        <v>1</v>
      </c>
      <c r="I1120" s="4">
        <v>1</v>
      </c>
      <c r="J1120" s="4">
        <v>0</v>
      </c>
      <c r="L1120" s="4">
        <v>0</v>
      </c>
      <c r="M1120" s="2" t="s">
        <v>55</v>
      </c>
      <c r="N1120" s="2" t="s">
        <v>56</v>
      </c>
      <c r="O1120" s="2" t="s">
        <v>57</v>
      </c>
      <c r="P1120" s="2" t="s">
        <v>9174</v>
      </c>
      <c r="Q1120" s="2" t="s">
        <v>9175</v>
      </c>
      <c r="R1120" s="2" t="s">
        <v>1975</v>
      </c>
      <c r="S1120" s="2" t="s">
        <v>1976</v>
      </c>
      <c r="V1120" s="2" t="s">
        <v>1977</v>
      </c>
      <c r="W1120" s="2" t="s">
        <v>1978</v>
      </c>
      <c r="Y1120" s="2" t="s">
        <v>64</v>
      </c>
      <c r="Z1120" s="2" t="s">
        <v>65</v>
      </c>
      <c r="AA1120" s="2" t="s">
        <v>66</v>
      </c>
      <c r="AC1120" s="2" t="s">
        <v>67</v>
      </c>
      <c r="AD1120" s="2" t="s">
        <v>68</v>
      </c>
      <c r="AE1120" s="2" t="s">
        <v>69</v>
      </c>
      <c r="AF1120" s="2" t="s">
        <v>70</v>
      </c>
      <c r="AG1120" s="2" t="s">
        <v>9174</v>
      </c>
      <c r="AK1120" s="2" t="s">
        <v>9730</v>
      </c>
      <c r="AM1120" s="2" t="s">
        <v>72</v>
      </c>
      <c r="AN1120" s="2" t="s">
        <v>73</v>
      </c>
      <c r="AP1120" s="2" t="s">
        <v>9160</v>
      </c>
      <c r="AU1120" s="2" t="s">
        <v>75</v>
      </c>
      <c r="AW1120" s="2" t="s">
        <v>1980</v>
      </c>
      <c r="AZ1120" s="2" t="s">
        <v>116</v>
      </c>
    </row>
    <row r="1121" spans="1:52" s="3" customFormat="1" x14ac:dyDescent="0.35">
      <c r="A1121" s="2" t="s">
        <v>9731</v>
      </c>
      <c r="B1121" s="4">
        <v>239680</v>
      </c>
      <c r="C1121" s="2" t="s">
        <v>9732</v>
      </c>
      <c r="D1121" s="2">
        <f t="shared" si="17"/>
        <v>1</v>
      </c>
      <c r="F1121" s="2" t="s">
        <v>9733</v>
      </c>
      <c r="G1121" s="2" t="s">
        <v>53</v>
      </c>
      <c r="H1121" s="4">
        <v>1</v>
      </c>
      <c r="I1121" s="4">
        <v>1</v>
      </c>
      <c r="J1121" s="5">
        <v>97500</v>
      </c>
      <c r="K1121" s="2" t="s">
        <v>1252</v>
      </c>
      <c r="L1121" s="5">
        <v>97500</v>
      </c>
      <c r="M1121" s="2" t="s">
        <v>55</v>
      </c>
      <c r="N1121" s="2" t="s">
        <v>1253</v>
      </c>
      <c r="O1121" s="2" t="s">
        <v>1254</v>
      </c>
      <c r="P1121" s="2" t="s">
        <v>5123</v>
      </c>
      <c r="Q1121" s="2" t="s">
        <v>5124</v>
      </c>
      <c r="R1121" s="2" t="s">
        <v>8640</v>
      </c>
      <c r="T1121" s="2" t="s">
        <v>9734</v>
      </c>
      <c r="U1121" s="2" t="s">
        <v>9735</v>
      </c>
      <c r="V1121" s="2" t="s">
        <v>8642</v>
      </c>
      <c r="W1121" s="2" t="s">
        <v>9736</v>
      </c>
      <c r="X1121" s="2" t="s">
        <v>9737</v>
      </c>
      <c r="Y1121" s="2" t="s">
        <v>9738</v>
      </c>
      <c r="Z1121" s="2" t="s">
        <v>9739</v>
      </c>
      <c r="AA1121" s="2" t="s">
        <v>9740</v>
      </c>
      <c r="AB1121" s="2" t="s">
        <v>9741</v>
      </c>
      <c r="AC1121" s="2" t="s">
        <v>4424</v>
      </c>
      <c r="AD1121" s="2" t="s">
        <v>68</v>
      </c>
      <c r="AE1121" s="2" t="s">
        <v>69</v>
      </c>
      <c r="AF1121" s="2" t="s">
        <v>70</v>
      </c>
      <c r="AG1121" s="2" t="s">
        <v>9742</v>
      </c>
      <c r="AK1121" s="2" t="s">
        <v>9743</v>
      </c>
      <c r="AM1121" s="2" t="s">
        <v>72</v>
      </c>
      <c r="AN1121" s="2" t="s">
        <v>473</v>
      </c>
      <c r="AP1121" s="2" t="s">
        <v>5135</v>
      </c>
      <c r="AU1121" s="2" t="s">
        <v>75</v>
      </c>
      <c r="AV1121" s="2" t="s">
        <v>4535</v>
      </c>
      <c r="AW1121" s="2" t="s">
        <v>9744</v>
      </c>
      <c r="AX1121" s="2" t="s">
        <v>77</v>
      </c>
      <c r="AZ1121" s="2" t="s">
        <v>77</v>
      </c>
    </row>
    <row r="1122" spans="1:52" s="3" customFormat="1" x14ac:dyDescent="0.35">
      <c r="A1122" s="2" t="s">
        <v>9753</v>
      </c>
      <c r="B1122" s="4">
        <v>239640</v>
      </c>
      <c r="C1122" s="2" t="s">
        <v>9754</v>
      </c>
      <c r="D1122" s="2">
        <f t="shared" si="17"/>
        <v>1</v>
      </c>
      <c r="F1122" s="2" t="s">
        <v>9733</v>
      </c>
      <c r="G1122" s="2" t="s">
        <v>53</v>
      </c>
      <c r="H1122" s="4">
        <v>1</v>
      </c>
      <c r="I1122" s="4">
        <v>0</v>
      </c>
      <c r="J1122" s="4">
        <v>0</v>
      </c>
      <c r="L1122" s="4">
        <v>0</v>
      </c>
      <c r="N1122" s="2" t="s">
        <v>56</v>
      </c>
      <c r="O1122" s="2" t="s">
        <v>57</v>
      </c>
      <c r="P1122" s="2" t="s">
        <v>4619</v>
      </c>
      <c r="Q1122" s="2" t="s">
        <v>4620</v>
      </c>
      <c r="R1122" s="2" t="s">
        <v>9755</v>
      </c>
      <c r="S1122" s="2" t="s">
        <v>9756</v>
      </c>
      <c r="V1122" s="2" t="s">
        <v>9757</v>
      </c>
      <c r="W1122" s="2" t="s">
        <v>9758</v>
      </c>
      <c r="Y1122" s="2" t="s">
        <v>9759</v>
      </c>
      <c r="Z1122" s="2" t="s">
        <v>9760</v>
      </c>
      <c r="AA1122" s="2" t="s">
        <v>9761</v>
      </c>
      <c r="AC1122" s="2" t="s">
        <v>9762</v>
      </c>
      <c r="AD1122" s="2" t="s">
        <v>3756</v>
      </c>
      <c r="AE1122" s="2" t="s">
        <v>2980</v>
      </c>
      <c r="AF1122" s="2" t="s">
        <v>70</v>
      </c>
      <c r="AK1122" s="2" t="s">
        <v>9763</v>
      </c>
      <c r="AL1122" s="2" t="s">
        <v>9170</v>
      </c>
      <c r="AM1122" s="2" t="s">
        <v>72</v>
      </c>
      <c r="AN1122" s="2" t="s">
        <v>73</v>
      </c>
      <c r="AP1122" s="2" t="s">
        <v>3341</v>
      </c>
      <c r="AT1122" s="2" t="s">
        <v>114</v>
      </c>
      <c r="AU1122" s="2" t="s">
        <v>75</v>
      </c>
      <c r="AW1122" s="2" t="s">
        <v>9764</v>
      </c>
      <c r="AZ1122" s="2" t="s">
        <v>116</v>
      </c>
    </row>
    <row r="1123" spans="1:52" s="3" customFormat="1" x14ac:dyDescent="0.35">
      <c r="A1123" s="2" t="s">
        <v>9765</v>
      </c>
      <c r="B1123" s="4">
        <v>239637</v>
      </c>
      <c r="C1123" s="2" t="s">
        <v>9766</v>
      </c>
      <c r="D1123" s="2">
        <f t="shared" si="17"/>
        <v>1</v>
      </c>
      <c r="F1123" s="2" t="s">
        <v>9733</v>
      </c>
      <c r="G1123" s="2" t="s">
        <v>53</v>
      </c>
      <c r="H1123" s="4">
        <v>1</v>
      </c>
      <c r="I1123" s="4">
        <v>0</v>
      </c>
      <c r="J1123" s="4">
        <v>0</v>
      </c>
      <c r="L1123" s="4">
        <v>0</v>
      </c>
      <c r="N1123" s="2" t="s">
        <v>56</v>
      </c>
      <c r="O1123" s="2" t="s">
        <v>57</v>
      </c>
      <c r="P1123" s="2" t="s">
        <v>4619</v>
      </c>
      <c r="Q1123" s="2" t="s">
        <v>4620</v>
      </c>
      <c r="R1123" s="2" t="s">
        <v>9767</v>
      </c>
      <c r="S1123" s="2" t="s">
        <v>9768</v>
      </c>
      <c r="V1123" s="2" t="s">
        <v>9769</v>
      </c>
      <c r="W1123" s="2" t="s">
        <v>9770</v>
      </c>
      <c r="Y1123" s="2" t="s">
        <v>9771</v>
      </c>
      <c r="Z1123" s="2" t="s">
        <v>9772</v>
      </c>
      <c r="AA1123" s="2" t="s">
        <v>9773</v>
      </c>
      <c r="AC1123" s="2" t="s">
        <v>9498</v>
      </c>
      <c r="AD1123" s="2" t="s">
        <v>3756</v>
      </c>
      <c r="AE1123" s="2" t="s">
        <v>2980</v>
      </c>
      <c r="AF1123" s="2" t="s">
        <v>70</v>
      </c>
      <c r="AK1123" s="2" t="s">
        <v>9774</v>
      </c>
      <c r="AL1123" s="2" t="s">
        <v>9170</v>
      </c>
      <c r="AM1123" s="2" t="s">
        <v>72</v>
      </c>
      <c r="AN1123" s="2" t="s">
        <v>73</v>
      </c>
      <c r="AP1123" s="2" t="s">
        <v>3341</v>
      </c>
      <c r="AT1123" s="2" t="s">
        <v>114</v>
      </c>
      <c r="AU1123" s="2" t="s">
        <v>75</v>
      </c>
      <c r="AW1123" s="2" t="s">
        <v>9775</v>
      </c>
      <c r="AZ1123" s="2" t="s">
        <v>116</v>
      </c>
    </row>
    <row r="1124" spans="1:52" s="3" customFormat="1" x14ac:dyDescent="0.35">
      <c r="A1124" s="2" t="s">
        <v>9776</v>
      </c>
      <c r="B1124" s="4">
        <v>239623</v>
      </c>
      <c r="C1124" s="2" t="s">
        <v>9777</v>
      </c>
      <c r="D1124" s="2">
        <f t="shared" si="17"/>
        <v>1</v>
      </c>
      <c r="F1124" s="2" t="s">
        <v>9778</v>
      </c>
      <c r="G1124" s="2" t="s">
        <v>53</v>
      </c>
      <c r="H1124" s="4">
        <v>1</v>
      </c>
      <c r="I1124" s="4">
        <v>0</v>
      </c>
      <c r="J1124" s="4">
        <v>0</v>
      </c>
      <c r="L1124" s="4">
        <v>0</v>
      </c>
      <c r="N1124" s="2" t="s">
        <v>56</v>
      </c>
      <c r="O1124" s="2" t="s">
        <v>57</v>
      </c>
      <c r="P1124" s="2" t="s">
        <v>4619</v>
      </c>
      <c r="Q1124" s="2" t="s">
        <v>4620</v>
      </c>
      <c r="R1124" s="2" t="s">
        <v>9779</v>
      </c>
      <c r="S1124" s="2" t="s">
        <v>9780</v>
      </c>
      <c r="V1124" s="2" t="s">
        <v>9781</v>
      </c>
      <c r="W1124" s="2" t="s">
        <v>9782</v>
      </c>
      <c r="Y1124" s="2" t="s">
        <v>9783</v>
      </c>
      <c r="Z1124" s="2" t="s">
        <v>9784</v>
      </c>
      <c r="AA1124" s="2" t="s">
        <v>9785</v>
      </c>
      <c r="AB1124" s="2" t="s">
        <v>9786</v>
      </c>
      <c r="AC1124" s="2" t="s">
        <v>6994</v>
      </c>
      <c r="AD1124" s="2" t="s">
        <v>3756</v>
      </c>
      <c r="AE1124" s="2" t="s">
        <v>2980</v>
      </c>
      <c r="AF1124" s="2" t="s">
        <v>70</v>
      </c>
      <c r="AK1124" s="2" t="s">
        <v>9787</v>
      </c>
      <c r="AL1124" s="2" t="s">
        <v>9170</v>
      </c>
      <c r="AM1124" s="2" t="s">
        <v>72</v>
      </c>
      <c r="AN1124" s="2" t="s">
        <v>73</v>
      </c>
      <c r="AP1124" s="2" t="s">
        <v>3341</v>
      </c>
      <c r="AT1124" s="2" t="s">
        <v>114</v>
      </c>
      <c r="AU1124" s="2" t="s">
        <v>75</v>
      </c>
      <c r="AW1124" s="2" t="s">
        <v>9788</v>
      </c>
      <c r="AZ1124" s="2" t="s">
        <v>116</v>
      </c>
    </row>
    <row r="1125" spans="1:52" s="3" customFormat="1" x14ac:dyDescent="0.35">
      <c r="A1125" s="2" t="s">
        <v>9789</v>
      </c>
      <c r="B1125" s="4">
        <v>239614</v>
      </c>
      <c r="C1125" s="2" t="s">
        <v>9790</v>
      </c>
      <c r="D1125" s="2">
        <f t="shared" si="17"/>
        <v>1</v>
      </c>
      <c r="F1125" s="2" t="s">
        <v>9778</v>
      </c>
      <c r="G1125" s="2" t="s">
        <v>53</v>
      </c>
      <c r="H1125" s="4">
        <v>4</v>
      </c>
      <c r="I1125" s="4">
        <v>1</v>
      </c>
      <c r="J1125" s="5">
        <v>47952</v>
      </c>
      <c r="K1125" s="2" t="s">
        <v>1252</v>
      </c>
      <c r="L1125" s="5">
        <v>45002.95</v>
      </c>
      <c r="M1125" s="2" t="s">
        <v>55</v>
      </c>
      <c r="N1125" s="2" t="s">
        <v>1253</v>
      </c>
      <c r="O1125" s="2" t="s">
        <v>1254</v>
      </c>
      <c r="P1125" s="2" t="s">
        <v>9791</v>
      </c>
      <c r="Q1125" s="2" t="s">
        <v>9792</v>
      </c>
      <c r="R1125" s="2" t="s">
        <v>9793</v>
      </c>
      <c r="T1125" s="2" t="s">
        <v>9794</v>
      </c>
      <c r="U1125" s="2" t="s">
        <v>9795</v>
      </c>
      <c r="V1125" s="2" t="s">
        <v>9796</v>
      </c>
      <c r="W1125" s="2" t="s">
        <v>9797</v>
      </c>
      <c r="X1125" s="2" t="s">
        <v>9798</v>
      </c>
      <c r="Y1125" s="2" t="s">
        <v>9799</v>
      </c>
      <c r="Z1125" s="2" t="s">
        <v>9800</v>
      </c>
      <c r="AA1125" s="2" t="s">
        <v>9801</v>
      </c>
      <c r="AB1125" s="2" t="s">
        <v>9802</v>
      </c>
      <c r="AC1125" s="2" t="s">
        <v>2842</v>
      </c>
      <c r="AD1125" s="2" t="s">
        <v>9803</v>
      </c>
      <c r="AE1125" s="2" t="s">
        <v>7820</v>
      </c>
      <c r="AF1125" s="2" t="s">
        <v>70</v>
      </c>
      <c r="AG1125" s="2" t="s">
        <v>9804</v>
      </c>
      <c r="AK1125" s="2" t="s">
        <v>9805</v>
      </c>
      <c r="AM1125" s="2" t="s">
        <v>72</v>
      </c>
      <c r="AN1125" s="2" t="s">
        <v>473</v>
      </c>
      <c r="AP1125" s="2" t="s">
        <v>7143</v>
      </c>
      <c r="AT1125" s="2" t="s">
        <v>9806</v>
      </c>
      <c r="AU1125" s="2" t="s">
        <v>75</v>
      </c>
      <c r="AV1125" s="2" t="s">
        <v>9778</v>
      </c>
      <c r="AW1125" s="2" t="s">
        <v>9807</v>
      </c>
      <c r="AX1125" s="2" t="s">
        <v>77</v>
      </c>
      <c r="AZ1125" s="2" t="s">
        <v>77</v>
      </c>
    </row>
    <row r="1126" spans="1:52" s="3" customFormat="1" x14ac:dyDescent="0.35">
      <c r="A1126" s="2" t="s">
        <v>9789</v>
      </c>
      <c r="B1126" s="4">
        <v>239614</v>
      </c>
      <c r="C1126" s="2" t="s">
        <v>9790</v>
      </c>
      <c r="D1126" s="2">
        <f t="shared" si="17"/>
        <v>1</v>
      </c>
      <c r="F1126" s="2" t="s">
        <v>9778</v>
      </c>
      <c r="G1126" s="2" t="s">
        <v>53</v>
      </c>
      <c r="H1126" s="4">
        <v>4</v>
      </c>
      <c r="I1126" s="4">
        <v>1</v>
      </c>
      <c r="J1126" s="4">
        <v>0</v>
      </c>
      <c r="K1126" s="2" t="s">
        <v>1252</v>
      </c>
      <c r="L1126" s="5">
        <v>45002.95</v>
      </c>
      <c r="M1126" s="2" t="s">
        <v>55</v>
      </c>
      <c r="N1126" s="2" t="s">
        <v>1253</v>
      </c>
      <c r="O1126" s="2" t="s">
        <v>1254</v>
      </c>
      <c r="P1126" s="2" t="s">
        <v>4619</v>
      </c>
      <c r="Q1126" s="2" t="s">
        <v>4620</v>
      </c>
      <c r="R1126" s="2" t="s">
        <v>9793</v>
      </c>
      <c r="T1126" s="2" t="s">
        <v>9794</v>
      </c>
      <c r="U1126" s="2" t="s">
        <v>9795</v>
      </c>
      <c r="V1126" s="2" t="s">
        <v>9796</v>
      </c>
      <c r="W1126" s="2" t="s">
        <v>9797</v>
      </c>
      <c r="X1126" s="2" t="s">
        <v>9798</v>
      </c>
      <c r="Y1126" s="2" t="s">
        <v>9799</v>
      </c>
      <c r="Z1126" s="2" t="s">
        <v>9800</v>
      </c>
      <c r="AA1126" s="2" t="s">
        <v>9801</v>
      </c>
      <c r="AB1126" s="2" t="s">
        <v>9802</v>
      </c>
      <c r="AC1126" s="2" t="s">
        <v>2842</v>
      </c>
      <c r="AD1126" s="2" t="s">
        <v>9803</v>
      </c>
      <c r="AE1126" s="2" t="s">
        <v>7820</v>
      </c>
      <c r="AF1126" s="2" t="s">
        <v>70</v>
      </c>
      <c r="AG1126" s="2" t="s">
        <v>9804</v>
      </c>
      <c r="AK1126" s="2" t="s">
        <v>9805</v>
      </c>
      <c r="AM1126" s="2" t="s">
        <v>72</v>
      </c>
      <c r="AN1126" s="2" t="s">
        <v>473</v>
      </c>
      <c r="AP1126" s="2" t="s">
        <v>3341</v>
      </c>
      <c r="AT1126" s="2" t="s">
        <v>9806</v>
      </c>
      <c r="AU1126" s="2" t="s">
        <v>75</v>
      </c>
      <c r="AV1126" s="2" t="s">
        <v>9778</v>
      </c>
      <c r="AW1126" s="2" t="s">
        <v>9807</v>
      </c>
      <c r="AX1126" s="2" t="s">
        <v>77</v>
      </c>
      <c r="AZ1126" s="2" t="s">
        <v>77</v>
      </c>
    </row>
    <row r="1127" spans="1:52" s="3" customFormat="1" x14ac:dyDescent="0.35">
      <c r="A1127" s="2" t="s">
        <v>9789</v>
      </c>
      <c r="B1127" s="4">
        <v>239614</v>
      </c>
      <c r="C1127" s="2" t="s">
        <v>9790</v>
      </c>
      <c r="D1127" s="2">
        <f t="shared" si="17"/>
        <v>1</v>
      </c>
      <c r="F1127" s="2" t="s">
        <v>9778</v>
      </c>
      <c r="G1127" s="2" t="s">
        <v>53</v>
      </c>
      <c r="H1127" s="4">
        <v>0</v>
      </c>
      <c r="I1127" s="4">
        <v>1</v>
      </c>
      <c r="J1127" s="4">
        <v>0</v>
      </c>
      <c r="K1127" s="2" t="s">
        <v>1252</v>
      </c>
      <c r="L1127" s="5">
        <v>45002.95</v>
      </c>
      <c r="M1127" s="2" t="s">
        <v>55</v>
      </c>
      <c r="N1127" s="2" t="s">
        <v>1253</v>
      </c>
      <c r="O1127" s="2" t="s">
        <v>1254</v>
      </c>
      <c r="P1127" s="2" t="s">
        <v>9601</v>
      </c>
      <c r="Q1127" s="2" t="s">
        <v>9602</v>
      </c>
      <c r="R1127" s="2" t="s">
        <v>9793</v>
      </c>
      <c r="T1127" s="2" t="s">
        <v>9794</v>
      </c>
      <c r="U1127" s="2" t="s">
        <v>9795</v>
      </c>
      <c r="V1127" s="2" t="s">
        <v>9796</v>
      </c>
      <c r="W1127" s="2" t="s">
        <v>9797</v>
      </c>
      <c r="X1127" s="2" t="s">
        <v>9798</v>
      </c>
      <c r="Y1127" s="2" t="s">
        <v>9799</v>
      </c>
      <c r="Z1127" s="2" t="s">
        <v>9800</v>
      </c>
      <c r="AA1127" s="2" t="s">
        <v>9801</v>
      </c>
      <c r="AB1127" s="2" t="s">
        <v>9802</v>
      </c>
      <c r="AC1127" s="2" t="s">
        <v>2842</v>
      </c>
      <c r="AD1127" s="2" t="s">
        <v>9803</v>
      </c>
      <c r="AE1127" s="2" t="s">
        <v>7820</v>
      </c>
      <c r="AF1127" s="2" t="s">
        <v>70</v>
      </c>
      <c r="AG1127" s="2" t="s">
        <v>9804</v>
      </c>
      <c r="AK1127" s="2" t="s">
        <v>9805</v>
      </c>
      <c r="AM1127" s="2" t="s">
        <v>72</v>
      </c>
      <c r="AN1127" s="2" t="s">
        <v>473</v>
      </c>
      <c r="AP1127" s="2" t="s">
        <v>9254</v>
      </c>
      <c r="AT1127" s="2" t="s">
        <v>9806</v>
      </c>
      <c r="AU1127" s="2" t="s">
        <v>75</v>
      </c>
      <c r="AV1127" s="2" t="s">
        <v>9778</v>
      </c>
      <c r="AW1127" s="2" t="s">
        <v>9807</v>
      </c>
      <c r="AX1127" s="2" t="s">
        <v>77</v>
      </c>
      <c r="AZ1127" s="2" t="s">
        <v>77</v>
      </c>
    </row>
    <row r="1128" spans="1:52" s="3" customFormat="1" x14ac:dyDescent="0.35">
      <c r="A1128" s="2" t="s">
        <v>9789</v>
      </c>
      <c r="B1128" s="4">
        <v>239614</v>
      </c>
      <c r="C1128" s="2" t="s">
        <v>9790</v>
      </c>
      <c r="D1128" s="2">
        <f t="shared" si="17"/>
        <v>1</v>
      </c>
      <c r="F1128" s="2" t="s">
        <v>9778</v>
      </c>
      <c r="G1128" s="2" t="s">
        <v>53</v>
      </c>
      <c r="H1128" s="4">
        <v>4</v>
      </c>
      <c r="I1128" s="4">
        <v>1</v>
      </c>
      <c r="J1128" s="4">
        <v>0</v>
      </c>
      <c r="K1128" s="2" t="s">
        <v>1252</v>
      </c>
      <c r="L1128" s="5">
        <v>45002.95</v>
      </c>
      <c r="M1128" s="2" t="s">
        <v>55</v>
      </c>
      <c r="N1128" s="2" t="s">
        <v>1253</v>
      </c>
      <c r="O1128" s="2" t="s">
        <v>1254</v>
      </c>
      <c r="P1128" s="2" t="s">
        <v>9808</v>
      </c>
      <c r="Q1128" s="2" t="s">
        <v>9809</v>
      </c>
      <c r="R1128" s="2" t="s">
        <v>9793</v>
      </c>
      <c r="T1128" s="2" t="s">
        <v>9794</v>
      </c>
      <c r="U1128" s="2" t="s">
        <v>9795</v>
      </c>
      <c r="V1128" s="2" t="s">
        <v>9796</v>
      </c>
      <c r="W1128" s="2" t="s">
        <v>9797</v>
      </c>
      <c r="X1128" s="2" t="s">
        <v>9798</v>
      </c>
      <c r="Y1128" s="2" t="s">
        <v>9799</v>
      </c>
      <c r="Z1128" s="2" t="s">
        <v>9800</v>
      </c>
      <c r="AA1128" s="2" t="s">
        <v>9801</v>
      </c>
      <c r="AB1128" s="2" t="s">
        <v>9802</v>
      </c>
      <c r="AC1128" s="2" t="s">
        <v>2842</v>
      </c>
      <c r="AD1128" s="2" t="s">
        <v>9803</v>
      </c>
      <c r="AE1128" s="2" t="s">
        <v>7820</v>
      </c>
      <c r="AF1128" s="2" t="s">
        <v>70</v>
      </c>
      <c r="AG1128" s="2" t="s">
        <v>9804</v>
      </c>
      <c r="AK1128" s="2" t="s">
        <v>9805</v>
      </c>
      <c r="AM1128" s="2" t="s">
        <v>72</v>
      </c>
      <c r="AN1128" s="2" t="s">
        <v>473</v>
      </c>
      <c r="AP1128" s="2" t="s">
        <v>9810</v>
      </c>
      <c r="AT1128" s="2" t="s">
        <v>9806</v>
      </c>
      <c r="AU1128" s="2" t="s">
        <v>75</v>
      </c>
      <c r="AV1128" s="2" t="s">
        <v>9778</v>
      </c>
      <c r="AW1128" s="2" t="s">
        <v>9807</v>
      </c>
      <c r="AX1128" s="2" t="s">
        <v>77</v>
      </c>
      <c r="AZ1128" s="2" t="s">
        <v>77</v>
      </c>
    </row>
    <row r="1129" spans="1:52" s="3" customFormat="1" x14ac:dyDescent="0.35">
      <c r="A1129" s="2" t="s">
        <v>9811</v>
      </c>
      <c r="B1129" s="4">
        <v>239594</v>
      </c>
      <c r="C1129" s="2" t="s">
        <v>9812</v>
      </c>
      <c r="D1129" s="2">
        <f t="shared" si="17"/>
        <v>1</v>
      </c>
      <c r="F1129" s="2" t="s">
        <v>9778</v>
      </c>
      <c r="G1129" s="2" t="s">
        <v>53</v>
      </c>
      <c r="H1129" s="4">
        <v>1</v>
      </c>
      <c r="I1129" s="4">
        <v>1</v>
      </c>
      <c r="J1129" s="5">
        <v>8000</v>
      </c>
      <c r="K1129" s="2" t="s">
        <v>1252</v>
      </c>
      <c r="L1129" s="5">
        <v>8000</v>
      </c>
      <c r="M1129" s="2" t="s">
        <v>55</v>
      </c>
      <c r="N1129" s="2" t="s">
        <v>1253</v>
      </c>
      <c r="O1129" s="2" t="s">
        <v>1254</v>
      </c>
      <c r="P1129" s="2" t="s">
        <v>9813</v>
      </c>
      <c r="Q1129" s="2" t="s">
        <v>9814</v>
      </c>
      <c r="R1129" s="2" t="s">
        <v>9815</v>
      </c>
      <c r="S1129" s="2" t="s">
        <v>9816</v>
      </c>
      <c r="V1129" s="2" t="s">
        <v>9817</v>
      </c>
      <c r="W1129" s="2" t="s">
        <v>9818</v>
      </c>
      <c r="Y1129" s="2" t="s">
        <v>9819</v>
      </c>
      <c r="Z1129" s="2" t="s">
        <v>9820</v>
      </c>
      <c r="AA1129" s="2" t="s">
        <v>4481</v>
      </c>
      <c r="AB1129" s="2" t="s">
        <v>9821</v>
      </c>
      <c r="AC1129" s="2" t="s">
        <v>8930</v>
      </c>
      <c r="AD1129" s="2" t="s">
        <v>68</v>
      </c>
      <c r="AE1129" s="2" t="s">
        <v>69</v>
      </c>
      <c r="AF1129" s="2" t="s">
        <v>70</v>
      </c>
      <c r="AG1129" s="2" t="s">
        <v>9822</v>
      </c>
      <c r="AK1129" s="2" t="s">
        <v>9823</v>
      </c>
      <c r="AM1129" s="2" t="s">
        <v>72</v>
      </c>
      <c r="AN1129" s="2" t="s">
        <v>1046</v>
      </c>
      <c r="AP1129" s="2" t="s">
        <v>9380</v>
      </c>
      <c r="AT1129" s="2" t="s">
        <v>3657</v>
      </c>
      <c r="AU1129" s="2" t="s">
        <v>75</v>
      </c>
      <c r="AV1129" s="2" t="s">
        <v>9778</v>
      </c>
      <c r="AW1129" s="2" t="s">
        <v>9824</v>
      </c>
      <c r="AX1129" s="2" t="s">
        <v>77</v>
      </c>
      <c r="AZ1129" s="2" t="s">
        <v>77</v>
      </c>
    </row>
    <row r="1130" spans="1:52" s="3" customFormat="1" x14ac:dyDescent="0.35">
      <c r="A1130" s="2" t="s">
        <v>9825</v>
      </c>
      <c r="B1130" s="4">
        <v>239593</v>
      </c>
      <c r="C1130" s="2" t="s">
        <v>9826</v>
      </c>
      <c r="D1130" s="2">
        <f t="shared" si="17"/>
        <v>1</v>
      </c>
      <c r="G1130" s="2" t="s">
        <v>53</v>
      </c>
      <c r="H1130" s="4">
        <v>1</v>
      </c>
      <c r="I1130" s="4">
        <v>1</v>
      </c>
      <c r="J1130" s="4">
        <v>0</v>
      </c>
      <c r="L1130" s="4">
        <v>0</v>
      </c>
      <c r="M1130" s="2" t="s">
        <v>55</v>
      </c>
      <c r="N1130" s="2" t="s">
        <v>56</v>
      </c>
      <c r="O1130" s="2" t="s">
        <v>57</v>
      </c>
      <c r="P1130" s="2" t="s">
        <v>9813</v>
      </c>
      <c r="Q1130" s="2" t="s">
        <v>9814</v>
      </c>
      <c r="R1130" s="2" t="s">
        <v>9815</v>
      </c>
      <c r="S1130" s="2" t="s">
        <v>9816</v>
      </c>
      <c r="V1130" s="2" t="s">
        <v>9817</v>
      </c>
      <c r="W1130" s="2" t="s">
        <v>9818</v>
      </c>
      <c r="Y1130" s="2" t="s">
        <v>9819</v>
      </c>
      <c r="Z1130" s="2" t="s">
        <v>9820</v>
      </c>
      <c r="AA1130" s="2" t="s">
        <v>4481</v>
      </c>
      <c r="AB1130" s="2" t="s">
        <v>9821</v>
      </c>
      <c r="AC1130" s="2" t="s">
        <v>8930</v>
      </c>
      <c r="AD1130" s="2" t="s">
        <v>68</v>
      </c>
      <c r="AE1130" s="2" t="s">
        <v>69</v>
      </c>
      <c r="AF1130" s="2" t="s">
        <v>70</v>
      </c>
      <c r="AG1130" s="2" t="s">
        <v>9827</v>
      </c>
      <c r="AK1130" s="2" t="s">
        <v>9828</v>
      </c>
      <c r="AM1130" s="2" t="s">
        <v>72</v>
      </c>
      <c r="AN1130" s="2" t="s">
        <v>1046</v>
      </c>
      <c r="AP1130" s="2" t="s">
        <v>9380</v>
      </c>
      <c r="AT1130" s="2" t="s">
        <v>3657</v>
      </c>
      <c r="AU1130" s="2" t="s">
        <v>75</v>
      </c>
      <c r="AV1130" s="2" t="s">
        <v>9778</v>
      </c>
      <c r="AW1130" s="2" t="s">
        <v>9824</v>
      </c>
      <c r="AZ1130" s="2" t="s">
        <v>116</v>
      </c>
    </row>
    <row r="1131" spans="1:52" s="3" customFormat="1" x14ac:dyDescent="0.35">
      <c r="A1131" s="2" t="s">
        <v>9829</v>
      </c>
      <c r="B1131" s="4">
        <v>239560</v>
      </c>
      <c r="C1131" s="2" t="s">
        <v>9830</v>
      </c>
      <c r="D1131" s="2">
        <f t="shared" si="17"/>
        <v>1</v>
      </c>
      <c r="F1131" s="2" t="s">
        <v>9831</v>
      </c>
      <c r="G1131" s="2" t="s">
        <v>53</v>
      </c>
      <c r="H1131" s="4">
        <v>1</v>
      </c>
      <c r="I1131" s="4">
        <v>0</v>
      </c>
      <c r="J1131" s="4">
        <v>0</v>
      </c>
      <c r="L1131" s="4">
        <v>0</v>
      </c>
      <c r="N1131" s="2" t="s">
        <v>56</v>
      </c>
      <c r="O1131" s="2" t="s">
        <v>57</v>
      </c>
      <c r="P1131" s="2" t="s">
        <v>9832</v>
      </c>
      <c r="Q1131" s="2" t="s">
        <v>9833</v>
      </c>
      <c r="R1131" s="2" t="s">
        <v>9834</v>
      </c>
      <c r="S1131" s="2" t="s">
        <v>9835</v>
      </c>
      <c r="V1131" s="2" t="s">
        <v>9836</v>
      </c>
      <c r="W1131" s="2" t="s">
        <v>9837</v>
      </c>
      <c r="Y1131" s="2" t="s">
        <v>9838</v>
      </c>
      <c r="Z1131" s="2" t="s">
        <v>9839</v>
      </c>
      <c r="AA1131" s="2" t="s">
        <v>54</v>
      </c>
      <c r="AC1131" s="2" t="s">
        <v>8237</v>
      </c>
      <c r="AD1131" s="2" t="s">
        <v>4058</v>
      </c>
      <c r="AE1131" s="2" t="s">
        <v>69</v>
      </c>
      <c r="AF1131" s="2" t="s">
        <v>70</v>
      </c>
      <c r="AK1131" s="2" t="s">
        <v>9840</v>
      </c>
      <c r="AL1131" s="2" t="s">
        <v>9841</v>
      </c>
      <c r="AM1131" s="2" t="s">
        <v>72</v>
      </c>
      <c r="AN1131" s="2" t="s">
        <v>73</v>
      </c>
      <c r="AP1131" s="2" t="s">
        <v>9842</v>
      </c>
      <c r="AT1131" s="2" t="s">
        <v>114</v>
      </c>
      <c r="AU1131" s="2" t="s">
        <v>75</v>
      </c>
      <c r="AW1131" s="2" t="s">
        <v>9843</v>
      </c>
      <c r="AZ1131" s="2" t="s">
        <v>116</v>
      </c>
    </row>
    <row r="1132" spans="1:52" s="3" customFormat="1" x14ac:dyDescent="0.35">
      <c r="A1132" s="2" t="s">
        <v>9844</v>
      </c>
      <c r="B1132" s="4">
        <v>239556</v>
      </c>
      <c r="C1132" s="2" t="s">
        <v>9845</v>
      </c>
      <c r="D1132" s="2">
        <f t="shared" si="17"/>
        <v>1</v>
      </c>
      <c r="F1132" s="2" t="s">
        <v>9831</v>
      </c>
      <c r="G1132" s="2" t="s">
        <v>53</v>
      </c>
      <c r="H1132" s="4">
        <v>1</v>
      </c>
      <c r="I1132" s="4">
        <v>1</v>
      </c>
      <c r="J1132" s="4">
        <v>0</v>
      </c>
      <c r="L1132" s="4">
        <v>0</v>
      </c>
      <c r="M1132" s="2" t="s">
        <v>55</v>
      </c>
      <c r="N1132" s="2" t="s">
        <v>56</v>
      </c>
      <c r="O1132" s="2" t="s">
        <v>57</v>
      </c>
      <c r="P1132" s="2" t="s">
        <v>8230</v>
      </c>
      <c r="Q1132" s="2" t="s">
        <v>8231</v>
      </c>
      <c r="R1132" s="2" t="s">
        <v>9745</v>
      </c>
      <c r="S1132" s="2" t="s">
        <v>9746</v>
      </c>
      <c r="V1132" s="2" t="s">
        <v>9747</v>
      </c>
      <c r="W1132" s="2" t="s">
        <v>9748</v>
      </c>
      <c r="Y1132" s="2" t="s">
        <v>9846</v>
      </c>
      <c r="Z1132" s="2" t="s">
        <v>9749</v>
      </c>
      <c r="AA1132" s="2" t="s">
        <v>1624</v>
      </c>
      <c r="AC1132" s="2" t="s">
        <v>9750</v>
      </c>
      <c r="AD1132" s="2" t="s">
        <v>3652</v>
      </c>
      <c r="AE1132" s="2" t="s">
        <v>69</v>
      </c>
      <c r="AF1132" s="2" t="s">
        <v>70</v>
      </c>
      <c r="AG1132" s="2" t="s">
        <v>9751</v>
      </c>
      <c r="AK1132" s="2" t="s">
        <v>9847</v>
      </c>
      <c r="AM1132" s="2" t="s">
        <v>72</v>
      </c>
      <c r="AN1132" s="2" t="s">
        <v>1046</v>
      </c>
      <c r="AP1132" s="2" t="s">
        <v>8240</v>
      </c>
      <c r="AT1132" s="2" t="s">
        <v>114</v>
      </c>
      <c r="AU1132" s="2" t="s">
        <v>75</v>
      </c>
      <c r="AW1132" s="2" t="s">
        <v>9752</v>
      </c>
      <c r="AZ1132" s="2" t="s">
        <v>116</v>
      </c>
    </row>
    <row r="1133" spans="1:52" s="3" customFormat="1" x14ac:dyDescent="0.35">
      <c r="A1133" s="2" t="s">
        <v>9848</v>
      </c>
      <c r="B1133" s="4">
        <v>239555</v>
      </c>
      <c r="C1133" s="2" t="s">
        <v>9849</v>
      </c>
      <c r="D1133" s="2">
        <f t="shared" si="17"/>
        <v>1</v>
      </c>
      <c r="F1133" s="2" t="s">
        <v>9831</v>
      </c>
      <c r="G1133" s="2" t="s">
        <v>53</v>
      </c>
      <c r="H1133" s="4">
        <v>1</v>
      </c>
      <c r="I1133" s="4">
        <v>1</v>
      </c>
      <c r="J1133" s="4">
        <v>0</v>
      </c>
      <c r="L1133" s="4">
        <v>0</v>
      </c>
      <c r="M1133" s="2" t="s">
        <v>55</v>
      </c>
      <c r="N1133" s="2" t="s">
        <v>56</v>
      </c>
      <c r="O1133" s="2" t="s">
        <v>57</v>
      </c>
      <c r="P1133" s="2" t="s">
        <v>9571</v>
      </c>
      <c r="Q1133" s="2" t="s">
        <v>9572</v>
      </c>
      <c r="R1133" s="2" t="s">
        <v>9850</v>
      </c>
      <c r="S1133" s="2" t="s">
        <v>9851</v>
      </c>
      <c r="V1133" s="2" t="s">
        <v>9852</v>
      </c>
      <c r="W1133" s="2" t="s">
        <v>9853</v>
      </c>
      <c r="Y1133" s="2" t="s">
        <v>9854</v>
      </c>
      <c r="Z1133" s="2" t="s">
        <v>9855</v>
      </c>
      <c r="AA1133" s="2" t="s">
        <v>9856</v>
      </c>
      <c r="AC1133" s="2" t="s">
        <v>7991</v>
      </c>
      <c r="AD1133" s="2" t="s">
        <v>68</v>
      </c>
      <c r="AE1133" s="2" t="s">
        <v>69</v>
      </c>
      <c r="AF1133" s="2" t="s">
        <v>70</v>
      </c>
      <c r="AG1133" s="2" t="s">
        <v>9577</v>
      </c>
      <c r="AK1133" s="2" t="s">
        <v>9857</v>
      </c>
      <c r="AM1133" s="2" t="s">
        <v>72</v>
      </c>
      <c r="AN1133" s="2" t="s">
        <v>403</v>
      </c>
      <c r="AP1133" s="2" t="s">
        <v>9254</v>
      </c>
      <c r="AU1133" s="2" t="s">
        <v>75</v>
      </c>
      <c r="AW1133" s="2" t="s">
        <v>9858</v>
      </c>
      <c r="AZ1133" s="2" t="s">
        <v>116</v>
      </c>
    </row>
  </sheetData>
  <autoFilter ref="A1:AZ113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StartSe</dc:creator>
  <cp:lastModifiedBy>Tauany Tavares [StartSe]</cp:lastModifiedBy>
  <dcterms:created xsi:type="dcterms:W3CDTF">2026-05-14T13:29:59Z</dcterms:created>
  <dcterms:modified xsi:type="dcterms:W3CDTF">2026-05-14T13:29:59Z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2026-05-14T10:06:21-03:00</dcterms:created>
  <dcterms:modified xsi:type="dcterms:W3CDTF">2026-05-14T10:06:21-03:00</dcterms:modified>
  <cp:revision>0</cp:revision>
</cp:coreProperties>
</file>